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vfrd\Desktop\"/>
    </mc:Choice>
  </mc:AlternateContent>
  <xr:revisionPtr revIDLastSave="0" documentId="13_ncr:1_{BFAD7FD6-3218-496B-89DA-E8C321E9E22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Weekly" sheetId="1" r:id="rId1"/>
    <sheet name="P.Info" sheetId="2" r:id="rId2"/>
    <sheet name="S.Info" sheetId="3" r:id="rId3"/>
    <sheet name="HomePage" sheetId="4" r:id="rId4"/>
    <sheet name="SubTitle" sheetId="5" r:id="rId5"/>
    <sheet name="etc" sheetId="6" r:id="rId6"/>
  </sheets>
  <externalReferences>
    <externalReference r:id="rId7"/>
  </externalReferences>
  <definedNames>
    <definedName name="_">#REF!</definedName>
    <definedName name="_xlnm._FilterDatabase" localSheetId="1" hidden="1">P.Info!$A$1:$J$82</definedName>
    <definedName name="_xlnm._FilterDatabase" localSheetId="2" hidden="1">S.Info!$K$1:$S$301</definedName>
    <definedName name="_xlnm._FilterDatabase" localSheetId="0" hidden="1">Weekly!$A$1:$J$291</definedName>
    <definedName name="_Order1">0</definedName>
    <definedName name="_Order2">0</definedName>
    <definedName name="\a">#REF!</definedName>
    <definedName name="\b">#REF!</definedName>
    <definedName name="\c">#REF!</definedName>
    <definedName name="\d">#REF!</definedName>
    <definedName name="\f">#REF!</definedName>
    <definedName name="\g">#REF!</definedName>
    <definedName name="\i">#REF!</definedName>
    <definedName name="\ㅇ\ㅇ\">#REF!</definedName>
    <definedName name="a">#REF!</definedName>
    <definedName name="aaa">#REF!</definedName>
    <definedName name="aaaaa">#REF!</definedName>
    <definedName name="AccessDatabase">"C:\수출관리\하자관리.xls"</definedName>
    <definedName name="B">#REF!</definedName>
    <definedName name="d">#REF!</definedName>
    <definedName name="dp">#REF!</definedName>
    <definedName name="EBSu">#REF!</definedName>
    <definedName name="f">#REF!</definedName>
    <definedName name="h">#REF!</definedName>
    <definedName name="IQ_ADDIN">"AUTO"</definedName>
    <definedName name="IQ_CH">110000</definedName>
    <definedName name="IQ_CQ">5000</definedName>
    <definedName name="IQ_CY">10000</definedName>
    <definedName name="IQ_DAILY">500000</definedName>
    <definedName name="IQ_DNTM">700000</definedName>
    <definedName name="IQ_EXPENSE_CODE_">"?긎?bI\??븻?Y귛?B호s}?qM=룋_x000F_?&lt;????ih??_x0019_Ｒu5?|愰}_x0015_5a륢H助_x0005_씼?^?]쉇h+禦??_뽂帿?P롲칥?㈐+_x001D_?~)눣EL싇?蹟r)."</definedName>
    <definedName name="IQ_FH">100000</definedName>
    <definedName name="IQ_FQ">500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Y">1000</definedName>
    <definedName name="IQ_LATESTK">1000</definedName>
    <definedName name="IQ_LATESTQ">500</definedName>
    <definedName name="IQ_LTM">2000</definedName>
    <definedName name="IQ_LTMMONTH">120000</definedName>
    <definedName name="IQ_MONTH">15000</definedName>
    <definedName name="IQ_MTD">800000</definedName>
    <definedName name="IQ_NAMES_REVISION_DATE_">41177.6341666667</definedName>
    <definedName name="IQ_NTM">6000</definedName>
    <definedName name="IQ_QTD">750000</definedName>
    <definedName name="IQ_TODAY">0</definedName>
    <definedName name="IQ_WEEK">50000</definedName>
    <definedName name="IQ_YTD">3000</definedName>
    <definedName name="IQ_YTDMONTH">130000</definedName>
    <definedName name="p2조정후">#REF!</definedName>
    <definedName name="P4_변경">#REF!</definedName>
    <definedName name="_xlnm.Print_Area" localSheetId="0">Weekly!$A$1:$I$291</definedName>
    <definedName name="_xlnm.Print_Area">#REF!</definedName>
    <definedName name="PRINT_AREA_MI">#REF!</definedName>
    <definedName name="_xlnm.Print_Titles">#REF!</definedName>
    <definedName name="PRINT_TITLES_MI">#REF!</definedName>
    <definedName name="s">#REF!</definedName>
    <definedName name="sddd">#REF!</definedName>
    <definedName name="ss">#REF!</definedName>
    <definedName name="SSDD">#REF!</definedName>
    <definedName name="wq">#REF!</definedName>
    <definedName name="ㄴㄴ">#REF!</definedName>
    <definedName name="ㄴㅇㅎㅇㅎ">#REF!</definedName>
    <definedName name="ㄴ온온오">#REF!</definedName>
    <definedName name="ㄶ">#REF!</definedName>
    <definedName name="ㄹ처ㅕ려">#REF!</definedName>
    <definedName name="ㅁ">#REF!</definedName>
    <definedName name="명의">#REF!</definedName>
    <definedName name="명작드라마">#REF!</definedName>
    <definedName name="ㅂㅂ">#REF!</definedName>
    <definedName name="봄편성표">#REF!</definedName>
    <definedName name="ㅈㄷㄱㅈㄷㅎㄴㅇㅎㄴㅇㅎ">#REF!</definedName>
    <definedName name="ㅈㅈ">#REF!</definedName>
    <definedName name="조정">#REF!</definedName>
    <definedName name="조정전">#REF!</definedName>
    <definedName name="조정후">#REF!</definedName>
    <definedName name="ㅎㅎ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E4" i="1"/>
  <c r="F4" i="1"/>
  <c r="G4" i="1"/>
  <c r="H4" i="1"/>
  <c r="D16" i="1"/>
  <c r="E16" i="1"/>
  <c r="F16" i="1"/>
  <c r="G16" i="1"/>
  <c r="H16" i="1"/>
  <c r="I2017" i="3" a="1"/>
  <c r="I2017" i="3" s="1"/>
  <c r="I2016" i="3" a="1"/>
  <c r="I2016" i="3" s="1"/>
  <c r="I2015" i="3" a="1"/>
  <c r="I2015" i="3" s="1"/>
  <c r="I2014" i="3" a="1"/>
  <c r="I2014" i="3" s="1"/>
  <c r="I2013" i="3" a="1"/>
  <c r="I2013" i="3" s="1"/>
  <c r="I2012" i="3" a="1"/>
  <c r="I2012" i="3" s="1"/>
  <c r="I2011" i="3" a="1"/>
  <c r="I2011" i="3" s="1"/>
  <c r="I2010" i="3" a="1"/>
  <c r="I2010" i="3" s="1"/>
  <c r="I2009" i="3" a="1"/>
  <c r="I2009" i="3" s="1"/>
  <c r="I2008" i="3" a="1"/>
  <c r="I2008" i="3" s="1"/>
  <c r="I2007" i="3" a="1"/>
  <c r="I2007" i="3" s="1"/>
  <c r="I2006" i="3" a="1"/>
  <c r="I2006" i="3" s="1"/>
  <c r="I2005" i="3" a="1"/>
  <c r="I2005" i="3" s="1"/>
  <c r="I2004" i="3" a="1"/>
  <c r="I2004" i="3" s="1"/>
  <c r="I2003" i="3" a="1"/>
  <c r="I2003" i="3" s="1"/>
  <c r="I2002" i="3" a="1"/>
  <c r="I2002" i="3" s="1"/>
  <c r="I2001" i="3" a="1"/>
  <c r="I2001" i="3" s="1"/>
  <c r="I2000" i="3" a="1"/>
  <c r="I2000" i="3" s="1"/>
  <c r="I1999" i="3" a="1"/>
  <c r="I1999" i="3" s="1"/>
  <c r="I1998" i="3" a="1"/>
  <c r="I1998" i="3" s="1"/>
  <c r="I1997" i="3" a="1"/>
  <c r="I1997" i="3" s="1"/>
  <c r="I1996" i="3" a="1"/>
  <c r="I1996" i="3" s="1"/>
  <c r="I1995" i="3" a="1"/>
  <c r="I1995" i="3" s="1"/>
  <c r="I1994" i="3" a="1"/>
  <c r="I1994" i="3" s="1"/>
  <c r="I1993" i="3" a="1"/>
  <c r="I1993" i="3" s="1"/>
  <c r="I1992" i="3" a="1"/>
  <c r="I1992" i="3" s="1"/>
  <c r="I1991" i="3" a="1"/>
  <c r="I1991" i="3" s="1"/>
  <c r="I1990" i="3" a="1"/>
  <c r="I1990" i="3" s="1"/>
  <c r="I1989" i="3" a="1"/>
  <c r="I1989" i="3" s="1"/>
  <c r="I1988" i="3" a="1"/>
  <c r="I1988" i="3" s="1"/>
  <c r="I1987" i="3" a="1"/>
  <c r="I1987" i="3" s="1"/>
  <c r="I1986" i="3" a="1"/>
  <c r="I1986" i="3" s="1"/>
  <c r="I1985" i="3" a="1"/>
  <c r="I1985" i="3" s="1"/>
  <c r="I1984" i="3" a="1"/>
  <c r="I1984" i="3" s="1"/>
  <c r="I1983" i="3" a="1"/>
  <c r="I1983" i="3" s="1"/>
  <c r="I1982" i="3" a="1"/>
  <c r="I1982" i="3" s="1"/>
  <c r="I1981" i="3" a="1"/>
  <c r="I1981" i="3" s="1"/>
  <c r="I1980" i="3" a="1"/>
  <c r="I1980" i="3" s="1"/>
  <c r="I1979" i="3" a="1"/>
  <c r="I1979" i="3" s="1"/>
  <c r="I1978" i="3" a="1"/>
  <c r="I1978" i="3" s="1"/>
  <c r="I1977" i="3" a="1"/>
  <c r="I1977" i="3" s="1"/>
  <c r="I1976" i="3" a="1"/>
  <c r="I1976" i="3" s="1"/>
  <c r="I1975" i="3" a="1"/>
  <c r="I1975" i="3" s="1"/>
  <c r="I1974" i="3" a="1"/>
  <c r="I1974" i="3" s="1"/>
  <c r="I1973" i="3" a="1"/>
  <c r="I1973" i="3" s="1"/>
  <c r="I1972" i="3" a="1"/>
  <c r="I1972" i="3" s="1"/>
  <c r="I1971" i="3" a="1"/>
  <c r="I1971" i="3" s="1"/>
  <c r="I1970" i="3" a="1"/>
  <c r="I1970" i="3" s="1"/>
  <c r="I1969" i="3" a="1"/>
  <c r="I1969" i="3" s="1"/>
  <c r="I1968" i="3" a="1"/>
  <c r="I1968" i="3" s="1"/>
  <c r="I1967" i="3" a="1"/>
  <c r="I1967" i="3" s="1"/>
  <c r="I1966" i="3" a="1"/>
  <c r="I1966" i="3" s="1"/>
  <c r="I1965" i="3" a="1"/>
  <c r="I1965" i="3" s="1"/>
  <c r="I1964" i="3" a="1"/>
  <c r="I1964" i="3" s="1"/>
  <c r="I1963" i="3" a="1"/>
  <c r="I1963" i="3" s="1"/>
  <c r="I1962" i="3" a="1"/>
  <c r="I1962" i="3" s="1"/>
  <c r="I1961" i="3" a="1"/>
  <c r="I1961" i="3" s="1"/>
  <c r="I1960" i="3" a="1"/>
  <c r="I1960" i="3" s="1"/>
  <c r="I1959" i="3" a="1"/>
  <c r="I1959" i="3" s="1"/>
  <c r="I1958" i="3" a="1"/>
  <c r="I1958" i="3" s="1"/>
  <c r="I1957" i="3" a="1"/>
  <c r="I1957" i="3" s="1"/>
  <c r="I1956" i="3" a="1"/>
  <c r="I1956" i="3" s="1"/>
  <c r="I1955" i="3" a="1"/>
  <c r="I1955" i="3" s="1"/>
  <c r="I1954" i="3" a="1"/>
  <c r="I1954" i="3" s="1"/>
  <c r="I1953" i="3" a="1"/>
  <c r="I1953" i="3" s="1"/>
  <c r="I1952" i="3" a="1"/>
  <c r="I1952" i="3" s="1"/>
  <c r="I1951" i="3" a="1"/>
  <c r="I1951" i="3" s="1"/>
  <c r="I1950" i="3" a="1"/>
  <c r="I1950" i="3" s="1"/>
  <c r="I1949" i="3" a="1"/>
  <c r="I1949" i="3" s="1"/>
  <c r="I1948" i="3" a="1"/>
  <c r="I1948" i="3" s="1"/>
  <c r="I1947" i="3" a="1"/>
  <c r="I1947" i="3" s="1"/>
  <c r="I1946" i="3" a="1"/>
  <c r="I1946" i="3" s="1"/>
  <c r="I1945" i="3" a="1"/>
  <c r="I1945" i="3" s="1"/>
  <c r="I1944" i="3" a="1"/>
  <c r="I1944" i="3" s="1"/>
  <c r="I1943" i="3" a="1"/>
  <c r="I1943" i="3" s="1"/>
  <c r="I1942" i="3" a="1"/>
  <c r="I1942" i="3" s="1"/>
  <c r="I1941" i="3" a="1"/>
  <c r="I1941" i="3" s="1"/>
  <c r="I1940" i="3" a="1"/>
  <c r="I1940" i="3" s="1"/>
  <c r="I1939" i="3" a="1"/>
  <c r="I1939" i="3" s="1"/>
  <c r="I1938" i="3" a="1"/>
  <c r="I1938" i="3" s="1"/>
  <c r="I1937" i="3" a="1"/>
  <c r="I1937" i="3" s="1"/>
  <c r="I1936" i="3" a="1"/>
  <c r="I1936" i="3" s="1"/>
  <c r="I1935" i="3" a="1"/>
  <c r="I1935" i="3" s="1"/>
  <c r="I1934" i="3" a="1"/>
  <c r="I1934" i="3" s="1"/>
  <c r="I1933" i="3" a="1"/>
  <c r="I1933" i="3" s="1"/>
  <c r="I1932" i="3" a="1"/>
  <c r="I1932" i="3" s="1"/>
  <c r="I1931" i="3" a="1"/>
  <c r="I1931" i="3" s="1"/>
  <c r="I1930" i="3" a="1"/>
  <c r="I1930" i="3" s="1"/>
  <c r="I1929" i="3" a="1"/>
  <c r="I1929" i="3" s="1"/>
  <c r="I1928" i="3" a="1"/>
  <c r="I1928" i="3" s="1"/>
  <c r="I1927" i="3" a="1"/>
  <c r="I1927" i="3" s="1"/>
  <c r="I1926" i="3" a="1"/>
  <c r="I1926" i="3" s="1"/>
  <c r="I1925" i="3" a="1"/>
  <c r="I1925" i="3" s="1"/>
  <c r="I1924" i="3" a="1"/>
  <c r="I1924" i="3" s="1"/>
  <c r="I1923" i="3" a="1"/>
  <c r="I1923" i="3" s="1"/>
  <c r="I1922" i="3" a="1"/>
  <c r="I1922" i="3" s="1"/>
  <c r="I1921" i="3" a="1"/>
  <c r="I1921" i="3" s="1"/>
  <c r="I1920" i="3" a="1"/>
  <c r="I1920" i="3" s="1"/>
  <c r="I1919" i="3" a="1"/>
  <c r="I1919" i="3" s="1"/>
  <c r="I1918" i="3" a="1"/>
  <c r="I1918" i="3" s="1"/>
  <c r="I1917" i="3" a="1"/>
  <c r="I1917" i="3" s="1"/>
  <c r="I1916" i="3" a="1"/>
  <c r="I1916" i="3" s="1"/>
  <c r="I1915" i="3" a="1"/>
  <c r="I1915" i="3" s="1"/>
  <c r="I1914" i="3" a="1"/>
  <c r="I1914" i="3" s="1"/>
  <c r="I1913" i="3" a="1"/>
  <c r="I1913" i="3" s="1"/>
  <c r="I1912" i="3" a="1"/>
  <c r="I1912" i="3" s="1"/>
  <c r="I1911" i="3" a="1"/>
  <c r="I1911" i="3" s="1"/>
  <c r="I1910" i="3" a="1"/>
  <c r="I1910" i="3" s="1"/>
  <c r="I1909" i="3" a="1"/>
  <c r="I1909" i="3" s="1"/>
  <c r="I1908" i="3" a="1"/>
  <c r="I1908" i="3" s="1"/>
  <c r="I1907" i="3" a="1"/>
  <c r="I1907" i="3" s="1"/>
  <c r="I1906" i="3" a="1"/>
  <c r="I1906" i="3" s="1"/>
  <c r="I1905" i="3" a="1"/>
  <c r="I1905" i="3" s="1"/>
  <c r="I1904" i="3" a="1"/>
  <c r="I1904" i="3" s="1"/>
  <c r="I1903" i="3" a="1"/>
  <c r="I1903" i="3" s="1"/>
  <c r="I1902" i="3" a="1"/>
  <c r="I1902" i="3" s="1"/>
  <c r="I1901" i="3" a="1"/>
  <c r="I1901" i="3" s="1"/>
  <c r="I1900" i="3" a="1"/>
  <c r="I1900" i="3" s="1"/>
  <c r="I1899" i="3" a="1"/>
  <c r="I1899" i="3" s="1"/>
  <c r="I1898" i="3" a="1"/>
  <c r="I1898" i="3" s="1"/>
  <c r="I1897" i="3" a="1"/>
  <c r="I1897" i="3" s="1"/>
  <c r="I1896" i="3" a="1"/>
  <c r="I1896" i="3" s="1"/>
  <c r="I1895" i="3" a="1"/>
  <c r="I1895" i="3" s="1"/>
  <c r="I1894" i="3" a="1"/>
  <c r="I1894" i="3" s="1"/>
  <c r="I1893" i="3" a="1"/>
  <c r="I1893" i="3" s="1"/>
  <c r="I1892" i="3" a="1"/>
  <c r="I1892" i="3" s="1"/>
  <c r="I1891" i="3" a="1"/>
  <c r="I1891" i="3" s="1"/>
  <c r="I1890" i="3" a="1"/>
  <c r="I1890" i="3" s="1"/>
  <c r="I1889" i="3" a="1"/>
  <c r="I1889" i="3" s="1"/>
  <c r="I1888" i="3" a="1"/>
  <c r="I1888" i="3" s="1"/>
  <c r="I1887" i="3" a="1"/>
  <c r="I1887" i="3" s="1"/>
  <c r="I1886" i="3" a="1"/>
  <c r="I1886" i="3" s="1"/>
  <c r="I1885" i="3" a="1"/>
  <c r="I1885" i="3" s="1"/>
  <c r="I1884" i="3" a="1"/>
  <c r="I1884" i="3" s="1"/>
  <c r="I1883" i="3" a="1"/>
  <c r="I1883" i="3" s="1"/>
  <c r="I1882" i="3" a="1"/>
  <c r="I1882" i="3" s="1"/>
  <c r="I1881" i="3" a="1"/>
  <c r="I1881" i="3" s="1"/>
  <c r="I1880" i="3" a="1"/>
  <c r="I1880" i="3" s="1"/>
  <c r="I1879" i="3" a="1"/>
  <c r="I1879" i="3" s="1"/>
  <c r="I1878" i="3" a="1"/>
  <c r="I1878" i="3" s="1"/>
  <c r="I1877" i="3" a="1"/>
  <c r="I1877" i="3" s="1"/>
  <c r="I1876" i="3" a="1"/>
  <c r="I1876" i="3" s="1"/>
  <c r="I1875" i="3" a="1"/>
  <c r="I1875" i="3" s="1"/>
  <c r="I1874" i="3" a="1"/>
  <c r="I1874" i="3" s="1"/>
  <c r="I1873" i="3" a="1"/>
  <c r="I1873" i="3" s="1"/>
  <c r="I1872" i="3" a="1"/>
  <c r="I1872" i="3" s="1"/>
  <c r="I1871" i="3" a="1"/>
  <c r="I1871" i="3" s="1"/>
  <c r="I1870" i="3" a="1"/>
  <c r="I1870" i="3" s="1"/>
  <c r="I1869" i="3" a="1"/>
  <c r="I1869" i="3" s="1"/>
  <c r="I1868" i="3" a="1"/>
  <c r="I1868" i="3" s="1"/>
  <c r="I1867" i="3" a="1"/>
  <c r="I1867" i="3" s="1"/>
  <c r="I1866" i="3" a="1"/>
  <c r="I1866" i="3" s="1"/>
  <c r="I1865" i="3" a="1"/>
  <c r="I1865" i="3" s="1"/>
  <c r="I1864" i="3" a="1"/>
  <c r="I1864" i="3" s="1"/>
  <c r="I1863" i="3" a="1"/>
  <c r="I1863" i="3" s="1"/>
  <c r="I1862" i="3" a="1"/>
  <c r="I1862" i="3" s="1"/>
  <c r="I1861" i="3" a="1"/>
  <c r="I1861" i="3" s="1"/>
  <c r="I1860" i="3" a="1"/>
  <c r="I1860" i="3" s="1"/>
  <c r="I1859" i="3" a="1"/>
  <c r="I1859" i="3" s="1"/>
  <c r="I1858" i="3" a="1"/>
  <c r="I1858" i="3" s="1"/>
  <c r="I1857" i="3" a="1"/>
  <c r="I1857" i="3" s="1"/>
  <c r="I1856" i="3" a="1"/>
  <c r="I1856" i="3" s="1"/>
  <c r="I1855" i="3" a="1"/>
  <c r="I1855" i="3" s="1"/>
  <c r="I1854" i="3" a="1"/>
  <c r="I1854" i="3" s="1"/>
  <c r="I1853" i="3" a="1"/>
  <c r="I1853" i="3" s="1"/>
  <c r="I1852" i="3" a="1"/>
  <c r="I1852" i="3" s="1"/>
  <c r="I1851" i="3" a="1"/>
  <c r="I1851" i="3" s="1"/>
  <c r="I1850" i="3" a="1"/>
  <c r="I1850" i="3" s="1"/>
  <c r="I1849" i="3" a="1"/>
  <c r="I1849" i="3" s="1"/>
  <c r="I1848" i="3" a="1"/>
  <c r="I1848" i="3" s="1"/>
  <c r="I1847" i="3" a="1"/>
  <c r="I1847" i="3" s="1"/>
  <c r="I1846" i="3" a="1"/>
  <c r="I1846" i="3" s="1"/>
  <c r="I1845" i="3" a="1"/>
  <c r="I1845" i="3" s="1"/>
  <c r="I1844" i="3" a="1"/>
  <c r="I1844" i="3" s="1"/>
  <c r="I1843" i="3" a="1"/>
  <c r="I1843" i="3" s="1"/>
  <c r="I1842" i="3" a="1"/>
  <c r="I1842" i="3" s="1"/>
  <c r="I1841" i="3" a="1"/>
  <c r="I1841" i="3" s="1"/>
  <c r="I1840" i="3" a="1"/>
  <c r="I1840" i="3" s="1"/>
  <c r="I1839" i="3" a="1"/>
  <c r="I1839" i="3" s="1"/>
  <c r="I1838" i="3" a="1"/>
  <c r="I1838" i="3" s="1"/>
  <c r="I1837" i="3" a="1"/>
  <c r="I1837" i="3" s="1"/>
  <c r="I1836" i="3" a="1"/>
  <c r="I1836" i="3" s="1"/>
  <c r="I1835" i="3" a="1"/>
  <c r="I1835" i="3" s="1"/>
  <c r="I1834" i="3" a="1"/>
  <c r="I1834" i="3" s="1"/>
  <c r="I1833" i="3" a="1"/>
  <c r="I1833" i="3" s="1"/>
  <c r="I1832" i="3" a="1"/>
  <c r="I1832" i="3" s="1"/>
  <c r="I1831" i="3" a="1"/>
  <c r="I1831" i="3" s="1"/>
  <c r="I1830" i="3" a="1"/>
  <c r="I1830" i="3" s="1"/>
  <c r="I1829" i="3" a="1"/>
  <c r="I1829" i="3" s="1"/>
  <c r="I1828" i="3" a="1"/>
  <c r="I1828" i="3" s="1"/>
  <c r="I1827" i="3" a="1"/>
  <c r="I1827" i="3" s="1"/>
  <c r="I1826" i="3" a="1"/>
  <c r="I1826" i="3" s="1"/>
  <c r="I1825" i="3" a="1"/>
  <c r="I1825" i="3" s="1"/>
  <c r="I1824" i="3" a="1"/>
  <c r="I1824" i="3" s="1"/>
  <c r="I1823" i="3" a="1"/>
  <c r="I1823" i="3" s="1"/>
  <c r="I1822" i="3" a="1"/>
  <c r="I1822" i="3" s="1"/>
  <c r="I1821" i="3" a="1"/>
  <c r="I1821" i="3" s="1"/>
  <c r="I1820" i="3" a="1"/>
  <c r="I1820" i="3" s="1"/>
  <c r="I1819" i="3" a="1"/>
  <c r="I1819" i="3" s="1"/>
  <c r="I1818" i="3" a="1"/>
  <c r="I1818" i="3" s="1"/>
  <c r="I1817" i="3" a="1"/>
  <c r="I1817" i="3" s="1"/>
  <c r="I1816" i="3" a="1"/>
  <c r="I1816" i="3" s="1"/>
  <c r="I1815" i="3" a="1"/>
  <c r="I1815" i="3" s="1"/>
  <c r="I1814" i="3" a="1"/>
  <c r="I1814" i="3" s="1"/>
  <c r="I1813" i="3" a="1"/>
  <c r="I1813" i="3" s="1"/>
  <c r="I1812" i="3" a="1"/>
  <c r="I1812" i="3" s="1"/>
  <c r="I1811" i="3" a="1"/>
  <c r="I1811" i="3" s="1"/>
  <c r="I1810" i="3" a="1"/>
  <c r="I1810" i="3" s="1"/>
  <c r="I1809" i="3" a="1"/>
  <c r="I1809" i="3" s="1"/>
  <c r="I1808" i="3" a="1"/>
  <c r="I1808" i="3" s="1"/>
  <c r="I1807" i="3" a="1"/>
  <c r="I1807" i="3" s="1"/>
  <c r="I1806" i="3" a="1"/>
  <c r="I1806" i="3" s="1"/>
  <c r="I1805" i="3" a="1"/>
  <c r="I1805" i="3" s="1"/>
  <c r="I1804" i="3" a="1"/>
  <c r="I1804" i="3" s="1"/>
  <c r="I1803" i="3" a="1"/>
  <c r="I1803" i="3" s="1"/>
  <c r="I1802" i="3" a="1"/>
  <c r="I1802" i="3" s="1"/>
  <c r="I1801" i="3" a="1"/>
  <c r="I1801" i="3" s="1"/>
  <c r="I1800" i="3" a="1"/>
  <c r="I1800" i="3" s="1"/>
  <c r="I1799" i="3" a="1"/>
  <c r="I1799" i="3" s="1"/>
  <c r="I1798" i="3" a="1"/>
  <c r="I1798" i="3" s="1"/>
  <c r="I1797" i="3" a="1"/>
  <c r="I1797" i="3" s="1"/>
  <c r="I1796" i="3" a="1"/>
  <c r="I1796" i="3" s="1"/>
  <c r="I1795" i="3" a="1"/>
  <c r="I1795" i="3" s="1"/>
  <c r="I1794" i="3" a="1"/>
  <c r="I1794" i="3" s="1"/>
  <c r="I1793" i="3" a="1"/>
  <c r="I1793" i="3" s="1"/>
  <c r="I1792" i="3" a="1"/>
  <c r="I1792" i="3" s="1"/>
  <c r="I1791" i="3" a="1"/>
  <c r="I1791" i="3" s="1"/>
  <c r="I1790" i="3" a="1"/>
  <c r="I1790" i="3" s="1"/>
  <c r="I1789" i="3" a="1"/>
  <c r="I1789" i="3" s="1"/>
  <c r="I1788" i="3" a="1"/>
  <c r="I1788" i="3" s="1"/>
  <c r="I1787" i="3" a="1"/>
  <c r="I1787" i="3" s="1"/>
  <c r="I1786" i="3" a="1"/>
  <c r="I1786" i="3" s="1"/>
  <c r="I1785" i="3" a="1"/>
  <c r="I1785" i="3" s="1"/>
  <c r="I1784" i="3" a="1"/>
  <c r="I1784" i="3" s="1"/>
  <c r="I1783" i="3" a="1"/>
  <c r="I1783" i="3" s="1"/>
  <c r="I1782" i="3" a="1"/>
  <c r="I1782" i="3" s="1"/>
  <c r="I1781" i="3" a="1"/>
  <c r="I1781" i="3" s="1"/>
  <c r="I1780" i="3" a="1"/>
  <c r="I1780" i="3" s="1"/>
  <c r="I1779" i="3" a="1"/>
  <c r="I1779" i="3" s="1"/>
  <c r="I1778" i="3" a="1"/>
  <c r="I1778" i="3" s="1"/>
  <c r="I1777" i="3" a="1"/>
  <c r="I1777" i="3" s="1"/>
  <c r="I1776" i="3" a="1"/>
  <c r="I1776" i="3" s="1"/>
  <c r="I1775" i="3" a="1"/>
  <c r="I1775" i="3" s="1"/>
  <c r="I1774" i="3" a="1"/>
  <c r="I1774" i="3" s="1"/>
  <c r="I1773" i="3" a="1"/>
  <c r="I1773" i="3" s="1"/>
  <c r="I1772" i="3" a="1"/>
  <c r="I1772" i="3" s="1"/>
  <c r="I1771" i="3" a="1"/>
  <c r="I1771" i="3" s="1"/>
  <c r="I1770" i="3" a="1"/>
  <c r="I1770" i="3" s="1"/>
  <c r="I1769" i="3" a="1"/>
  <c r="I1769" i="3" s="1"/>
  <c r="I1768" i="3" a="1"/>
  <c r="I1768" i="3" s="1"/>
  <c r="I1767" i="3" a="1"/>
  <c r="I1767" i="3" s="1"/>
  <c r="I1766" i="3" a="1"/>
  <c r="I1766" i="3" s="1"/>
  <c r="I1765" i="3" a="1"/>
  <c r="I1765" i="3" s="1"/>
  <c r="I1764" i="3" a="1"/>
  <c r="I1764" i="3" s="1"/>
  <c r="I1763" i="3" a="1"/>
  <c r="I1763" i="3" s="1"/>
  <c r="I1762" i="3" a="1"/>
  <c r="I1762" i="3" s="1"/>
  <c r="I1761" i="3" a="1"/>
  <c r="I1761" i="3" s="1"/>
  <c r="I1760" i="3" a="1"/>
  <c r="I1760" i="3" s="1"/>
  <c r="I1759" i="3" a="1"/>
  <c r="I1759" i="3" s="1"/>
  <c r="I1758" i="3" a="1"/>
  <c r="I1758" i="3" s="1"/>
  <c r="I1757" i="3" a="1"/>
  <c r="I1757" i="3" s="1"/>
  <c r="I1756" i="3" a="1"/>
  <c r="I1756" i="3" s="1"/>
  <c r="I1755" i="3" a="1"/>
  <c r="I1755" i="3" s="1"/>
  <c r="I1754" i="3" a="1"/>
  <c r="I1754" i="3" s="1"/>
  <c r="I1753" i="3" a="1"/>
  <c r="I1753" i="3" s="1"/>
  <c r="I1752" i="3" a="1"/>
  <c r="I1752" i="3" s="1"/>
  <c r="I1751" i="3" a="1"/>
  <c r="I1751" i="3" s="1"/>
  <c r="I1750" i="3" a="1"/>
  <c r="I1750" i="3" s="1"/>
  <c r="I1749" i="3" a="1"/>
  <c r="I1749" i="3" s="1"/>
  <c r="I1748" i="3" a="1"/>
  <c r="I1748" i="3" s="1"/>
  <c r="I1747" i="3" a="1"/>
  <c r="I1747" i="3" s="1"/>
  <c r="I1746" i="3" a="1"/>
  <c r="I1746" i="3" s="1"/>
  <c r="I1745" i="3" a="1"/>
  <c r="I1745" i="3" s="1"/>
  <c r="I1744" i="3" a="1"/>
  <c r="I1744" i="3" s="1"/>
  <c r="I1743" i="3" a="1"/>
  <c r="I1743" i="3" s="1"/>
  <c r="I1742" i="3" a="1"/>
  <c r="I1742" i="3" s="1"/>
  <c r="I1741" i="3" a="1"/>
  <c r="I1741" i="3" s="1"/>
  <c r="I1740" i="3" a="1"/>
  <c r="I1740" i="3" s="1"/>
  <c r="I1739" i="3" a="1"/>
  <c r="I1739" i="3" s="1"/>
  <c r="I1738" i="3" a="1"/>
  <c r="I1738" i="3" s="1"/>
  <c r="I1737" i="3" a="1"/>
  <c r="I1737" i="3" s="1"/>
  <c r="I1736" i="3" a="1"/>
  <c r="I1736" i="3" s="1"/>
  <c r="I1735" i="3" a="1"/>
  <c r="I1735" i="3" s="1"/>
  <c r="I1734" i="3" a="1"/>
  <c r="I1734" i="3" s="1"/>
  <c r="I1733" i="3" a="1"/>
  <c r="I1733" i="3" s="1"/>
  <c r="I1732" i="3" a="1"/>
  <c r="I1732" i="3" s="1"/>
  <c r="I1731" i="3" a="1"/>
  <c r="I1731" i="3" s="1"/>
  <c r="I1730" i="3" a="1"/>
  <c r="I1730" i="3" s="1"/>
  <c r="I1729" i="3" a="1"/>
  <c r="I1729" i="3" s="1"/>
  <c r="I1728" i="3" a="1"/>
  <c r="I1728" i="3" s="1"/>
  <c r="I1727" i="3" a="1"/>
  <c r="I1727" i="3" s="1"/>
  <c r="I1726" i="3" a="1"/>
  <c r="I1726" i="3" s="1"/>
  <c r="I1725" i="3" a="1"/>
  <c r="I1725" i="3" s="1"/>
  <c r="I1724" i="3" a="1"/>
  <c r="I1724" i="3" s="1"/>
  <c r="I1723" i="3" a="1"/>
  <c r="I1723" i="3" s="1"/>
  <c r="I1722" i="3" a="1"/>
  <c r="I1722" i="3" s="1"/>
  <c r="I1721" i="3" a="1"/>
  <c r="I1721" i="3" s="1"/>
  <c r="I1720" i="3" a="1"/>
  <c r="I1720" i="3" s="1"/>
  <c r="I1719" i="3" a="1"/>
  <c r="I1719" i="3" s="1"/>
  <c r="I1718" i="3" a="1"/>
  <c r="I1718" i="3" s="1"/>
  <c r="I1717" i="3" a="1"/>
  <c r="I1717" i="3" s="1"/>
  <c r="I1716" i="3" a="1"/>
  <c r="I1716" i="3" s="1"/>
  <c r="I1715" i="3" a="1"/>
  <c r="I1715" i="3" s="1"/>
  <c r="I1714" i="3" a="1"/>
  <c r="I1714" i="3" s="1"/>
  <c r="I1713" i="3" a="1"/>
  <c r="I1713" i="3" s="1"/>
  <c r="I1712" i="3" a="1"/>
  <c r="I1712" i="3" s="1"/>
  <c r="I1711" i="3" a="1"/>
  <c r="I1711" i="3" s="1"/>
  <c r="I1710" i="3" a="1"/>
  <c r="I1710" i="3" s="1"/>
  <c r="I1709" i="3" a="1"/>
  <c r="I1709" i="3" s="1"/>
  <c r="I1708" i="3" a="1"/>
  <c r="I1708" i="3" s="1"/>
  <c r="I1707" i="3" a="1"/>
  <c r="I1707" i="3" s="1"/>
  <c r="I1706" i="3" a="1"/>
  <c r="I1706" i="3" s="1"/>
  <c r="I1705" i="3" a="1"/>
  <c r="I1705" i="3" s="1"/>
  <c r="I1704" i="3" a="1"/>
  <c r="I1704" i="3" s="1"/>
  <c r="I1703" i="3" a="1"/>
  <c r="I1703" i="3" s="1"/>
  <c r="I1702" i="3" a="1"/>
  <c r="I1702" i="3" s="1"/>
  <c r="I1701" i="3" a="1"/>
  <c r="I1701" i="3" s="1"/>
  <c r="I1700" i="3" a="1"/>
  <c r="I1700" i="3" s="1"/>
  <c r="I1699" i="3" a="1"/>
  <c r="I1699" i="3" s="1"/>
  <c r="I1698" i="3" a="1"/>
  <c r="I1698" i="3" s="1"/>
  <c r="I1697" i="3" a="1"/>
  <c r="I1697" i="3" s="1"/>
  <c r="I1696" i="3" a="1"/>
  <c r="I1696" i="3" s="1"/>
  <c r="I1695" i="3" a="1"/>
  <c r="I1695" i="3" s="1"/>
  <c r="I1694" i="3" a="1"/>
  <c r="I1694" i="3" s="1"/>
  <c r="I1693" i="3" a="1"/>
  <c r="I1693" i="3" s="1"/>
  <c r="I1692" i="3" a="1"/>
  <c r="I1692" i="3" s="1"/>
  <c r="I1691" i="3" a="1"/>
  <c r="I1691" i="3" s="1"/>
  <c r="I1690" i="3" a="1"/>
  <c r="I1690" i="3" s="1"/>
  <c r="I1689" i="3" a="1"/>
  <c r="I1689" i="3" s="1"/>
  <c r="I1688" i="3" a="1"/>
  <c r="I1688" i="3" s="1"/>
  <c r="I1687" i="3" a="1"/>
  <c r="I1687" i="3" s="1"/>
  <c r="I1686" i="3" a="1"/>
  <c r="I1686" i="3" s="1"/>
  <c r="I1685" i="3" a="1"/>
  <c r="I1685" i="3" s="1"/>
  <c r="I1684" i="3" a="1"/>
  <c r="I1684" i="3" s="1"/>
  <c r="I1683" i="3" a="1"/>
  <c r="I1683" i="3" s="1"/>
  <c r="I1682" i="3" a="1"/>
  <c r="I1682" i="3" s="1"/>
  <c r="I1681" i="3" a="1"/>
  <c r="I1681" i="3" s="1"/>
  <c r="I1680" i="3" a="1"/>
  <c r="I1680" i="3" s="1"/>
  <c r="I1679" i="3" a="1"/>
  <c r="I1679" i="3" s="1"/>
  <c r="I1678" i="3" a="1"/>
  <c r="I1678" i="3" s="1"/>
  <c r="I1677" i="3" a="1"/>
  <c r="I1677" i="3" s="1"/>
  <c r="I1676" i="3" a="1"/>
  <c r="I1676" i="3" s="1"/>
  <c r="I1675" i="3" a="1"/>
  <c r="I1675" i="3" s="1"/>
  <c r="I1674" i="3" a="1"/>
  <c r="I1674" i="3" s="1"/>
  <c r="I1673" i="3" a="1"/>
  <c r="I1673" i="3" s="1"/>
  <c r="I1672" i="3" a="1"/>
  <c r="I1672" i="3" s="1"/>
  <c r="I1671" i="3" a="1"/>
  <c r="I1671" i="3" s="1"/>
  <c r="I1670" i="3" a="1"/>
  <c r="I1670" i="3" s="1"/>
  <c r="I1669" i="3" a="1"/>
  <c r="I1669" i="3" s="1"/>
  <c r="I1668" i="3" a="1"/>
  <c r="I1668" i="3" s="1"/>
  <c r="I1667" i="3" a="1"/>
  <c r="I1667" i="3" s="1"/>
  <c r="I1666" i="3" a="1"/>
  <c r="I1666" i="3" s="1"/>
  <c r="I1665" i="3" a="1"/>
  <c r="I1665" i="3" s="1"/>
  <c r="I1664" i="3" a="1"/>
  <c r="I1664" i="3" s="1"/>
  <c r="I1663" i="3" a="1"/>
  <c r="I1663" i="3" s="1"/>
  <c r="I1662" i="3" a="1"/>
  <c r="I1662" i="3" s="1"/>
  <c r="I1661" i="3" a="1"/>
  <c r="I1661" i="3" s="1"/>
  <c r="I1660" i="3" a="1"/>
  <c r="I1660" i="3" s="1"/>
  <c r="I1659" i="3" a="1"/>
  <c r="I1659" i="3" s="1"/>
  <c r="I1658" i="3" a="1"/>
  <c r="I1658" i="3" s="1"/>
  <c r="I1657" i="3" a="1"/>
  <c r="I1657" i="3" s="1"/>
  <c r="I1656" i="3" a="1"/>
  <c r="I1656" i="3" s="1"/>
  <c r="I1655" i="3" a="1"/>
  <c r="I1655" i="3" s="1"/>
  <c r="I1654" i="3" a="1"/>
  <c r="I1654" i="3" s="1"/>
  <c r="I1653" i="3" a="1"/>
  <c r="I1653" i="3" s="1"/>
  <c r="I1652" i="3" a="1"/>
  <c r="I1652" i="3" s="1"/>
  <c r="I1651" i="3" a="1"/>
  <c r="I1651" i="3" s="1"/>
  <c r="I1650" i="3" a="1"/>
  <c r="I1650" i="3" s="1"/>
  <c r="I1649" i="3" a="1"/>
  <c r="I1649" i="3" s="1"/>
  <c r="I1648" i="3" a="1"/>
  <c r="I1648" i="3" s="1"/>
  <c r="I1647" i="3" a="1"/>
  <c r="I1647" i="3" s="1"/>
  <c r="I1646" i="3" a="1"/>
  <c r="I1646" i="3" s="1"/>
  <c r="I1645" i="3" a="1"/>
  <c r="I1645" i="3" s="1"/>
  <c r="I1644" i="3" a="1"/>
  <c r="I1644" i="3" s="1"/>
  <c r="I1643" i="3" a="1"/>
  <c r="I1643" i="3" s="1"/>
  <c r="I1642" i="3" a="1"/>
  <c r="I1642" i="3" s="1"/>
  <c r="I1641" i="3" a="1"/>
  <c r="I1641" i="3" s="1"/>
  <c r="I1640" i="3" a="1"/>
  <c r="I1640" i="3" s="1"/>
  <c r="I1639" i="3" a="1"/>
  <c r="I1639" i="3" s="1"/>
  <c r="I1638" i="3" a="1"/>
  <c r="I1638" i="3" s="1"/>
  <c r="I1637" i="3" a="1"/>
  <c r="I1637" i="3" s="1"/>
  <c r="I1636" i="3" a="1"/>
  <c r="I1636" i="3" s="1"/>
  <c r="I1635" i="3" a="1"/>
  <c r="I1635" i="3" s="1"/>
  <c r="I1634" i="3" a="1"/>
  <c r="I1634" i="3" s="1"/>
  <c r="I1633" i="3" a="1"/>
  <c r="I1633" i="3" s="1"/>
  <c r="I1632" i="3" a="1"/>
  <c r="I1632" i="3" s="1"/>
  <c r="I1631" i="3" a="1"/>
  <c r="I1631" i="3" s="1"/>
  <c r="I1630" i="3" a="1"/>
  <c r="I1630" i="3" s="1"/>
  <c r="I1629" i="3" a="1"/>
  <c r="I1629" i="3" s="1"/>
  <c r="I1628" i="3" a="1"/>
  <c r="I1628" i="3" s="1"/>
  <c r="I1627" i="3" a="1"/>
  <c r="I1627" i="3" s="1"/>
  <c r="I1626" i="3" a="1"/>
  <c r="I1626" i="3" s="1"/>
  <c r="I1625" i="3" a="1"/>
  <c r="I1625" i="3" s="1"/>
  <c r="I1624" i="3" a="1"/>
  <c r="I1624" i="3" s="1"/>
  <c r="I1623" i="3" a="1"/>
  <c r="I1623" i="3" s="1"/>
  <c r="I1622" i="3" a="1"/>
  <c r="I1622" i="3" s="1"/>
  <c r="I1621" i="3" a="1"/>
  <c r="I1621" i="3" s="1"/>
  <c r="I1620" i="3" a="1"/>
  <c r="I1620" i="3" s="1"/>
  <c r="I1619" i="3" a="1"/>
  <c r="I1619" i="3" s="1"/>
  <c r="I1618" i="3" a="1"/>
  <c r="I1618" i="3" s="1"/>
  <c r="I1617" i="3" a="1"/>
  <c r="I1617" i="3" s="1"/>
  <c r="I1616" i="3" a="1"/>
  <c r="I1616" i="3" s="1"/>
  <c r="I1615" i="3" a="1"/>
  <c r="I1615" i="3" s="1"/>
  <c r="I1614" i="3" a="1"/>
  <c r="I1614" i="3" s="1"/>
  <c r="I1613" i="3" a="1"/>
  <c r="I1613" i="3" s="1"/>
  <c r="I1612" i="3" a="1"/>
  <c r="I1612" i="3" s="1"/>
  <c r="I1611" i="3" a="1"/>
  <c r="I1611" i="3" s="1"/>
  <c r="I1610" i="3" a="1"/>
  <c r="I1610" i="3" s="1"/>
  <c r="I1609" i="3" a="1"/>
  <c r="I1609" i="3" s="1"/>
  <c r="I1608" i="3" a="1"/>
  <c r="I1608" i="3" s="1"/>
  <c r="I1607" i="3" a="1"/>
  <c r="I1607" i="3" s="1"/>
  <c r="I1606" i="3" a="1"/>
  <c r="I1606" i="3" s="1"/>
  <c r="I1605" i="3" a="1"/>
  <c r="I1605" i="3" s="1"/>
  <c r="I1604" i="3" a="1"/>
  <c r="I1604" i="3" s="1"/>
  <c r="I1603" i="3" a="1"/>
  <c r="I1603" i="3" s="1"/>
  <c r="I1602" i="3" a="1"/>
  <c r="I1602" i="3" s="1"/>
  <c r="I1601" i="3" a="1"/>
  <c r="I1601" i="3" s="1"/>
  <c r="I1600" i="3" a="1"/>
  <c r="I1600" i="3" s="1"/>
  <c r="I1599" i="3" a="1"/>
  <c r="I1599" i="3" s="1"/>
  <c r="I1598" i="3" a="1"/>
  <c r="I1598" i="3" s="1"/>
  <c r="I1597" i="3" a="1"/>
  <c r="I1597" i="3" s="1"/>
  <c r="I1596" i="3" a="1"/>
  <c r="I1596" i="3" s="1"/>
  <c r="I1595" i="3" a="1"/>
  <c r="I1595" i="3" s="1"/>
  <c r="I1594" i="3" a="1"/>
  <c r="I1594" i="3" s="1"/>
  <c r="I1593" i="3" a="1"/>
  <c r="I1593" i="3" s="1"/>
  <c r="I1592" i="3" a="1"/>
  <c r="I1592" i="3" s="1"/>
  <c r="I1591" i="3" a="1"/>
  <c r="I1591" i="3" s="1"/>
  <c r="I1590" i="3" a="1"/>
  <c r="I1590" i="3" s="1"/>
  <c r="I1589" i="3" a="1"/>
  <c r="I1589" i="3" s="1"/>
  <c r="I1588" i="3" a="1"/>
  <c r="I1588" i="3" s="1"/>
  <c r="I1587" i="3" a="1"/>
  <c r="I1587" i="3" s="1"/>
  <c r="I1586" i="3" a="1"/>
  <c r="I1586" i="3" s="1"/>
  <c r="I1585" i="3" a="1"/>
  <c r="I1585" i="3" s="1"/>
  <c r="I1584" i="3" a="1"/>
  <c r="I1584" i="3" s="1"/>
  <c r="I1583" i="3" a="1"/>
  <c r="I1583" i="3" s="1"/>
  <c r="I1582" i="3" a="1"/>
  <c r="I1582" i="3" s="1"/>
  <c r="I1581" i="3" a="1"/>
  <c r="I1581" i="3" s="1"/>
  <c r="I1580" i="3" a="1"/>
  <c r="I1580" i="3" s="1"/>
  <c r="I1579" i="3" a="1"/>
  <c r="I1579" i="3" s="1"/>
  <c r="I1578" i="3" a="1"/>
  <c r="I1578" i="3" s="1"/>
  <c r="I1577" i="3" a="1"/>
  <c r="I1577" i="3" s="1"/>
  <c r="I1576" i="3" a="1"/>
  <c r="I1576" i="3" s="1"/>
  <c r="I1575" i="3" a="1"/>
  <c r="I1575" i="3" s="1"/>
  <c r="I1574" i="3" a="1"/>
  <c r="I1574" i="3" s="1"/>
  <c r="I1573" i="3" a="1"/>
  <c r="I1573" i="3" s="1"/>
  <c r="I1572" i="3" a="1"/>
  <c r="I1572" i="3" s="1"/>
  <c r="I1571" i="3" a="1"/>
  <c r="I1571" i="3" s="1"/>
  <c r="I1570" i="3" a="1"/>
  <c r="I1570" i="3" s="1"/>
  <c r="I1569" i="3" a="1"/>
  <c r="I1569" i="3" s="1"/>
  <c r="I1568" i="3" a="1"/>
  <c r="I1568" i="3" s="1"/>
  <c r="I1567" i="3" a="1"/>
  <c r="I1567" i="3" s="1"/>
  <c r="I1566" i="3" a="1"/>
  <c r="I1566" i="3" s="1"/>
  <c r="I1565" i="3" a="1"/>
  <c r="I1565" i="3" s="1"/>
  <c r="I1564" i="3" a="1"/>
  <c r="I1564" i="3" s="1"/>
  <c r="I1563" i="3" a="1"/>
  <c r="I1563" i="3" s="1"/>
  <c r="I1562" i="3" a="1"/>
  <c r="I1562" i="3" s="1"/>
  <c r="I1561" i="3" a="1"/>
  <c r="I1561" i="3" s="1"/>
  <c r="I1560" i="3" a="1"/>
  <c r="I1560" i="3" s="1"/>
  <c r="I1559" i="3" a="1"/>
  <c r="I1559" i="3" s="1"/>
  <c r="I1558" i="3" a="1"/>
  <c r="I1558" i="3" s="1"/>
  <c r="I1557" i="3" a="1"/>
  <c r="I1557" i="3" s="1"/>
  <c r="I1556" i="3" a="1"/>
  <c r="I1556" i="3" s="1"/>
  <c r="I1555" i="3" a="1"/>
  <c r="I1555" i="3" s="1"/>
  <c r="I1554" i="3" a="1"/>
  <c r="I1554" i="3" s="1"/>
  <c r="I1553" i="3" a="1"/>
  <c r="I1553" i="3" s="1"/>
  <c r="I1552" i="3" a="1"/>
  <c r="I1552" i="3" s="1"/>
  <c r="I1551" i="3" a="1"/>
  <c r="I1551" i="3" s="1"/>
  <c r="I1550" i="3" a="1"/>
  <c r="I1550" i="3" s="1"/>
  <c r="I1549" i="3" a="1"/>
  <c r="I1549" i="3" s="1"/>
  <c r="I1548" i="3" a="1"/>
  <c r="I1548" i="3" s="1"/>
  <c r="I1547" i="3" a="1"/>
  <c r="I1547" i="3" s="1"/>
  <c r="I1546" i="3" a="1"/>
  <c r="I1546" i="3" s="1"/>
  <c r="I1545" i="3" a="1"/>
  <c r="I1545" i="3" s="1"/>
  <c r="I1544" i="3" a="1"/>
  <c r="I1544" i="3" s="1"/>
  <c r="I1543" i="3" a="1"/>
  <c r="I1543" i="3" s="1"/>
  <c r="I1542" i="3" a="1"/>
  <c r="I1542" i="3" s="1"/>
  <c r="I1541" i="3" a="1"/>
  <c r="I1541" i="3" s="1"/>
  <c r="I1540" i="3" a="1"/>
  <c r="I1540" i="3" s="1"/>
  <c r="I1539" i="3" a="1"/>
  <c r="I1539" i="3" s="1"/>
  <c r="I1538" i="3" a="1"/>
  <c r="I1538" i="3" s="1"/>
  <c r="I1537" i="3" a="1"/>
  <c r="I1537" i="3" s="1"/>
  <c r="I1536" i="3" a="1"/>
  <c r="I1536" i="3" s="1"/>
  <c r="I1535" i="3" a="1"/>
  <c r="I1535" i="3" s="1"/>
  <c r="I1534" i="3" a="1"/>
  <c r="I1534" i="3" s="1"/>
  <c r="I1533" i="3" a="1"/>
  <c r="I1533" i="3" s="1"/>
  <c r="I1532" i="3" a="1"/>
  <c r="I1532" i="3" s="1"/>
  <c r="I1531" i="3" a="1"/>
  <c r="I1531" i="3" s="1"/>
  <c r="I1530" i="3" a="1"/>
  <c r="I1530" i="3" s="1"/>
  <c r="I1529" i="3" a="1"/>
  <c r="I1529" i="3" s="1"/>
  <c r="I1528" i="3" a="1"/>
  <c r="I1528" i="3" s="1"/>
  <c r="I1527" i="3" a="1"/>
  <c r="I1527" i="3" s="1"/>
  <c r="I1526" i="3" a="1"/>
  <c r="I1526" i="3" s="1"/>
  <c r="I1525" i="3" a="1"/>
  <c r="I1525" i="3" s="1"/>
  <c r="I1524" i="3" a="1"/>
  <c r="I1524" i="3" s="1"/>
  <c r="I1523" i="3" a="1"/>
  <c r="I1523" i="3" s="1"/>
  <c r="I1522" i="3" a="1"/>
  <c r="I1522" i="3" s="1"/>
  <c r="I1521" i="3" a="1"/>
  <c r="I1521" i="3" s="1"/>
  <c r="I1520" i="3" a="1"/>
  <c r="I1520" i="3" s="1"/>
  <c r="I1519" i="3" a="1"/>
  <c r="I1519" i="3" s="1"/>
  <c r="I1518" i="3" a="1"/>
  <c r="I1518" i="3" s="1"/>
  <c r="I1517" i="3" a="1"/>
  <c r="I1517" i="3" s="1"/>
  <c r="I1516" i="3" a="1"/>
  <c r="I1516" i="3" s="1"/>
  <c r="I1515" i="3" a="1"/>
  <c r="I1515" i="3" s="1"/>
  <c r="I1514" i="3" a="1"/>
  <c r="I1514" i="3" s="1"/>
  <c r="I1513" i="3" a="1"/>
  <c r="I1513" i="3" s="1"/>
  <c r="I1512" i="3" a="1"/>
  <c r="I1512" i="3" s="1"/>
  <c r="I1511" i="3" a="1"/>
  <c r="I1511" i="3" s="1"/>
  <c r="I1510" i="3" a="1"/>
  <c r="I1510" i="3" s="1"/>
  <c r="I1509" i="3" a="1"/>
  <c r="I1509" i="3" s="1"/>
  <c r="I1508" i="3" a="1"/>
  <c r="I1508" i="3" s="1"/>
  <c r="I1507" i="3" a="1"/>
  <c r="I1507" i="3" s="1"/>
  <c r="I1506" i="3" a="1"/>
  <c r="I1506" i="3" s="1"/>
  <c r="I1505" i="3" a="1"/>
  <c r="I1505" i="3" s="1"/>
  <c r="I1504" i="3" a="1"/>
  <c r="I1504" i="3" s="1"/>
  <c r="I1503" i="3" a="1"/>
  <c r="I1503" i="3" s="1"/>
  <c r="I1502" i="3" a="1"/>
  <c r="I1502" i="3" s="1"/>
  <c r="I1501" i="3" a="1"/>
  <c r="I1501" i="3" s="1"/>
  <c r="I1500" i="3" a="1"/>
  <c r="I1500" i="3" s="1"/>
  <c r="I1499" i="3" a="1"/>
  <c r="I1499" i="3" s="1"/>
  <c r="I1498" i="3" a="1"/>
  <c r="I1498" i="3" s="1"/>
  <c r="I1497" i="3" a="1"/>
  <c r="I1497" i="3" s="1"/>
  <c r="I1496" i="3" a="1"/>
  <c r="I1496" i="3" s="1"/>
  <c r="I1495" i="3" a="1"/>
  <c r="I1495" i="3" s="1"/>
  <c r="I1494" i="3" a="1"/>
  <c r="I1494" i="3" s="1"/>
  <c r="I1493" i="3" a="1"/>
  <c r="I1493" i="3" s="1"/>
  <c r="I1492" i="3" a="1"/>
  <c r="I1492" i="3" s="1"/>
  <c r="I1491" i="3" a="1"/>
  <c r="I1491" i="3" s="1"/>
  <c r="I1490" i="3" a="1"/>
  <c r="I1490" i="3" s="1"/>
  <c r="I1489" i="3" a="1"/>
  <c r="I1489" i="3" s="1"/>
  <c r="I1488" i="3" a="1"/>
  <c r="I1488" i="3" s="1"/>
  <c r="I1487" i="3" a="1"/>
  <c r="I1487" i="3" s="1"/>
  <c r="I1486" i="3" a="1"/>
  <c r="I1486" i="3" s="1"/>
  <c r="I1485" i="3" a="1"/>
  <c r="I1485" i="3" s="1"/>
  <c r="I1484" i="3" a="1"/>
  <c r="I1484" i="3" s="1"/>
  <c r="I1483" i="3" a="1"/>
  <c r="I1483" i="3" s="1"/>
  <c r="I1482" i="3" a="1"/>
  <c r="I1482" i="3" s="1"/>
  <c r="I1481" i="3" a="1"/>
  <c r="I1481" i="3" s="1"/>
  <c r="I1480" i="3" a="1"/>
  <c r="I1480" i="3" s="1"/>
  <c r="I1479" i="3" a="1"/>
  <c r="I1479" i="3" s="1"/>
  <c r="I1478" i="3" a="1"/>
  <c r="I1478" i="3" s="1"/>
  <c r="I1477" i="3" a="1"/>
  <c r="I1477" i="3" s="1"/>
  <c r="I1476" i="3" a="1"/>
  <c r="I1476" i="3" s="1"/>
  <c r="I1475" i="3" a="1"/>
  <c r="I1475" i="3" s="1"/>
  <c r="I1474" i="3" a="1"/>
  <c r="I1474" i="3" s="1"/>
  <c r="I1473" i="3" a="1"/>
  <c r="I1473" i="3" s="1"/>
  <c r="I1472" i="3" a="1"/>
  <c r="I1472" i="3" s="1"/>
  <c r="I1471" i="3" a="1"/>
  <c r="I1471" i="3" s="1"/>
  <c r="I1470" i="3" a="1"/>
  <c r="I1470" i="3" s="1"/>
  <c r="I1469" i="3" a="1"/>
  <c r="I1469" i="3" s="1"/>
  <c r="I1468" i="3" a="1"/>
  <c r="I1468" i="3" s="1"/>
  <c r="I1467" i="3" a="1"/>
  <c r="I1467" i="3" s="1"/>
  <c r="I1466" i="3" a="1"/>
  <c r="I1466" i="3" s="1"/>
  <c r="I1465" i="3" a="1"/>
  <c r="I1465" i="3" s="1"/>
  <c r="I1464" i="3" a="1"/>
  <c r="I1464" i="3" s="1"/>
  <c r="I1463" i="3" a="1"/>
  <c r="I1463" i="3" s="1"/>
  <c r="I1462" i="3" a="1"/>
  <c r="I1462" i="3" s="1"/>
  <c r="I1461" i="3" a="1"/>
  <c r="I1461" i="3" s="1"/>
  <c r="I1460" i="3" a="1"/>
  <c r="I1460" i="3" s="1"/>
  <c r="I1459" i="3" a="1"/>
  <c r="I1459" i="3" s="1"/>
  <c r="I1458" i="3" a="1"/>
  <c r="I1458" i="3" s="1"/>
  <c r="I1457" i="3" a="1"/>
  <c r="I1457" i="3" s="1"/>
  <c r="I1456" i="3" a="1"/>
  <c r="I1456" i="3" s="1"/>
  <c r="I1455" i="3" a="1"/>
  <c r="I1455" i="3" s="1"/>
  <c r="I1454" i="3" a="1"/>
  <c r="I1454" i="3" s="1"/>
  <c r="I1453" i="3" a="1"/>
  <c r="I1453" i="3" s="1"/>
  <c r="I1452" i="3" a="1"/>
  <c r="I1452" i="3" s="1"/>
  <c r="I1451" i="3" a="1"/>
  <c r="I1451" i="3" s="1"/>
  <c r="I1450" i="3" a="1"/>
  <c r="I1450" i="3" s="1"/>
  <c r="I1449" i="3" a="1"/>
  <c r="I1449" i="3" s="1"/>
  <c r="I1448" i="3" a="1"/>
  <c r="I1448" i="3" s="1"/>
  <c r="I1447" i="3" a="1"/>
  <c r="I1447" i="3" s="1"/>
  <c r="I1446" i="3" a="1"/>
  <c r="I1446" i="3" s="1"/>
  <c r="I1445" i="3" a="1"/>
  <c r="I1445" i="3" s="1"/>
  <c r="I1444" i="3" a="1"/>
  <c r="I1444" i="3" s="1"/>
  <c r="I1443" i="3" a="1"/>
  <c r="I1443" i="3" s="1"/>
  <c r="I1442" i="3" a="1"/>
  <c r="I1442" i="3" s="1"/>
  <c r="I1441" i="3" a="1"/>
  <c r="I1441" i="3" s="1"/>
  <c r="I1440" i="3" a="1"/>
  <c r="I1440" i="3" s="1"/>
  <c r="I1439" i="3" a="1"/>
  <c r="I1439" i="3" s="1"/>
  <c r="I1438" i="3" a="1"/>
  <c r="I1438" i="3" s="1"/>
  <c r="I1437" i="3" a="1"/>
  <c r="I1437" i="3" s="1"/>
  <c r="I1436" i="3" a="1"/>
  <c r="I1436" i="3" s="1"/>
  <c r="I1435" i="3" a="1"/>
  <c r="I1435" i="3" s="1"/>
  <c r="I1434" i="3" a="1"/>
  <c r="I1434" i="3" s="1"/>
  <c r="I1433" i="3" a="1"/>
  <c r="I1433" i="3" s="1"/>
  <c r="I1432" i="3" a="1"/>
  <c r="I1432" i="3" s="1"/>
  <c r="I1431" i="3" a="1"/>
  <c r="I1431" i="3" s="1"/>
  <c r="I1430" i="3" a="1"/>
  <c r="I1430" i="3" s="1"/>
  <c r="I1429" i="3" a="1"/>
  <c r="I1429" i="3" s="1"/>
  <c r="I1428" i="3" a="1"/>
  <c r="I1428" i="3" s="1"/>
  <c r="I1427" i="3" a="1"/>
  <c r="I1427" i="3" s="1"/>
  <c r="I1426" i="3" a="1"/>
  <c r="I1426" i="3" s="1"/>
  <c r="I1425" i="3" a="1"/>
  <c r="I1425" i="3" s="1"/>
  <c r="I1424" i="3" a="1"/>
  <c r="I1424" i="3" s="1"/>
  <c r="I1423" i="3" a="1"/>
  <c r="I1423" i="3" s="1"/>
  <c r="I1422" i="3" a="1"/>
  <c r="I1422" i="3" s="1"/>
  <c r="I1421" i="3" a="1"/>
  <c r="I1421" i="3" s="1"/>
  <c r="I1420" i="3" a="1"/>
  <c r="I1420" i="3" s="1"/>
  <c r="I1419" i="3" a="1"/>
  <c r="I1419" i="3" s="1"/>
  <c r="I1418" i="3" a="1"/>
  <c r="I1418" i="3" s="1"/>
  <c r="I1417" i="3" a="1"/>
  <c r="I1417" i="3" s="1"/>
  <c r="I1416" i="3" a="1"/>
  <c r="I1416" i="3" s="1"/>
  <c r="I1415" i="3" a="1"/>
  <c r="I1415" i="3" s="1"/>
  <c r="I1414" i="3" a="1"/>
  <c r="I1414" i="3" s="1"/>
  <c r="I1413" i="3" a="1"/>
  <c r="I1413" i="3" s="1"/>
  <c r="I1412" i="3" a="1"/>
  <c r="I1412" i="3" s="1"/>
  <c r="I1411" i="3" a="1"/>
  <c r="I1411" i="3" s="1"/>
  <c r="I1410" i="3" a="1"/>
  <c r="I1410" i="3" s="1"/>
  <c r="I1409" i="3" a="1"/>
  <c r="I1409" i="3" s="1"/>
  <c r="I1408" i="3" a="1"/>
  <c r="I1408" i="3" s="1"/>
  <c r="I1407" i="3" a="1"/>
  <c r="I1407" i="3" s="1"/>
  <c r="I1406" i="3" a="1"/>
  <c r="I1406" i="3" s="1"/>
  <c r="I1405" i="3" a="1"/>
  <c r="I1405" i="3" s="1"/>
  <c r="I1404" i="3" a="1"/>
  <c r="I1404" i="3" s="1"/>
  <c r="I1403" i="3" a="1"/>
  <c r="I1403" i="3" s="1"/>
  <c r="I1402" i="3" a="1"/>
  <c r="I1402" i="3" s="1"/>
  <c r="I1401" i="3" a="1"/>
  <c r="I1401" i="3" s="1"/>
  <c r="I1400" i="3" a="1"/>
  <c r="I1400" i="3" s="1"/>
  <c r="I1399" i="3" a="1"/>
  <c r="I1399" i="3" s="1"/>
  <c r="I1398" i="3" a="1"/>
  <c r="I1398" i="3" s="1"/>
  <c r="I1397" i="3" a="1"/>
  <c r="I1397" i="3" s="1"/>
  <c r="I1396" i="3" a="1"/>
  <c r="I1396" i="3" s="1"/>
  <c r="I1395" i="3" a="1"/>
  <c r="I1395" i="3" s="1"/>
  <c r="I1394" i="3" a="1"/>
  <c r="I1394" i="3" s="1"/>
  <c r="I1393" i="3" a="1"/>
  <c r="I1393" i="3" s="1"/>
  <c r="I1392" i="3" a="1"/>
  <c r="I1392" i="3" s="1"/>
  <c r="I1391" i="3" a="1"/>
  <c r="I1391" i="3" s="1"/>
  <c r="I1390" i="3" a="1"/>
  <c r="I1390" i="3" s="1"/>
  <c r="I1389" i="3" a="1"/>
  <c r="I1389" i="3" s="1"/>
  <c r="I1388" i="3" a="1"/>
  <c r="I1388" i="3" s="1"/>
  <c r="I1387" i="3" a="1"/>
  <c r="I1387" i="3" s="1"/>
  <c r="I1386" i="3" a="1"/>
  <c r="I1386" i="3" s="1"/>
  <c r="I1385" i="3" a="1"/>
  <c r="I1385" i="3" s="1"/>
  <c r="I1384" i="3" a="1"/>
  <c r="I1384" i="3" s="1"/>
  <c r="I1383" i="3" a="1"/>
  <c r="I1383" i="3" s="1"/>
  <c r="I1382" i="3" a="1"/>
  <c r="I1382" i="3" s="1"/>
  <c r="I1381" i="3" a="1"/>
  <c r="I1381" i="3" s="1"/>
  <c r="I1380" i="3" a="1"/>
  <c r="I1380" i="3" s="1"/>
  <c r="I1379" i="3" a="1"/>
  <c r="I1379" i="3" s="1"/>
  <c r="I1378" i="3" a="1"/>
  <c r="I1378" i="3" s="1"/>
  <c r="I1377" i="3" a="1"/>
  <c r="I1377" i="3" s="1"/>
  <c r="I1376" i="3" a="1"/>
  <c r="I1376" i="3" s="1"/>
  <c r="I1375" i="3" a="1"/>
  <c r="I1375" i="3" s="1"/>
  <c r="I1374" i="3" a="1"/>
  <c r="I1374" i="3" s="1"/>
  <c r="I1373" i="3" a="1"/>
  <c r="I1373" i="3" s="1"/>
  <c r="I1372" i="3" a="1"/>
  <c r="I1372" i="3" s="1"/>
  <c r="I1371" i="3" a="1"/>
  <c r="I1371" i="3" s="1"/>
  <c r="I1370" i="3" a="1"/>
  <c r="I1370" i="3" s="1"/>
  <c r="I1369" i="3" a="1"/>
  <c r="I1369" i="3" s="1"/>
  <c r="I1368" i="3" a="1"/>
  <c r="I1368" i="3" s="1"/>
  <c r="I1367" i="3" a="1"/>
  <c r="I1367" i="3" s="1"/>
  <c r="I1366" i="3" a="1"/>
  <c r="I1366" i="3" s="1"/>
  <c r="I1365" i="3" a="1"/>
  <c r="I1365" i="3" s="1"/>
  <c r="I1364" i="3" a="1"/>
  <c r="I1364" i="3" s="1"/>
  <c r="I1363" i="3" a="1"/>
  <c r="I1363" i="3" s="1"/>
  <c r="I1362" i="3" a="1"/>
  <c r="I1362" i="3" s="1"/>
  <c r="I1361" i="3" a="1"/>
  <c r="I1361" i="3" s="1"/>
  <c r="I1360" i="3" a="1"/>
  <c r="I1360" i="3" s="1"/>
  <c r="I1359" i="3" a="1"/>
  <c r="I1359" i="3" s="1"/>
  <c r="I1358" i="3" a="1"/>
  <c r="I1358" i="3" s="1"/>
  <c r="I1357" i="3" a="1"/>
  <c r="I1357" i="3" s="1"/>
  <c r="I1356" i="3" a="1"/>
  <c r="I1356" i="3" s="1"/>
  <c r="I1355" i="3" a="1"/>
  <c r="I1355" i="3" s="1"/>
  <c r="I1354" i="3" a="1"/>
  <c r="I1354" i="3" s="1"/>
  <c r="I1353" i="3" a="1"/>
  <c r="I1353" i="3" s="1"/>
  <c r="I1352" i="3" a="1"/>
  <c r="I1352" i="3" s="1"/>
  <c r="I1351" i="3" a="1"/>
  <c r="I1351" i="3" s="1"/>
  <c r="I1350" i="3" a="1"/>
  <c r="I1350" i="3" s="1"/>
  <c r="I1349" i="3" a="1"/>
  <c r="I1349" i="3" s="1"/>
  <c r="I1348" i="3" a="1"/>
  <c r="I1348" i="3" s="1"/>
  <c r="I1347" i="3" a="1"/>
  <c r="I1347" i="3" s="1"/>
  <c r="I1346" i="3" a="1"/>
  <c r="I1346" i="3" s="1"/>
  <c r="I1345" i="3" a="1"/>
  <c r="I1345" i="3" s="1"/>
  <c r="I1344" i="3" a="1"/>
  <c r="I1344" i="3" s="1"/>
  <c r="I1343" i="3" a="1"/>
  <c r="I1343" i="3" s="1"/>
  <c r="I1342" i="3" a="1"/>
  <c r="I1342" i="3" s="1"/>
  <c r="I1341" i="3" a="1"/>
  <c r="I1341" i="3" s="1"/>
  <c r="I1340" i="3" a="1"/>
  <c r="I1340" i="3" s="1"/>
  <c r="I1339" i="3" a="1"/>
  <c r="I1339" i="3" s="1"/>
  <c r="I1338" i="3" a="1"/>
  <c r="I1338" i="3" s="1"/>
  <c r="I1337" i="3" a="1"/>
  <c r="I1337" i="3" s="1"/>
  <c r="I1336" i="3" a="1"/>
  <c r="I1336" i="3" s="1"/>
  <c r="I1335" i="3" a="1"/>
  <c r="I1335" i="3" s="1"/>
  <c r="I1334" i="3" a="1"/>
  <c r="I1334" i="3" s="1"/>
  <c r="I1333" i="3" a="1"/>
  <c r="I1333" i="3" s="1"/>
  <c r="I1332" i="3" a="1"/>
  <c r="I1332" i="3" s="1"/>
  <c r="I1331" i="3" a="1"/>
  <c r="I1331" i="3" s="1"/>
  <c r="I1330" i="3" a="1"/>
  <c r="I1330" i="3" s="1"/>
  <c r="I1329" i="3" a="1"/>
  <c r="I1329" i="3" s="1"/>
  <c r="I1328" i="3" a="1"/>
  <c r="I1328" i="3" s="1"/>
  <c r="I1327" i="3" a="1"/>
  <c r="I1327" i="3" s="1"/>
  <c r="I1326" i="3" a="1"/>
  <c r="I1326" i="3" s="1"/>
  <c r="I1325" i="3" a="1"/>
  <c r="I1325" i="3" s="1"/>
  <c r="I1324" i="3" a="1"/>
  <c r="I1324" i="3" s="1"/>
  <c r="I1323" i="3" a="1"/>
  <c r="I1323" i="3" s="1"/>
  <c r="I1322" i="3" a="1"/>
  <c r="I1322" i="3" s="1"/>
  <c r="I1321" i="3" a="1"/>
  <c r="I1321" i="3" s="1"/>
  <c r="I1320" i="3" a="1"/>
  <c r="I1320" i="3" s="1"/>
  <c r="I1319" i="3" a="1"/>
  <c r="I1319" i="3" s="1"/>
  <c r="I1318" i="3" a="1"/>
  <c r="I1318" i="3" s="1"/>
  <c r="I1317" i="3" a="1"/>
  <c r="I1317" i="3" s="1"/>
  <c r="I1316" i="3" a="1"/>
  <c r="I1316" i="3" s="1"/>
  <c r="I1315" i="3" a="1"/>
  <c r="I1315" i="3" s="1"/>
  <c r="I1314" i="3" a="1"/>
  <c r="I1314" i="3" s="1"/>
  <c r="I1313" i="3" a="1"/>
  <c r="I1313" i="3" s="1"/>
  <c r="I1312" i="3" a="1"/>
  <c r="I1312" i="3" s="1"/>
  <c r="I1311" i="3" a="1"/>
  <c r="I1311" i="3" s="1"/>
  <c r="I1310" i="3" a="1"/>
  <c r="I1310" i="3" s="1"/>
  <c r="I1309" i="3" a="1"/>
  <c r="I1309" i="3" s="1"/>
  <c r="I1308" i="3" a="1"/>
  <c r="I1308" i="3" s="1"/>
  <c r="I1307" i="3" a="1"/>
  <c r="I1307" i="3" s="1"/>
  <c r="I1306" i="3" a="1"/>
  <c r="I1306" i="3" s="1"/>
  <c r="I1305" i="3" a="1"/>
  <c r="I1305" i="3" s="1"/>
  <c r="I1304" i="3" a="1"/>
  <c r="I1304" i="3" s="1"/>
  <c r="I1303" i="3" a="1"/>
  <c r="I1303" i="3" s="1"/>
  <c r="I1302" i="3" a="1"/>
  <c r="I1302" i="3" s="1"/>
  <c r="I1301" i="3" a="1"/>
  <c r="I1301" i="3" s="1"/>
  <c r="I1300" i="3" a="1"/>
  <c r="I1300" i="3" s="1"/>
  <c r="I1299" i="3" a="1"/>
  <c r="I1299" i="3" s="1"/>
  <c r="I1298" i="3" a="1"/>
  <c r="I1298" i="3" s="1"/>
  <c r="I1297" i="3" a="1"/>
  <c r="I1297" i="3" s="1"/>
  <c r="I1296" i="3" a="1"/>
  <c r="I1296" i="3" s="1"/>
  <c r="I1295" i="3" a="1"/>
  <c r="I1295" i="3" s="1"/>
  <c r="I1294" i="3" a="1"/>
  <c r="I1294" i="3" s="1"/>
  <c r="I1293" i="3" a="1"/>
  <c r="I1293" i="3" s="1"/>
  <c r="I1292" i="3" a="1"/>
  <c r="I1292" i="3" s="1"/>
  <c r="I1291" i="3" a="1"/>
  <c r="I1291" i="3" s="1"/>
  <c r="I1290" i="3" a="1"/>
  <c r="I1290" i="3" s="1"/>
  <c r="I1289" i="3" a="1"/>
  <c r="I1289" i="3" s="1"/>
  <c r="I1288" i="3" a="1"/>
  <c r="I1288" i="3" s="1"/>
  <c r="I1287" i="3" a="1"/>
  <c r="I1287" i="3" s="1"/>
  <c r="I1286" i="3" a="1"/>
  <c r="I1286" i="3" s="1"/>
  <c r="I1285" i="3" a="1"/>
  <c r="I1285" i="3" s="1"/>
  <c r="I1284" i="3" a="1"/>
  <c r="I1284" i="3" s="1"/>
  <c r="I1283" i="3" a="1"/>
  <c r="I1283" i="3" s="1"/>
  <c r="I1282" i="3" a="1"/>
  <c r="I1282" i="3" s="1"/>
  <c r="I1281" i="3" a="1"/>
  <c r="I1281" i="3" s="1"/>
  <c r="I1280" i="3" a="1"/>
  <c r="I1280" i="3" s="1"/>
  <c r="I1279" i="3" a="1"/>
  <c r="I1279" i="3" s="1"/>
  <c r="I1278" i="3" a="1"/>
  <c r="I1278" i="3" s="1"/>
  <c r="I1277" i="3" a="1"/>
  <c r="I1277" i="3" s="1"/>
  <c r="I1276" i="3" a="1"/>
  <c r="I1276" i="3" s="1"/>
  <c r="I1275" i="3" a="1"/>
  <c r="I1275" i="3" s="1"/>
  <c r="I1274" i="3" a="1"/>
  <c r="I1274" i="3" s="1"/>
  <c r="I1273" i="3" a="1"/>
  <c r="I1273" i="3" s="1"/>
  <c r="I1272" i="3" a="1"/>
  <c r="I1272" i="3" s="1"/>
  <c r="I1271" i="3" a="1"/>
  <c r="I1271" i="3" s="1"/>
  <c r="I1270" i="3" a="1"/>
  <c r="I1270" i="3" s="1"/>
  <c r="I1269" i="3" a="1"/>
  <c r="I1269" i="3" s="1"/>
  <c r="I1268" i="3" a="1"/>
  <c r="I1268" i="3" s="1"/>
  <c r="I1267" i="3" a="1"/>
  <c r="I1267" i="3" s="1"/>
  <c r="I1266" i="3" a="1"/>
  <c r="I1266" i="3" s="1"/>
  <c r="I1265" i="3" a="1"/>
  <c r="I1265" i="3" s="1"/>
  <c r="I1264" i="3" a="1"/>
  <c r="I1264" i="3" s="1"/>
  <c r="I1263" i="3" a="1"/>
  <c r="I1263" i="3" s="1"/>
  <c r="I1262" i="3" a="1"/>
  <c r="I1262" i="3" s="1"/>
  <c r="I1261" i="3" a="1"/>
  <c r="I1261" i="3" s="1"/>
  <c r="I1260" i="3" a="1"/>
  <c r="I1260" i="3" s="1"/>
  <c r="I1259" i="3" a="1"/>
  <c r="I1259" i="3" s="1"/>
  <c r="I1258" i="3" a="1"/>
  <c r="I1258" i="3" s="1"/>
  <c r="I1257" i="3" a="1"/>
  <c r="I1257" i="3" s="1"/>
  <c r="I1256" i="3" a="1"/>
  <c r="I1256" i="3" s="1"/>
  <c r="I1255" i="3" a="1"/>
  <c r="I1255" i="3" s="1"/>
  <c r="I1254" i="3" a="1"/>
  <c r="I1254" i="3" s="1"/>
  <c r="I1253" i="3" a="1"/>
  <c r="I1253" i="3" s="1"/>
  <c r="I1252" i="3" a="1"/>
  <c r="I1252" i="3" s="1"/>
  <c r="I1251" i="3" a="1"/>
  <c r="I1251" i="3" s="1"/>
  <c r="I1250" i="3" a="1"/>
  <c r="I1250" i="3" s="1"/>
  <c r="I1249" i="3" a="1"/>
  <c r="I1249" i="3" s="1"/>
  <c r="I1248" i="3" a="1"/>
  <c r="I1248" i="3" s="1"/>
  <c r="I1247" i="3" a="1"/>
  <c r="I1247" i="3" s="1"/>
  <c r="I1246" i="3" a="1"/>
  <c r="I1246" i="3" s="1"/>
  <c r="I1245" i="3" a="1"/>
  <c r="I1245" i="3" s="1"/>
  <c r="I1244" i="3" a="1"/>
  <c r="I1244" i="3" s="1"/>
  <c r="I1243" i="3" a="1"/>
  <c r="I1243" i="3" s="1"/>
  <c r="I1242" i="3" a="1"/>
  <c r="I1242" i="3" s="1"/>
  <c r="I1241" i="3" a="1"/>
  <c r="I1241" i="3" s="1"/>
  <c r="I1240" i="3" a="1"/>
  <c r="I1240" i="3" s="1"/>
  <c r="I1239" i="3" a="1"/>
  <c r="I1239" i="3" s="1"/>
  <c r="I1238" i="3" a="1"/>
  <c r="I1238" i="3" s="1"/>
  <c r="I1237" i="3" a="1"/>
  <c r="I1237" i="3" s="1"/>
  <c r="I1236" i="3" a="1"/>
  <c r="I1236" i="3" s="1"/>
  <c r="I1235" i="3" a="1"/>
  <c r="I1235" i="3" s="1"/>
  <c r="I1234" i="3" a="1"/>
  <c r="I1234" i="3" s="1"/>
  <c r="I1233" i="3" a="1"/>
  <c r="I1233" i="3" s="1"/>
  <c r="I1232" i="3" a="1"/>
  <c r="I1232" i="3" s="1"/>
  <c r="I1231" i="3" a="1"/>
  <c r="I1231" i="3" s="1"/>
  <c r="I1230" i="3" a="1"/>
  <c r="I1230" i="3" s="1"/>
  <c r="I1229" i="3" a="1"/>
  <c r="I1229" i="3" s="1"/>
  <c r="I1228" i="3" a="1"/>
  <c r="I1228" i="3" s="1"/>
  <c r="I1227" i="3" a="1"/>
  <c r="I1227" i="3" s="1"/>
  <c r="I1226" i="3" a="1"/>
  <c r="I1226" i="3" s="1"/>
  <c r="I1225" i="3" a="1"/>
  <c r="I1225" i="3" s="1"/>
  <c r="I1224" i="3" a="1"/>
  <c r="I1224" i="3" s="1"/>
  <c r="I1223" i="3" a="1"/>
  <c r="I1223" i="3" s="1"/>
  <c r="I1222" i="3" a="1"/>
  <c r="I1222" i="3" s="1"/>
  <c r="I1221" i="3" a="1"/>
  <c r="I1221" i="3" s="1"/>
  <c r="I1220" i="3" a="1"/>
  <c r="I1220" i="3" s="1"/>
  <c r="I1219" i="3" a="1"/>
  <c r="I1219" i="3" s="1"/>
  <c r="I1218" i="3" a="1"/>
  <c r="I1218" i="3" s="1"/>
  <c r="I1217" i="3" a="1"/>
  <c r="I1217" i="3" s="1"/>
  <c r="I1216" i="3" a="1"/>
  <c r="I1216" i="3" s="1"/>
  <c r="I1215" i="3" a="1"/>
  <c r="I1215" i="3" s="1"/>
  <c r="I1214" i="3" a="1"/>
  <c r="I1214" i="3" s="1"/>
  <c r="I1213" i="3" a="1"/>
  <c r="I1213" i="3" s="1"/>
  <c r="I1212" i="3" a="1"/>
  <c r="I1212" i="3" s="1"/>
  <c r="I1211" i="3" a="1"/>
  <c r="I1211" i="3" s="1"/>
  <c r="I1210" i="3" a="1"/>
  <c r="I1210" i="3" s="1"/>
  <c r="I1209" i="3" a="1"/>
  <c r="I1209" i="3" s="1"/>
  <c r="I1208" i="3" a="1"/>
  <c r="I1208" i="3" s="1"/>
  <c r="I1207" i="3" a="1"/>
  <c r="I1207" i="3" s="1"/>
  <c r="I1206" i="3" a="1"/>
  <c r="I1206" i="3" s="1"/>
  <c r="I1205" i="3" a="1"/>
  <c r="I1205" i="3" s="1"/>
  <c r="I1204" i="3" a="1"/>
  <c r="I1204" i="3" s="1"/>
  <c r="I1203" i="3" a="1"/>
  <c r="I1203" i="3" s="1"/>
  <c r="I1202" i="3" a="1"/>
  <c r="I1202" i="3" s="1"/>
  <c r="I1201" i="3" a="1"/>
  <c r="I1201" i="3" s="1"/>
  <c r="I1200" i="3" a="1"/>
  <c r="I1200" i="3" s="1"/>
  <c r="I1199" i="3" a="1"/>
  <c r="I1199" i="3" s="1"/>
  <c r="I1198" i="3" a="1"/>
  <c r="I1198" i="3" s="1"/>
  <c r="I1197" i="3" a="1"/>
  <c r="I1197" i="3" s="1"/>
  <c r="I1196" i="3" a="1"/>
  <c r="I1196" i="3" s="1"/>
  <c r="I1195" i="3" a="1"/>
  <c r="I1195" i="3" s="1"/>
  <c r="I1194" i="3" a="1"/>
  <c r="I1194" i="3" s="1"/>
  <c r="I1193" i="3" a="1"/>
  <c r="I1193" i="3" s="1"/>
  <c r="I1192" i="3" a="1"/>
  <c r="I1192" i="3" s="1"/>
  <c r="I1191" i="3" a="1"/>
  <c r="I1191" i="3" s="1"/>
  <c r="I1190" i="3" a="1"/>
  <c r="I1190" i="3" s="1"/>
  <c r="I1189" i="3" a="1"/>
  <c r="I1189" i="3" s="1"/>
  <c r="I1188" i="3" a="1"/>
  <c r="I1188" i="3" s="1"/>
  <c r="I1187" i="3" a="1"/>
  <c r="I1187" i="3" s="1"/>
  <c r="I1186" i="3" a="1"/>
  <c r="I1186" i="3" s="1"/>
  <c r="I1185" i="3" a="1"/>
  <c r="I1185" i="3" s="1"/>
  <c r="I1184" i="3" a="1"/>
  <c r="I1184" i="3" s="1"/>
  <c r="I1183" i="3" a="1"/>
  <c r="I1183" i="3" s="1"/>
  <c r="I1182" i="3" a="1"/>
  <c r="I1182" i="3" s="1"/>
  <c r="I1181" i="3" a="1"/>
  <c r="I1181" i="3" s="1"/>
  <c r="I1180" i="3" a="1"/>
  <c r="I1180" i="3" s="1"/>
  <c r="I1179" i="3" a="1"/>
  <c r="I1179" i="3" s="1"/>
  <c r="I1178" i="3" a="1"/>
  <c r="I1178" i="3" s="1"/>
  <c r="I1177" i="3" a="1"/>
  <c r="I1177" i="3" s="1"/>
  <c r="I1176" i="3" a="1"/>
  <c r="I1176" i="3" s="1"/>
  <c r="I1175" i="3" a="1"/>
  <c r="I1175" i="3" s="1"/>
  <c r="I1174" i="3" a="1"/>
  <c r="I1174" i="3" s="1"/>
  <c r="I1173" i="3" a="1"/>
  <c r="I1173" i="3" s="1"/>
  <c r="I1172" i="3" a="1"/>
  <c r="I1172" i="3" s="1"/>
  <c r="I1171" i="3" a="1"/>
  <c r="I1171" i="3" s="1"/>
  <c r="I1170" i="3" a="1"/>
  <c r="I1170" i="3" s="1"/>
  <c r="I1169" i="3" a="1"/>
  <c r="I1169" i="3" s="1"/>
  <c r="I1168" i="3" a="1"/>
  <c r="I1168" i="3" s="1"/>
  <c r="I1167" i="3" a="1"/>
  <c r="I1167" i="3" s="1"/>
  <c r="I1166" i="3" a="1"/>
  <c r="I1166" i="3" s="1"/>
  <c r="I1165" i="3" a="1"/>
  <c r="I1165" i="3" s="1"/>
  <c r="I1164" i="3" a="1"/>
  <c r="I1164" i="3" s="1"/>
  <c r="I1163" i="3" a="1"/>
  <c r="I1163" i="3" s="1"/>
  <c r="I1162" i="3" a="1"/>
  <c r="I1162" i="3" s="1"/>
  <c r="I1161" i="3" a="1"/>
  <c r="I1161" i="3" s="1"/>
  <c r="I1160" i="3" a="1"/>
  <c r="I1160" i="3" s="1"/>
  <c r="I1159" i="3" a="1"/>
  <c r="I1159" i="3" s="1"/>
  <c r="I1158" i="3" a="1"/>
  <c r="I1158" i="3" s="1"/>
  <c r="I1157" i="3" a="1"/>
  <c r="I1157" i="3" s="1"/>
  <c r="I1156" i="3" a="1"/>
  <c r="I1156" i="3" s="1"/>
  <c r="I1155" i="3" a="1"/>
  <c r="I1155" i="3" s="1"/>
  <c r="I1154" i="3" a="1"/>
  <c r="I1154" i="3" s="1"/>
  <c r="I1153" i="3" a="1"/>
  <c r="I1153" i="3" s="1"/>
  <c r="I1152" i="3" a="1"/>
  <c r="I1152" i="3" s="1"/>
  <c r="I1151" i="3" a="1"/>
  <c r="I1151" i="3" s="1"/>
  <c r="I1150" i="3" a="1"/>
  <c r="I1150" i="3" s="1"/>
  <c r="I1149" i="3" a="1"/>
  <c r="I1149" i="3" s="1"/>
  <c r="I1148" i="3" a="1"/>
  <c r="I1148" i="3" s="1"/>
  <c r="I1147" i="3" a="1"/>
  <c r="I1147" i="3" s="1"/>
  <c r="I1146" i="3" a="1"/>
  <c r="I1146" i="3" s="1"/>
  <c r="I1145" i="3" a="1"/>
  <c r="I1145" i="3" s="1"/>
  <c r="I1144" i="3" a="1"/>
  <c r="I1144" i="3" s="1"/>
  <c r="I1143" i="3" a="1"/>
  <c r="I1143" i="3" s="1"/>
  <c r="I1142" i="3" a="1"/>
  <c r="I1142" i="3" s="1"/>
  <c r="I1141" i="3" a="1"/>
  <c r="I1141" i="3" s="1"/>
  <c r="I1140" i="3" a="1"/>
  <c r="I1140" i="3" s="1"/>
  <c r="I1139" i="3" a="1"/>
  <c r="I1139" i="3" s="1"/>
  <c r="I1138" i="3" a="1"/>
  <c r="I1138" i="3" s="1"/>
  <c r="I1137" i="3" a="1"/>
  <c r="I1137" i="3" s="1"/>
  <c r="I1136" i="3" a="1"/>
  <c r="I1136" i="3" s="1"/>
  <c r="I1135" i="3" a="1"/>
  <c r="I1135" i="3" s="1"/>
  <c r="I1134" i="3" a="1"/>
  <c r="I1134" i="3" s="1"/>
  <c r="I1133" i="3" a="1"/>
  <c r="I1133" i="3" s="1"/>
  <c r="I1132" i="3" a="1"/>
  <c r="I1132" i="3" s="1"/>
  <c r="I1131" i="3" a="1"/>
  <c r="I1131" i="3" s="1"/>
  <c r="I1130" i="3" a="1"/>
  <c r="I1130" i="3" s="1"/>
  <c r="I1129" i="3" a="1"/>
  <c r="I1129" i="3" s="1"/>
  <c r="I1128" i="3" a="1"/>
  <c r="I1128" i="3" s="1"/>
  <c r="I1127" i="3" a="1"/>
  <c r="I1127" i="3" s="1"/>
  <c r="I1126" i="3" a="1"/>
  <c r="I1126" i="3" s="1"/>
  <c r="I1125" i="3" a="1"/>
  <c r="I1125" i="3" s="1"/>
  <c r="I1124" i="3" a="1"/>
  <c r="I1124" i="3" s="1"/>
  <c r="I1123" i="3" a="1"/>
  <c r="I1123" i="3" s="1"/>
  <c r="I1122" i="3" a="1"/>
  <c r="I1122" i="3" s="1"/>
  <c r="I1121" i="3" a="1"/>
  <c r="I1121" i="3" s="1"/>
  <c r="I1120" i="3" a="1"/>
  <c r="I1120" i="3" s="1"/>
  <c r="I1119" i="3" a="1"/>
  <c r="I1119" i="3" s="1"/>
  <c r="I1118" i="3" a="1"/>
  <c r="I1118" i="3" s="1"/>
  <c r="I1117" i="3" a="1"/>
  <c r="I1117" i="3" s="1"/>
  <c r="I1116" i="3" a="1"/>
  <c r="I1116" i="3" s="1"/>
  <c r="I1115" i="3" a="1"/>
  <c r="I1115" i="3" s="1"/>
  <c r="I1114" i="3" a="1"/>
  <c r="I1114" i="3" s="1"/>
  <c r="I1113" i="3" a="1"/>
  <c r="I1113" i="3" s="1"/>
  <c r="I1112" i="3" a="1"/>
  <c r="I1112" i="3" s="1"/>
  <c r="I1111" i="3" a="1"/>
  <c r="I1111" i="3" s="1"/>
  <c r="I1110" i="3" a="1"/>
  <c r="I1110" i="3" s="1"/>
  <c r="I1109" i="3" a="1"/>
  <c r="I1109" i="3" s="1"/>
  <c r="I1108" i="3" a="1"/>
  <c r="I1108" i="3" s="1"/>
  <c r="I1107" i="3" a="1"/>
  <c r="I1107" i="3" s="1"/>
  <c r="I1106" i="3" a="1"/>
  <c r="I1106" i="3" s="1"/>
  <c r="I1105" i="3" a="1"/>
  <c r="I1105" i="3" s="1"/>
  <c r="I1104" i="3" a="1"/>
  <c r="I1104" i="3" s="1"/>
  <c r="I1103" i="3" a="1"/>
  <c r="I1103" i="3" s="1"/>
  <c r="I1102" i="3" a="1"/>
  <c r="I1102" i="3" s="1"/>
  <c r="I1101" i="3" a="1"/>
  <c r="I1101" i="3" s="1"/>
  <c r="I1100" i="3" a="1"/>
  <c r="I1100" i="3" s="1"/>
  <c r="I1099" i="3" a="1"/>
  <c r="I1099" i="3" s="1"/>
  <c r="I1098" i="3" a="1"/>
  <c r="I1098" i="3" s="1"/>
  <c r="I1097" i="3" a="1"/>
  <c r="I1097" i="3" s="1"/>
  <c r="I1096" i="3" a="1"/>
  <c r="I1096" i="3" s="1"/>
  <c r="I1095" i="3" a="1"/>
  <c r="I1095" i="3" s="1"/>
  <c r="I1094" i="3" a="1"/>
  <c r="I1094" i="3" s="1"/>
  <c r="I1093" i="3" a="1"/>
  <c r="I1093" i="3" s="1"/>
  <c r="I1092" i="3" a="1"/>
  <c r="I1092" i="3" s="1"/>
  <c r="I1091" i="3" a="1"/>
  <c r="I1091" i="3" s="1"/>
  <c r="I1090" i="3" a="1"/>
  <c r="I1090" i="3" s="1"/>
  <c r="I1089" i="3" a="1"/>
  <c r="I1089" i="3" s="1"/>
  <c r="I1088" i="3" a="1"/>
  <c r="I1088" i="3" s="1"/>
  <c r="I1087" i="3" a="1"/>
  <c r="I1087" i="3" s="1"/>
  <c r="I1086" i="3" a="1"/>
  <c r="I1086" i="3" s="1"/>
  <c r="I1085" i="3" a="1"/>
  <c r="I1085" i="3" s="1"/>
  <c r="I1084" i="3" a="1"/>
  <c r="I1084" i="3" s="1"/>
  <c r="I1083" i="3" a="1"/>
  <c r="I1083" i="3" s="1"/>
  <c r="I1082" i="3" a="1"/>
  <c r="I1082" i="3" s="1"/>
  <c r="I1081" i="3" a="1"/>
  <c r="I1081" i="3" s="1"/>
  <c r="I1080" i="3" a="1"/>
  <c r="I1080" i="3" s="1"/>
  <c r="I1079" i="3" a="1"/>
  <c r="I1079" i="3" s="1"/>
  <c r="I1078" i="3" a="1"/>
  <c r="I1078" i="3" s="1"/>
  <c r="I1077" i="3" a="1"/>
  <c r="I1077" i="3" s="1"/>
  <c r="I1076" i="3" a="1"/>
  <c r="I1076" i="3" s="1"/>
  <c r="I1075" i="3" a="1"/>
  <c r="I1075" i="3" s="1"/>
  <c r="I1074" i="3" a="1"/>
  <c r="I1074" i="3" s="1"/>
  <c r="I1073" i="3" a="1"/>
  <c r="I1073" i="3" s="1"/>
  <c r="I1072" i="3" a="1"/>
  <c r="I1072" i="3" s="1"/>
  <c r="I1071" i="3" a="1"/>
  <c r="I1071" i="3" s="1"/>
  <c r="I1070" i="3" a="1"/>
  <c r="I1070" i="3" s="1"/>
  <c r="I1069" i="3" a="1"/>
  <c r="I1069" i="3" s="1"/>
  <c r="I1068" i="3" a="1"/>
  <c r="I1068" i="3" s="1"/>
  <c r="I1067" i="3" a="1"/>
  <c r="I1067" i="3" s="1"/>
  <c r="I1066" i="3" a="1"/>
  <c r="I1066" i="3" s="1"/>
  <c r="I1065" i="3" a="1"/>
  <c r="I1065" i="3" s="1"/>
  <c r="I1064" i="3" a="1"/>
  <c r="I1064" i="3" s="1"/>
  <c r="I1063" i="3" a="1"/>
  <c r="I1063" i="3" s="1"/>
  <c r="I1062" i="3" a="1"/>
  <c r="I1062" i="3" s="1"/>
  <c r="I1061" i="3" a="1"/>
  <c r="I1061" i="3" s="1"/>
  <c r="I1060" i="3" a="1"/>
  <c r="I1060" i="3" s="1"/>
  <c r="I1059" i="3" a="1"/>
  <c r="I1059" i="3" s="1"/>
  <c r="I1058" i="3" a="1"/>
  <c r="I1058" i="3" s="1"/>
  <c r="I1057" i="3" a="1"/>
  <c r="I1057" i="3" s="1"/>
  <c r="I1056" i="3" a="1"/>
  <c r="I1056" i="3" s="1"/>
  <c r="I1055" i="3" a="1"/>
  <c r="I1055" i="3" s="1"/>
  <c r="I1054" i="3" a="1"/>
  <c r="I1054" i="3" s="1"/>
  <c r="I1053" i="3" a="1"/>
  <c r="I1053" i="3" s="1"/>
  <c r="I1052" i="3" a="1"/>
  <c r="I1052" i="3" s="1"/>
  <c r="I1051" i="3" a="1"/>
  <c r="I1051" i="3" s="1"/>
  <c r="I1050" i="3" a="1"/>
  <c r="I1050" i="3" s="1"/>
  <c r="I1049" i="3" a="1"/>
  <c r="I1049" i="3" s="1"/>
  <c r="I1048" i="3" a="1"/>
  <c r="I1048" i="3" s="1"/>
  <c r="I1047" i="3" a="1"/>
  <c r="I1047" i="3" s="1"/>
  <c r="I1046" i="3" a="1"/>
  <c r="I1046" i="3" s="1"/>
  <c r="I1045" i="3" a="1"/>
  <c r="I1045" i="3" s="1"/>
  <c r="I1044" i="3" a="1"/>
  <c r="I1044" i="3" s="1"/>
  <c r="I1043" i="3" a="1"/>
  <c r="I1043" i="3" s="1"/>
  <c r="I1042" i="3" a="1"/>
  <c r="I1042" i="3" s="1"/>
  <c r="I1041" i="3" a="1"/>
  <c r="I1041" i="3" s="1"/>
  <c r="I1040" i="3" a="1"/>
  <c r="I1040" i="3" s="1"/>
  <c r="I1039" i="3" a="1"/>
  <c r="I1039" i="3" s="1"/>
  <c r="I1038" i="3" a="1"/>
  <c r="I1038" i="3" s="1"/>
  <c r="I1037" i="3" a="1"/>
  <c r="I1037" i="3" s="1"/>
  <c r="I1036" i="3" a="1"/>
  <c r="I1036" i="3" s="1"/>
  <c r="I1035" i="3" a="1"/>
  <c r="I1035" i="3" s="1"/>
  <c r="I1034" i="3" a="1"/>
  <c r="I1034" i="3" s="1"/>
  <c r="I1033" i="3" a="1"/>
  <c r="I1033" i="3" s="1"/>
  <c r="I1032" i="3" a="1"/>
  <c r="I1032" i="3" s="1"/>
  <c r="I1031" i="3" a="1"/>
  <c r="I1031" i="3" s="1"/>
  <c r="I1030" i="3" a="1"/>
  <c r="I1030" i="3" s="1"/>
  <c r="I1029" i="3" a="1"/>
  <c r="I1029" i="3" s="1"/>
  <c r="I1028" i="3" a="1"/>
  <c r="I1028" i="3" s="1"/>
  <c r="I1027" i="3" a="1"/>
  <c r="I1027" i="3" s="1"/>
  <c r="I1026" i="3" a="1"/>
  <c r="I1026" i="3" s="1"/>
  <c r="I1025" i="3" a="1"/>
  <c r="I1025" i="3" s="1"/>
  <c r="I1024" i="3" a="1"/>
  <c r="I1024" i="3" s="1"/>
  <c r="I1023" i="3" a="1"/>
  <c r="I1023" i="3" s="1"/>
  <c r="I1022" i="3" a="1"/>
  <c r="I1022" i="3" s="1"/>
  <c r="I1021" i="3" a="1"/>
  <c r="I1021" i="3" s="1"/>
  <c r="I1020" i="3" a="1"/>
  <c r="I1020" i="3" s="1"/>
  <c r="I1019" i="3" a="1"/>
  <c r="I1019" i="3" s="1"/>
  <c r="I1018" i="3" a="1"/>
  <c r="I1018" i="3" s="1"/>
  <c r="I1017" i="3" a="1"/>
  <c r="I1017" i="3" s="1"/>
  <c r="I1016" i="3" a="1"/>
  <c r="I1016" i="3" s="1"/>
  <c r="I1015" i="3" a="1"/>
  <c r="I1015" i="3" s="1"/>
  <c r="I1014" i="3" a="1"/>
  <c r="I1014" i="3" s="1"/>
  <c r="I1013" i="3" a="1"/>
  <c r="I1013" i="3" s="1"/>
  <c r="I1012" i="3" a="1"/>
  <c r="I1012" i="3" s="1"/>
  <c r="I1011" i="3" a="1"/>
  <c r="I1011" i="3" s="1"/>
  <c r="I1010" i="3" a="1"/>
  <c r="I1010" i="3" s="1"/>
  <c r="I1009" i="3" a="1"/>
  <c r="I1009" i="3" s="1"/>
  <c r="I1008" i="3" a="1"/>
  <c r="I1008" i="3" s="1"/>
  <c r="I1007" i="3" a="1"/>
  <c r="I1007" i="3" s="1"/>
  <c r="I1006" i="3" a="1"/>
  <c r="I1006" i="3" s="1"/>
  <c r="I1005" i="3" a="1"/>
  <c r="I1005" i="3" s="1"/>
  <c r="I1004" i="3" a="1"/>
  <c r="I1004" i="3" s="1"/>
  <c r="I1003" i="3" a="1"/>
  <c r="I1003" i="3" s="1"/>
  <c r="I1002" i="3" a="1"/>
  <c r="I1002" i="3" s="1"/>
  <c r="I1001" i="3" a="1"/>
  <c r="I1001" i="3" s="1"/>
  <c r="I1000" i="3" a="1"/>
  <c r="I1000" i="3" s="1"/>
  <c r="I999" i="3" a="1"/>
  <c r="I999" i="3" s="1"/>
  <c r="I998" i="3" a="1"/>
  <c r="I998" i="3" s="1"/>
  <c r="I997" i="3" a="1"/>
  <c r="I997" i="3" s="1"/>
  <c r="I996" i="3" a="1"/>
  <c r="I996" i="3" s="1"/>
  <c r="I995" i="3" a="1"/>
  <c r="I995" i="3" s="1"/>
  <c r="I994" i="3" a="1"/>
  <c r="I994" i="3" s="1"/>
  <c r="I993" i="3" a="1"/>
  <c r="I993" i="3" s="1"/>
  <c r="I992" i="3" a="1"/>
  <c r="I992" i="3" s="1"/>
  <c r="I991" i="3" a="1"/>
  <c r="I991" i="3" s="1"/>
  <c r="I990" i="3" a="1"/>
  <c r="I990" i="3" s="1"/>
  <c r="I989" i="3" a="1"/>
  <c r="I989" i="3" s="1"/>
  <c r="I988" i="3" a="1"/>
  <c r="I988" i="3" s="1"/>
  <c r="I987" i="3" a="1"/>
  <c r="I987" i="3" s="1"/>
  <c r="I986" i="3" a="1"/>
  <c r="I986" i="3" s="1"/>
  <c r="I985" i="3" a="1"/>
  <c r="I985" i="3" s="1"/>
  <c r="I984" i="3" a="1"/>
  <c r="I984" i="3" s="1"/>
  <c r="I983" i="3" a="1"/>
  <c r="I983" i="3" s="1"/>
  <c r="I982" i="3" a="1"/>
  <c r="I982" i="3" s="1"/>
  <c r="I981" i="3" a="1"/>
  <c r="I981" i="3" s="1"/>
  <c r="I980" i="3" a="1"/>
  <c r="I980" i="3" s="1"/>
  <c r="I979" i="3" a="1"/>
  <c r="I979" i="3" s="1"/>
  <c r="I978" i="3" a="1"/>
  <c r="I978" i="3" s="1"/>
  <c r="I977" i="3" a="1"/>
  <c r="I977" i="3" s="1"/>
  <c r="I976" i="3" a="1"/>
  <c r="I976" i="3" s="1"/>
  <c r="I975" i="3" a="1"/>
  <c r="I975" i="3" s="1"/>
  <c r="I974" i="3" a="1"/>
  <c r="I974" i="3" s="1"/>
  <c r="I973" i="3" a="1"/>
  <c r="I973" i="3" s="1"/>
  <c r="I972" i="3" a="1"/>
  <c r="I972" i="3" s="1"/>
  <c r="I971" i="3" a="1"/>
  <c r="I971" i="3" s="1"/>
  <c r="I970" i="3" a="1"/>
  <c r="I970" i="3" s="1"/>
  <c r="I969" i="3" a="1"/>
  <c r="I969" i="3" s="1"/>
  <c r="I968" i="3" a="1"/>
  <c r="I968" i="3" s="1"/>
  <c r="I967" i="3" a="1"/>
  <c r="I967" i="3" s="1"/>
  <c r="I966" i="3" a="1"/>
  <c r="I966" i="3" s="1"/>
  <c r="I965" i="3" a="1"/>
  <c r="I965" i="3" s="1"/>
  <c r="I964" i="3" a="1"/>
  <c r="I964" i="3" s="1"/>
  <c r="I963" i="3" a="1"/>
  <c r="I963" i="3" s="1"/>
  <c r="I962" i="3" a="1"/>
  <c r="I962" i="3" s="1"/>
  <c r="I961" i="3" a="1"/>
  <c r="I961" i="3" s="1"/>
  <c r="I960" i="3" a="1"/>
  <c r="I960" i="3" s="1"/>
  <c r="I959" i="3" a="1"/>
  <c r="I959" i="3" s="1"/>
  <c r="I958" i="3" a="1"/>
  <c r="I958" i="3" s="1"/>
  <c r="I957" i="3" a="1"/>
  <c r="I957" i="3" s="1"/>
  <c r="I956" i="3" a="1"/>
  <c r="I956" i="3" s="1"/>
  <c r="I955" i="3" a="1"/>
  <c r="I955" i="3" s="1"/>
  <c r="I954" i="3" a="1"/>
  <c r="I954" i="3" s="1"/>
  <c r="I953" i="3" a="1"/>
  <c r="I953" i="3" s="1"/>
  <c r="I952" i="3" a="1"/>
  <c r="I952" i="3" s="1"/>
  <c r="I951" i="3" a="1"/>
  <c r="I951" i="3" s="1"/>
  <c r="I950" i="3" a="1"/>
  <c r="I950" i="3" s="1"/>
  <c r="I949" i="3" a="1"/>
  <c r="I949" i="3" s="1"/>
  <c r="I948" i="3" a="1"/>
  <c r="I948" i="3" s="1"/>
  <c r="I947" i="3" a="1"/>
  <c r="I947" i="3" s="1"/>
  <c r="I946" i="3" a="1"/>
  <c r="I946" i="3" s="1"/>
  <c r="I945" i="3" a="1"/>
  <c r="I945" i="3" s="1"/>
  <c r="I944" i="3" a="1"/>
  <c r="I944" i="3" s="1"/>
  <c r="I943" i="3" a="1"/>
  <c r="I943" i="3" s="1"/>
  <c r="I942" i="3" a="1"/>
  <c r="I942" i="3" s="1"/>
  <c r="I941" i="3" a="1"/>
  <c r="I941" i="3" s="1"/>
  <c r="I940" i="3" a="1"/>
  <c r="I940" i="3" s="1"/>
  <c r="I939" i="3" a="1"/>
  <c r="I939" i="3" s="1"/>
  <c r="I938" i="3" a="1"/>
  <c r="I938" i="3" s="1"/>
  <c r="I937" i="3" a="1"/>
  <c r="I937" i="3" s="1"/>
  <c r="I936" i="3" a="1"/>
  <c r="I936" i="3" s="1"/>
  <c r="I935" i="3" a="1"/>
  <c r="I935" i="3" s="1"/>
  <c r="I934" i="3" a="1"/>
  <c r="I934" i="3" s="1"/>
  <c r="I933" i="3" a="1"/>
  <c r="I933" i="3" s="1"/>
  <c r="I932" i="3" a="1"/>
  <c r="I932" i="3" s="1"/>
  <c r="I931" i="3" a="1"/>
  <c r="I931" i="3" s="1"/>
  <c r="I930" i="3" a="1"/>
  <c r="I930" i="3" s="1"/>
  <c r="I929" i="3" a="1"/>
  <c r="I929" i="3" s="1"/>
  <c r="I928" i="3" a="1"/>
  <c r="I928" i="3" s="1"/>
  <c r="I927" i="3" a="1"/>
  <c r="I927" i="3" s="1"/>
  <c r="I926" i="3" a="1"/>
  <c r="I926" i="3" s="1"/>
  <c r="I925" i="3" a="1"/>
  <c r="I925" i="3" s="1"/>
  <c r="I924" i="3" a="1"/>
  <c r="I924" i="3" s="1"/>
  <c r="I923" i="3" a="1"/>
  <c r="I923" i="3" s="1"/>
  <c r="I922" i="3" a="1"/>
  <c r="I922" i="3" s="1"/>
  <c r="I921" i="3" a="1"/>
  <c r="I921" i="3" s="1"/>
  <c r="I920" i="3" a="1"/>
  <c r="I920" i="3" s="1"/>
  <c r="I919" i="3" a="1"/>
  <c r="I919" i="3" s="1"/>
  <c r="I918" i="3" a="1"/>
  <c r="I918" i="3" s="1"/>
  <c r="I917" i="3" a="1"/>
  <c r="I917" i="3" s="1"/>
  <c r="I916" i="3" a="1"/>
  <c r="I916" i="3" s="1"/>
  <c r="I915" i="3" a="1"/>
  <c r="I915" i="3" s="1"/>
  <c r="I914" i="3" a="1"/>
  <c r="I914" i="3" s="1"/>
  <c r="I913" i="3" a="1"/>
  <c r="I913" i="3" s="1"/>
  <c r="I912" i="3" a="1"/>
  <c r="I912" i="3" s="1"/>
  <c r="I911" i="3" a="1"/>
  <c r="I911" i="3" s="1"/>
  <c r="I910" i="3" a="1"/>
  <c r="I910" i="3" s="1"/>
  <c r="I909" i="3" a="1"/>
  <c r="I909" i="3" s="1"/>
  <c r="I908" i="3" a="1"/>
  <c r="I908" i="3" s="1"/>
  <c r="I907" i="3" a="1"/>
  <c r="I907" i="3" s="1"/>
  <c r="I906" i="3" a="1"/>
  <c r="I906" i="3" s="1"/>
  <c r="I905" i="3" a="1"/>
  <c r="I905" i="3" s="1"/>
  <c r="I904" i="3" a="1"/>
  <c r="I904" i="3" s="1"/>
  <c r="I903" i="3" a="1"/>
  <c r="I903" i="3" s="1"/>
  <c r="I902" i="3" a="1"/>
  <c r="I902" i="3" s="1"/>
  <c r="I901" i="3" a="1"/>
  <c r="I901" i="3" s="1"/>
  <c r="I900" i="3" a="1"/>
  <c r="I900" i="3" s="1"/>
  <c r="I899" i="3" a="1"/>
  <c r="I899" i="3" s="1"/>
  <c r="I898" i="3" a="1"/>
  <c r="I898" i="3" s="1"/>
  <c r="I897" i="3" a="1"/>
  <c r="I897" i="3" s="1"/>
  <c r="I896" i="3" a="1"/>
  <c r="I896" i="3" s="1"/>
  <c r="I895" i="3" a="1"/>
  <c r="I895" i="3" s="1"/>
  <c r="I894" i="3" a="1"/>
  <c r="I894" i="3" s="1"/>
  <c r="I893" i="3" a="1"/>
  <c r="I893" i="3" s="1"/>
  <c r="I892" i="3" a="1"/>
  <c r="I892" i="3" s="1"/>
  <c r="I891" i="3" a="1"/>
  <c r="I891" i="3" s="1"/>
  <c r="I890" i="3" a="1"/>
  <c r="I890" i="3" s="1"/>
  <c r="I889" i="3" a="1"/>
  <c r="I889" i="3" s="1"/>
  <c r="I888" i="3" a="1"/>
  <c r="I888" i="3" s="1"/>
  <c r="I887" i="3" a="1"/>
  <c r="I887" i="3" s="1"/>
  <c r="I886" i="3" a="1"/>
  <c r="I886" i="3" s="1"/>
  <c r="I885" i="3" a="1"/>
  <c r="I885" i="3" s="1"/>
  <c r="I884" i="3" a="1"/>
  <c r="I884" i="3" s="1"/>
  <c r="I883" i="3" a="1"/>
  <c r="I883" i="3" s="1"/>
  <c r="I882" i="3" a="1"/>
  <c r="I882" i="3" s="1"/>
  <c r="I881" i="3" a="1"/>
  <c r="I881" i="3" s="1"/>
  <c r="I880" i="3" a="1"/>
  <c r="I880" i="3" s="1"/>
  <c r="I879" i="3" a="1"/>
  <c r="I879" i="3" s="1"/>
  <c r="I878" i="3" a="1"/>
  <c r="I878" i="3" s="1"/>
  <c r="I877" i="3" a="1"/>
  <c r="I877" i="3" s="1"/>
  <c r="I876" i="3" a="1"/>
  <c r="I876" i="3" s="1"/>
  <c r="I875" i="3" a="1"/>
  <c r="I875" i="3" s="1"/>
  <c r="I874" i="3" a="1"/>
  <c r="I874" i="3" s="1"/>
  <c r="I873" i="3" a="1"/>
  <c r="I873" i="3" s="1"/>
  <c r="I872" i="3" a="1"/>
  <c r="I872" i="3" s="1"/>
  <c r="I871" i="3" a="1"/>
  <c r="I871" i="3" s="1"/>
  <c r="I870" i="3" a="1"/>
  <c r="I870" i="3" s="1"/>
  <c r="I869" i="3" a="1"/>
  <c r="I869" i="3" s="1"/>
  <c r="I868" i="3" a="1"/>
  <c r="I868" i="3" s="1"/>
  <c r="I867" i="3" a="1"/>
  <c r="I867" i="3" s="1"/>
  <c r="I866" i="3" a="1"/>
  <c r="I866" i="3" s="1"/>
  <c r="I865" i="3" a="1"/>
  <c r="I865" i="3" s="1"/>
  <c r="I864" i="3" a="1"/>
  <c r="I864" i="3" s="1"/>
  <c r="I863" i="3" a="1"/>
  <c r="I863" i="3" s="1"/>
  <c r="I862" i="3" a="1"/>
  <c r="I862" i="3" s="1"/>
  <c r="I861" i="3" a="1"/>
  <c r="I861" i="3" s="1"/>
  <c r="I860" i="3" a="1"/>
  <c r="I860" i="3" s="1"/>
  <c r="I859" i="3" a="1"/>
  <c r="I859" i="3" s="1"/>
  <c r="I858" i="3" a="1"/>
  <c r="I858" i="3" s="1"/>
  <c r="I857" i="3" a="1"/>
  <c r="I857" i="3" s="1"/>
  <c r="I856" i="3" a="1"/>
  <c r="I856" i="3" s="1"/>
  <c r="I855" i="3" a="1"/>
  <c r="I855" i="3" s="1"/>
  <c r="I854" i="3" a="1"/>
  <c r="I854" i="3" s="1"/>
  <c r="I853" i="3" a="1"/>
  <c r="I853" i="3" s="1"/>
  <c r="I852" i="3" a="1"/>
  <c r="I852" i="3" s="1"/>
  <c r="I851" i="3" a="1"/>
  <c r="I851" i="3" s="1"/>
  <c r="I850" i="3" a="1"/>
  <c r="I850" i="3" s="1"/>
  <c r="I849" i="3" a="1"/>
  <c r="I849" i="3" s="1"/>
  <c r="I848" i="3" a="1"/>
  <c r="I848" i="3" s="1"/>
  <c r="I847" i="3" a="1"/>
  <c r="I847" i="3" s="1"/>
  <c r="I846" i="3" a="1"/>
  <c r="I846" i="3" s="1"/>
  <c r="I845" i="3" a="1"/>
  <c r="I845" i="3" s="1"/>
  <c r="I844" i="3" a="1"/>
  <c r="I844" i="3" s="1"/>
  <c r="I843" i="3" a="1"/>
  <c r="I843" i="3" s="1"/>
  <c r="I842" i="3" a="1"/>
  <c r="I842" i="3" s="1"/>
  <c r="I841" i="3" a="1"/>
  <c r="I841" i="3" s="1"/>
  <c r="I840" i="3" a="1"/>
  <c r="I840" i="3" s="1"/>
  <c r="I839" i="3" a="1"/>
  <c r="I839" i="3" s="1"/>
  <c r="I838" i="3" a="1"/>
  <c r="I838" i="3" s="1"/>
  <c r="I837" i="3" a="1"/>
  <c r="I837" i="3" s="1"/>
  <c r="I836" i="3" a="1"/>
  <c r="I836" i="3" s="1"/>
  <c r="I835" i="3" a="1"/>
  <c r="I835" i="3" s="1"/>
  <c r="I834" i="3" a="1"/>
  <c r="I834" i="3" s="1"/>
  <c r="I833" i="3" a="1"/>
  <c r="I833" i="3" s="1"/>
  <c r="I832" i="3" a="1"/>
  <c r="I832" i="3" s="1"/>
  <c r="I831" i="3" a="1"/>
  <c r="I831" i="3" s="1"/>
  <c r="I830" i="3" a="1"/>
  <c r="I830" i="3" s="1"/>
  <c r="I829" i="3" a="1"/>
  <c r="I829" i="3" s="1"/>
  <c r="I828" i="3" a="1"/>
  <c r="I828" i="3" s="1"/>
  <c r="I827" i="3" a="1"/>
  <c r="I827" i="3" s="1"/>
  <c r="I826" i="3" a="1"/>
  <c r="I826" i="3" s="1"/>
  <c r="I825" i="3" a="1"/>
  <c r="I825" i="3" s="1"/>
  <c r="I824" i="3" a="1"/>
  <c r="I824" i="3" s="1"/>
  <c r="I823" i="3" a="1"/>
  <c r="I823" i="3" s="1"/>
  <c r="I822" i="3" a="1"/>
  <c r="I822" i="3" s="1"/>
  <c r="I821" i="3" a="1"/>
  <c r="I821" i="3" s="1"/>
  <c r="I820" i="3" a="1"/>
  <c r="I820" i="3" s="1"/>
  <c r="I819" i="3" a="1"/>
  <c r="I819" i="3" s="1"/>
  <c r="I818" i="3" a="1"/>
  <c r="I818" i="3" s="1"/>
  <c r="I817" i="3" a="1"/>
  <c r="I817" i="3" s="1"/>
  <c r="I816" i="3" a="1"/>
  <c r="I816" i="3" s="1"/>
  <c r="I815" i="3" a="1"/>
  <c r="I815" i="3" s="1"/>
  <c r="I814" i="3" a="1"/>
  <c r="I814" i="3" s="1"/>
  <c r="I813" i="3" a="1"/>
  <c r="I813" i="3" s="1"/>
  <c r="I812" i="3" a="1"/>
  <c r="I812" i="3" s="1"/>
  <c r="I811" i="3" a="1"/>
  <c r="I811" i="3" s="1"/>
  <c r="I810" i="3" a="1"/>
  <c r="I810" i="3" s="1"/>
  <c r="I809" i="3" a="1"/>
  <c r="I809" i="3" s="1"/>
  <c r="I808" i="3" a="1"/>
  <c r="I808" i="3" s="1"/>
  <c r="I807" i="3" a="1"/>
  <c r="I807" i="3" s="1"/>
  <c r="I806" i="3" a="1"/>
  <c r="I806" i="3" s="1"/>
  <c r="I805" i="3" a="1"/>
  <c r="I805" i="3" s="1"/>
  <c r="I804" i="3" a="1"/>
  <c r="I804" i="3" s="1"/>
  <c r="I803" i="3" a="1"/>
  <c r="I803" i="3" s="1"/>
  <c r="I802" i="3" a="1"/>
  <c r="I802" i="3" s="1"/>
  <c r="I801" i="3" a="1"/>
  <c r="I801" i="3" s="1"/>
  <c r="I800" i="3" a="1"/>
  <c r="I800" i="3" s="1"/>
  <c r="I799" i="3" a="1"/>
  <c r="I799" i="3" s="1"/>
  <c r="I798" i="3" a="1"/>
  <c r="I798" i="3" s="1"/>
  <c r="I797" i="3" a="1"/>
  <c r="I797" i="3" s="1"/>
  <c r="I796" i="3" a="1"/>
  <c r="I796" i="3" s="1"/>
  <c r="I795" i="3" a="1"/>
  <c r="I795" i="3" s="1"/>
  <c r="I794" i="3" a="1"/>
  <c r="I794" i="3" s="1"/>
  <c r="I793" i="3" a="1"/>
  <c r="I793" i="3" s="1"/>
  <c r="I792" i="3" a="1"/>
  <c r="I792" i="3" s="1"/>
  <c r="I791" i="3" a="1"/>
  <c r="I791" i="3" s="1"/>
  <c r="I790" i="3" a="1"/>
  <c r="I790" i="3" s="1"/>
  <c r="I789" i="3" a="1"/>
  <c r="I789" i="3" s="1"/>
  <c r="I788" i="3" a="1"/>
  <c r="I788" i="3" s="1"/>
  <c r="I787" i="3" a="1"/>
  <c r="I787" i="3" s="1"/>
  <c r="I786" i="3" a="1"/>
  <c r="I786" i="3" s="1"/>
  <c r="I785" i="3" a="1"/>
  <c r="I785" i="3" s="1"/>
  <c r="I784" i="3" a="1"/>
  <c r="I784" i="3" s="1"/>
  <c r="I783" i="3" a="1"/>
  <c r="I783" i="3" s="1"/>
  <c r="I782" i="3" a="1"/>
  <c r="I782" i="3" s="1"/>
  <c r="I781" i="3" a="1"/>
  <c r="I781" i="3" s="1"/>
  <c r="I780" i="3" a="1"/>
  <c r="I780" i="3" s="1"/>
  <c r="I779" i="3" a="1"/>
  <c r="I779" i="3" s="1"/>
  <c r="I778" i="3" a="1"/>
  <c r="I778" i="3" s="1"/>
  <c r="I777" i="3" a="1"/>
  <c r="I777" i="3" s="1"/>
  <c r="I776" i="3" a="1"/>
  <c r="I776" i="3" s="1"/>
  <c r="I775" i="3" a="1"/>
  <c r="I775" i="3" s="1"/>
  <c r="I774" i="3" a="1"/>
  <c r="I774" i="3" s="1"/>
  <c r="I773" i="3" a="1"/>
  <c r="I773" i="3" s="1"/>
  <c r="I772" i="3" a="1"/>
  <c r="I772" i="3" s="1"/>
  <c r="I771" i="3" a="1"/>
  <c r="I771" i="3" s="1"/>
  <c r="I770" i="3" a="1"/>
  <c r="I770" i="3" s="1"/>
  <c r="I769" i="3" a="1"/>
  <c r="I769" i="3" s="1"/>
  <c r="I768" i="3" a="1"/>
  <c r="I768" i="3" s="1"/>
  <c r="I767" i="3" a="1"/>
  <c r="I767" i="3" s="1"/>
  <c r="I766" i="3" a="1"/>
  <c r="I766" i="3" s="1"/>
  <c r="I765" i="3" a="1"/>
  <c r="I765" i="3" s="1"/>
  <c r="I764" i="3" a="1"/>
  <c r="I764" i="3" s="1"/>
  <c r="I763" i="3" a="1"/>
  <c r="I763" i="3" s="1"/>
  <c r="I762" i="3" a="1"/>
  <c r="I762" i="3" s="1"/>
  <c r="I761" i="3" a="1"/>
  <c r="I761" i="3" s="1"/>
  <c r="I760" i="3" a="1"/>
  <c r="I760" i="3" s="1"/>
  <c r="I759" i="3" a="1"/>
  <c r="I759" i="3" s="1"/>
  <c r="I758" i="3" a="1"/>
  <c r="I758" i="3" s="1"/>
  <c r="I757" i="3" a="1"/>
  <c r="I757" i="3" s="1"/>
  <c r="I756" i="3" a="1"/>
  <c r="I756" i="3" s="1"/>
  <c r="I755" i="3" a="1"/>
  <c r="I755" i="3" s="1"/>
  <c r="I754" i="3" a="1"/>
  <c r="I754" i="3" s="1"/>
  <c r="I753" i="3" a="1"/>
  <c r="I753" i="3" s="1"/>
  <c r="I752" i="3" a="1"/>
  <c r="I752" i="3" s="1"/>
  <c r="I751" i="3" a="1"/>
  <c r="I751" i="3" s="1"/>
  <c r="I750" i="3" a="1"/>
  <c r="I750" i="3" s="1"/>
  <c r="I749" i="3" a="1"/>
  <c r="I749" i="3" s="1"/>
  <c r="I748" i="3" a="1"/>
  <c r="I748" i="3" s="1"/>
  <c r="I747" i="3" a="1"/>
  <c r="I747" i="3" s="1"/>
  <c r="I746" i="3" a="1"/>
  <c r="I746" i="3" s="1"/>
  <c r="I745" i="3" a="1"/>
  <c r="I745" i="3" s="1"/>
  <c r="I744" i="3" a="1"/>
  <c r="I744" i="3" s="1"/>
  <c r="I743" i="3" a="1"/>
  <c r="I743" i="3" s="1"/>
  <c r="I742" i="3" a="1"/>
  <c r="I742" i="3" s="1"/>
  <c r="I741" i="3" a="1"/>
  <c r="I741" i="3" s="1"/>
  <c r="I740" i="3" a="1"/>
  <c r="I740" i="3" s="1"/>
  <c r="I739" i="3" a="1"/>
  <c r="I739" i="3" s="1"/>
  <c r="I738" i="3" a="1"/>
  <c r="I738" i="3" s="1"/>
  <c r="I737" i="3" a="1"/>
  <c r="I737" i="3" s="1"/>
  <c r="I736" i="3" a="1"/>
  <c r="I736" i="3" s="1"/>
  <c r="I735" i="3" a="1"/>
  <c r="I735" i="3" s="1"/>
  <c r="I734" i="3" a="1"/>
  <c r="I734" i="3" s="1"/>
  <c r="I733" i="3" a="1"/>
  <c r="I733" i="3" s="1"/>
  <c r="I732" i="3" a="1"/>
  <c r="I732" i="3" s="1"/>
  <c r="I731" i="3" a="1"/>
  <c r="I731" i="3" s="1"/>
  <c r="I730" i="3" a="1"/>
  <c r="I730" i="3" s="1"/>
  <c r="I729" i="3" a="1"/>
  <c r="I729" i="3" s="1"/>
  <c r="I728" i="3" a="1"/>
  <c r="I728" i="3" s="1"/>
  <c r="I727" i="3" a="1"/>
  <c r="I727" i="3" s="1"/>
  <c r="I726" i="3" a="1"/>
  <c r="I726" i="3" s="1"/>
  <c r="I725" i="3" a="1"/>
  <c r="I725" i="3" s="1"/>
  <c r="I724" i="3" a="1"/>
  <c r="I724" i="3" s="1"/>
  <c r="I723" i="3" a="1"/>
  <c r="I723" i="3" s="1"/>
  <c r="I722" i="3" a="1"/>
  <c r="I722" i="3" s="1"/>
  <c r="I721" i="3" a="1"/>
  <c r="I721" i="3" s="1"/>
  <c r="I720" i="3" a="1"/>
  <c r="I720" i="3" s="1"/>
  <c r="I719" i="3" a="1"/>
  <c r="I719" i="3" s="1"/>
  <c r="I718" i="3" a="1"/>
  <c r="I718" i="3" s="1"/>
  <c r="I717" i="3" a="1"/>
  <c r="I717" i="3" s="1"/>
  <c r="I716" i="3" a="1"/>
  <c r="I716" i="3" s="1"/>
  <c r="I715" i="3" a="1"/>
  <c r="I715" i="3" s="1"/>
  <c r="I714" i="3" a="1"/>
  <c r="I714" i="3" s="1"/>
  <c r="I713" i="3" a="1"/>
  <c r="I713" i="3" s="1"/>
  <c r="I712" i="3" a="1"/>
  <c r="I712" i="3" s="1"/>
  <c r="I711" i="3" a="1"/>
  <c r="I711" i="3" s="1"/>
  <c r="I710" i="3" a="1"/>
  <c r="I710" i="3" s="1"/>
  <c r="I709" i="3" a="1"/>
  <c r="I709" i="3" s="1"/>
  <c r="I708" i="3" a="1"/>
  <c r="I708" i="3" s="1"/>
  <c r="I707" i="3" a="1"/>
  <c r="I707" i="3" s="1"/>
  <c r="I706" i="3" a="1"/>
  <c r="I706" i="3" s="1"/>
  <c r="I705" i="3" a="1"/>
  <c r="I705" i="3" s="1"/>
  <c r="I704" i="3" a="1"/>
  <c r="I704" i="3" s="1"/>
  <c r="I703" i="3" a="1"/>
  <c r="I703" i="3" s="1"/>
  <c r="I702" i="3" a="1"/>
  <c r="I702" i="3" s="1"/>
  <c r="I701" i="3" a="1"/>
  <c r="I701" i="3" s="1"/>
  <c r="I700" i="3" a="1"/>
  <c r="I700" i="3" s="1"/>
  <c r="I699" i="3" a="1"/>
  <c r="I699" i="3" s="1"/>
  <c r="I698" i="3" a="1"/>
  <c r="I698" i="3" s="1"/>
  <c r="I697" i="3" a="1"/>
  <c r="I697" i="3" s="1"/>
  <c r="I696" i="3" a="1"/>
  <c r="I696" i="3" s="1"/>
  <c r="I695" i="3" a="1"/>
  <c r="I695" i="3" s="1"/>
  <c r="I694" i="3" a="1"/>
  <c r="I694" i="3" s="1"/>
  <c r="I693" i="3" a="1"/>
  <c r="I693" i="3" s="1"/>
  <c r="I692" i="3" a="1"/>
  <c r="I692" i="3" s="1"/>
  <c r="I691" i="3" a="1"/>
  <c r="I691" i="3" s="1"/>
  <c r="I690" i="3" a="1"/>
  <c r="I690" i="3" s="1"/>
  <c r="I689" i="3" a="1"/>
  <c r="I689" i="3" s="1"/>
  <c r="I688" i="3" a="1"/>
  <c r="I688" i="3" s="1"/>
  <c r="I687" i="3" a="1"/>
  <c r="I687" i="3" s="1"/>
  <c r="I686" i="3" a="1"/>
  <c r="I686" i="3" s="1"/>
  <c r="I685" i="3" a="1"/>
  <c r="I685" i="3" s="1"/>
  <c r="I684" i="3" a="1"/>
  <c r="I684" i="3" s="1"/>
  <c r="I683" i="3" a="1"/>
  <c r="I683" i="3" s="1"/>
  <c r="I682" i="3" a="1"/>
  <c r="I682" i="3" s="1"/>
  <c r="I681" i="3" a="1"/>
  <c r="I681" i="3" s="1"/>
  <c r="I680" i="3" a="1"/>
  <c r="I680" i="3" s="1"/>
  <c r="I679" i="3" a="1"/>
  <c r="I679" i="3" s="1"/>
  <c r="I678" i="3" a="1"/>
  <c r="I678" i="3" s="1"/>
  <c r="I677" i="3" a="1"/>
  <c r="I677" i="3" s="1"/>
  <c r="I676" i="3" a="1"/>
  <c r="I676" i="3" s="1"/>
  <c r="I675" i="3" a="1"/>
  <c r="I675" i="3" s="1"/>
  <c r="I674" i="3" a="1"/>
  <c r="I674" i="3" s="1"/>
  <c r="I673" i="3" a="1"/>
  <c r="I673" i="3" s="1"/>
  <c r="I672" i="3" a="1"/>
  <c r="I672" i="3" s="1"/>
  <c r="I671" i="3" a="1"/>
  <c r="I671" i="3" s="1"/>
  <c r="I670" i="3" a="1"/>
  <c r="I670" i="3" s="1"/>
  <c r="I669" i="3" a="1"/>
  <c r="I669" i="3" s="1"/>
  <c r="I668" i="3" a="1"/>
  <c r="I668" i="3" s="1"/>
  <c r="I667" i="3" a="1"/>
  <c r="I667" i="3" s="1"/>
  <c r="I666" i="3" a="1"/>
  <c r="I666" i="3" s="1"/>
  <c r="I665" i="3" a="1"/>
  <c r="I665" i="3" s="1"/>
  <c r="I664" i="3" a="1"/>
  <c r="I664" i="3" s="1"/>
  <c r="I663" i="3" a="1"/>
  <c r="I663" i="3" s="1"/>
  <c r="I662" i="3" a="1"/>
  <c r="I662" i="3" s="1"/>
  <c r="I661" i="3" a="1"/>
  <c r="I661" i="3" s="1"/>
  <c r="I660" i="3" a="1"/>
  <c r="I660" i="3" s="1"/>
  <c r="I659" i="3" a="1"/>
  <c r="I659" i="3" s="1"/>
  <c r="I658" i="3" a="1"/>
  <c r="I658" i="3" s="1"/>
  <c r="I657" i="3" a="1"/>
  <c r="I657" i="3" s="1"/>
  <c r="I656" i="3" a="1"/>
  <c r="I656" i="3" s="1"/>
  <c r="I655" i="3" a="1"/>
  <c r="I655" i="3" s="1"/>
  <c r="I654" i="3" a="1"/>
  <c r="I654" i="3" s="1"/>
  <c r="I653" i="3" a="1"/>
  <c r="I653" i="3" s="1"/>
  <c r="I652" i="3" a="1"/>
  <c r="I652" i="3" s="1"/>
  <c r="I651" i="3" a="1"/>
  <c r="I651" i="3" s="1"/>
  <c r="I650" i="3" a="1"/>
  <c r="I650" i="3" s="1"/>
  <c r="I649" i="3" a="1"/>
  <c r="I649" i="3" s="1"/>
  <c r="I648" i="3" a="1"/>
  <c r="I648" i="3" s="1"/>
  <c r="I647" i="3" a="1"/>
  <c r="I647" i="3" s="1"/>
  <c r="I646" i="3" a="1"/>
  <c r="I646" i="3" s="1"/>
  <c r="I645" i="3" a="1"/>
  <c r="I645" i="3" s="1"/>
  <c r="I644" i="3" a="1"/>
  <c r="I644" i="3" s="1"/>
  <c r="I643" i="3" a="1"/>
  <c r="I643" i="3" s="1"/>
  <c r="I642" i="3" a="1"/>
  <c r="I642" i="3" s="1"/>
  <c r="I641" i="3" a="1"/>
  <c r="I641" i="3" s="1"/>
  <c r="I640" i="3" a="1"/>
  <c r="I640" i="3" s="1"/>
  <c r="I639" i="3" a="1"/>
  <c r="I639" i="3" s="1"/>
  <c r="I638" i="3" a="1"/>
  <c r="I638" i="3" s="1"/>
  <c r="I637" i="3" a="1"/>
  <c r="I637" i="3" s="1"/>
  <c r="I636" i="3" a="1"/>
  <c r="I636" i="3" s="1"/>
  <c r="I635" i="3" a="1"/>
  <c r="I635" i="3" s="1"/>
  <c r="I634" i="3" a="1"/>
  <c r="I634" i="3" s="1"/>
  <c r="I633" i="3" a="1"/>
  <c r="I633" i="3" s="1"/>
  <c r="I632" i="3" a="1"/>
  <c r="I632" i="3" s="1"/>
  <c r="I631" i="3" a="1"/>
  <c r="I631" i="3" s="1"/>
  <c r="I630" i="3" a="1"/>
  <c r="I630" i="3" s="1"/>
  <c r="I629" i="3" a="1"/>
  <c r="I629" i="3" s="1"/>
  <c r="I628" i="3" a="1"/>
  <c r="I628" i="3" s="1"/>
  <c r="I627" i="3" a="1"/>
  <c r="I627" i="3" s="1"/>
  <c r="I626" i="3" a="1"/>
  <c r="I626" i="3" s="1"/>
  <c r="I625" i="3" a="1"/>
  <c r="I625" i="3" s="1"/>
  <c r="I624" i="3" a="1"/>
  <c r="I624" i="3" s="1"/>
  <c r="I623" i="3" a="1"/>
  <c r="I623" i="3" s="1"/>
  <c r="I622" i="3" a="1"/>
  <c r="I622" i="3" s="1"/>
  <c r="I621" i="3" a="1"/>
  <c r="I621" i="3" s="1"/>
  <c r="I620" i="3" a="1"/>
  <c r="I620" i="3" s="1"/>
  <c r="I619" i="3" a="1"/>
  <c r="I619" i="3" s="1"/>
  <c r="I618" i="3" a="1"/>
  <c r="I618" i="3" s="1"/>
  <c r="I617" i="3" a="1"/>
  <c r="I617" i="3" s="1"/>
  <c r="I616" i="3" a="1"/>
  <c r="I616" i="3" s="1"/>
  <c r="I615" i="3" a="1"/>
  <c r="I615" i="3" s="1"/>
  <c r="I614" i="3" a="1"/>
  <c r="I614" i="3" s="1"/>
  <c r="I613" i="3" a="1"/>
  <c r="I613" i="3" s="1"/>
  <c r="I612" i="3" a="1"/>
  <c r="I612" i="3" s="1"/>
  <c r="I611" i="3" a="1"/>
  <c r="I611" i="3" s="1"/>
  <c r="I610" i="3" a="1"/>
  <c r="I610" i="3" s="1"/>
  <c r="I609" i="3" a="1"/>
  <c r="I609" i="3" s="1"/>
  <c r="I608" i="3" a="1"/>
  <c r="I608" i="3" s="1"/>
  <c r="I607" i="3" a="1"/>
  <c r="I607" i="3" s="1"/>
  <c r="I606" i="3" a="1"/>
  <c r="I606" i="3" s="1"/>
  <c r="I605" i="3" a="1"/>
  <c r="I605" i="3" s="1"/>
  <c r="I604" i="3" a="1"/>
  <c r="I604" i="3" s="1"/>
  <c r="I603" i="3" a="1"/>
  <c r="I603" i="3" s="1"/>
  <c r="I602" i="3" a="1"/>
  <c r="I602" i="3" s="1"/>
  <c r="I601" i="3" a="1"/>
  <c r="I601" i="3" s="1"/>
  <c r="I600" i="3" a="1"/>
  <c r="I600" i="3" s="1"/>
  <c r="I599" i="3" a="1"/>
  <c r="I599" i="3" s="1"/>
  <c r="I598" i="3" a="1"/>
  <c r="I598" i="3" s="1"/>
  <c r="I597" i="3" a="1"/>
  <c r="I597" i="3" s="1"/>
  <c r="I596" i="3" a="1"/>
  <c r="I596" i="3" s="1"/>
  <c r="I595" i="3" a="1"/>
  <c r="I595" i="3" s="1"/>
  <c r="I594" i="3" a="1"/>
  <c r="I594" i="3" s="1"/>
  <c r="I593" i="3" a="1"/>
  <c r="I593" i="3" s="1"/>
  <c r="I592" i="3" a="1"/>
  <c r="I592" i="3" s="1"/>
  <c r="I591" i="3" a="1"/>
  <c r="I591" i="3" s="1"/>
  <c r="I590" i="3" a="1"/>
  <c r="I590" i="3" s="1"/>
  <c r="I589" i="3" a="1"/>
  <c r="I589" i="3" s="1"/>
  <c r="I588" i="3" a="1"/>
  <c r="I588" i="3" s="1"/>
  <c r="I587" i="3" a="1"/>
  <c r="I587" i="3" s="1"/>
  <c r="I586" i="3" a="1"/>
  <c r="I586" i="3" s="1"/>
  <c r="I585" i="3" a="1"/>
  <c r="I585" i="3" s="1"/>
  <c r="I584" i="3" a="1"/>
  <c r="I584" i="3" s="1"/>
  <c r="I583" i="3" a="1"/>
  <c r="I583" i="3" s="1"/>
  <c r="I582" i="3" a="1"/>
  <c r="I582" i="3" s="1"/>
  <c r="I581" i="3" a="1"/>
  <c r="I581" i="3" s="1"/>
  <c r="I580" i="3" a="1"/>
  <c r="I580" i="3" s="1"/>
  <c r="I579" i="3" a="1"/>
  <c r="I579" i="3" s="1"/>
  <c r="I578" i="3" a="1"/>
  <c r="I578" i="3" s="1"/>
  <c r="I577" i="3" a="1"/>
  <c r="I577" i="3" s="1"/>
  <c r="I576" i="3" a="1"/>
  <c r="I576" i="3" s="1"/>
  <c r="I575" i="3" a="1"/>
  <c r="I575" i="3" s="1"/>
  <c r="I574" i="3" a="1"/>
  <c r="I574" i="3" s="1"/>
  <c r="I573" i="3" a="1"/>
  <c r="I573" i="3" s="1"/>
  <c r="I572" i="3" a="1"/>
  <c r="I572" i="3" s="1"/>
  <c r="I571" i="3" a="1"/>
  <c r="I571" i="3" s="1"/>
  <c r="I570" i="3" a="1"/>
  <c r="I570" i="3" s="1"/>
  <c r="I569" i="3" a="1"/>
  <c r="I569" i="3" s="1"/>
  <c r="I568" i="3" a="1"/>
  <c r="I568" i="3" s="1"/>
  <c r="I567" i="3" a="1"/>
  <c r="I567" i="3" s="1"/>
  <c r="I566" i="3" a="1"/>
  <c r="I566" i="3" s="1"/>
  <c r="I565" i="3" a="1"/>
  <c r="I565" i="3" s="1"/>
  <c r="I564" i="3" a="1"/>
  <c r="I564" i="3" s="1"/>
  <c r="I563" i="3" a="1"/>
  <c r="I563" i="3" s="1"/>
  <c r="I562" i="3" a="1"/>
  <c r="I562" i="3" s="1"/>
  <c r="I561" i="3" a="1"/>
  <c r="I561" i="3" s="1"/>
  <c r="I560" i="3" a="1"/>
  <c r="I560" i="3" s="1"/>
  <c r="I559" i="3" a="1"/>
  <c r="I559" i="3" s="1"/>
  <c r="I558" i="3" a="1"/>
  <c r="I558" i="3" s="1"/>
  <c r="I557" i="3" a="1"/>
  <c r="I557" i="3" s="1"/>
  <c r="I556" i="3" a="1"/>
  <c r="I556" i="3" s="1"/>
  <c r="I555" i="3" a="1"/>
  <c r="I555" i="3" s="1"/>
  <c r="I554" i="3" a="1"/>
  <c r="I554" i="3" s="1"/>
  <c r="I553" i="3" a="1"/>
  <c r="I553" i="3" s="1"/>
  <c r="I552" i="3" a="1"/>
  <c r="I552" i="3" s="1"/>
  <c r="I551" i="3" a="1"/>
  <c r="I551" i="3" s="1"/>
  <c r="I550" i="3" a="1"/>
  <c r="I550" i="3" s="1"/>
  <c r="I549" i="3" a="1"/>
  <c r="I549" i="3" s="1"/>
  <c r="I548" i="3" a="1"/>
  <c r="I548" i="3" s="1"/>
  <c r="I547" i="3" a="1"/>
  <c r="I547" i="3" s="1"/>
  <c r="I546" i="3" a="1"/>
  <c r="I546" i="3" s="1"/>
  <c r="I545" i="3" a="1"/>
  <c r="I545" i="3" s="1"/>
  <c r="I544" i="3" a="1"/>
  <c r="I544" i="3" s="1"/>
  <c r="I543" i="3" a="1"/>
  <c r="I543" i="3" s="1"/>
  <c r="I542" i="3" a="1"/>
  <c r="I542" i="3" s="1"/>
  <c r="I541" i="3" a="1"/>
  <c r="I541" i="3" s="1"/>
  <c r="I540" i="3" a="1"/>
  <c r="I540" i="3" s="1"/>
  <c r="I539" i="3" a="1"/>
  <c r="I539" i="3" s="1"/>
  <c r="I538" i="3" a="1"/>
  <c r="I538" i="3" s="1"/>
  <c r="I537" i="3" a="1"/>
  <c r="I537" i="3" s="1"/>
  <c r="I536" i="3" a="1"/>
  <c r="I536" i="3" s="1"/>
  <c r="I535" i="3" a="1"/>
  <c r="I535" i="3" s="1"/>
  <c r="I534" i="3" a="1"/>
  <c r="I534" i="3" s="1"/>
  <c r="I533" i="3" a="1"/>
  <c r="I533" i="3" s="1"/>
  <c r="I532" i="3" a="1"/>
  <c r="I532" i="3" s="1"/>
  <c r="I531" i="3" a="1"/>
  <c r="I531" i="3" s="1"/>
  <c r="I530" i="3" a="1"/>
  <c r="I530" i="3" s="1"/>
  <c r="I529" i="3" a="1"/>
  <c r="I529" i="3" s="1"/>
  <c r="I528" i="3" a="1"/>
  <c r="I528" i="3" s="1"/>
  <c r="I527" i="3" a="1"/>
  <c r="I527" i="3" s="1"/>
  <c r="I526" i="3" a="1"/>
  <c r="I526" i="3" s="1"/>
  <c r="I525" i="3" a="1"/>
  <c r="I525" i="3" s="1"/>
  <c r="I524" i="3" a="1"/>
  <c r="I524" i="3" s="1"/>
  <c r="I523" i="3" a="1"/>
  <c r="I523" i="3" s="1"/>
  <c r="I522" i="3" a="1"/>
  <c r="I522" i="3" s="1"/>
  <c r="I521" i="3" a="1"/>
  <c r="I521" i="3" s="1"/>
  <c r="I520" i="3" a="1"/>
  <c r="I520" i="3" s="1"/>
  <c r="I519" i="3" a="1"/>
  <c r="I519" i="3" s="1"/>
  <c r="I518" i="3" a="1"/>
  <c r="I518" i="3" s="1"/>
  <c r="I517" i="3" a="1"/>
  <c r="I517" i="3" s="1"/>
  <c r="I516" i="3" a="1"/>
  <c r="I516" i="3" s="1"/>
  <c r="I515" i="3" a="1"/>
  <c r="I515" i="3" s="1"/>
  <c r="I514" i="3" a="1"/>
  <c r="I514" i="3" s="1"/>
  <c r="I513" i="3" a="1"/>
  <c r="I513" i="3" s="1"/>
  <c r="I512" i="3" a="1"/>
  <c r="I512" i="3" s="1"/>
  <c r="I511" i="3" a="1"/>
  <c r="I511" i="3" s="1"/>
  <c r="I510" i="3" a="1"/>
  <c r="I510" i="3" s="1"/>
  <c r="I509" i="3" a="1"/>
  <c r="I509" i="3" s="1"/>
  <c r="I508" i="3" a="1"/>
  <c r="I508" i="3" s="1"/>
  <c r="I507" i="3" a="1"/>
  <c r="I507" i="3" s="1"/>
  <c r="I506" i="3" a="1"/>
  <c r="I506" i="3" s="1"/>
  <c r="I505" i="3" a="1"/>
  <c r="I505" i="3" s="1"/>
  <c r="I504" i="3" a="1"/>
  <c r="I504" i="3" s="1"/>
  <c r="I503" i="3" a="1"/>
  <c r="I503" i="3" s="1"/>
  <c r="I502" i="3" a="1"/>
  <c r="I502" i="3" s="1"/>
  <c r="I501" i="3" a="1"/>
  <c r="I501" i="3" s="1"/>
  <c r="I500" i="3" a="1"/>
  <c r="I500" i="3" s="1"/>
  <c r="I499" i="3" a="1"/>
  <c r="I499" i="3" s="1"/>
  <c r="I498" i="3" a="1"/>
  <c r="I498" i="3" s="1"/>
  <c r="I497" i="3" a="1"/>
  <c r="I497" i="3" s="1"/>
  <c r="I496" i="3" a="1"/>
  <c r="I496" i="3" s="1"/>
  <c r="I495" i="3" a="1"/>
  <c r="I495" i="3" s="1"/>
  <c r="I494" i="3" a="1"/>
  <c r="I494" i="3" s="1"/>
  <c r="I493" i="3" a="1"/>
  <c r="I493" i="3" s="1"/>
  <c r="I492" i="3" a="1"/>
  <c r="I492" i="3" s="1"/>
  <c r="I491" i="3" a="1"/>
  <c r="I491" i="3" s="1"/>
  <c r="I490" i="3" a="1"/>
  <c r="I490" i="3" s="1"/>
  <c r="I489" i="3" a="1"/>
  <c r="I489" i="3" s="1"/>
  <c r="I488" i="3" a="1"/>
  <c r="I488" i="3" s="1"/>
  <c r="I487" i="3" a="1"/>
  <c r="I487" i="3" s="1"/>
  <c r="I486" i="3" a="1"/>
  <c r="I486" i="3" s="1"/>
  <c r="I485" i="3" a="1"/>
  <c r="I485" i="3" s="1"/>
  <c r="I484" i="3" a="1"/>
  <c r="I484" i="3" s="1"/>
  <c r="I483" i="3" a="1"/>
  <c r="I483" i="3" s="1"/>
  <c r="I482" i="3" a="1"/>
  <c r="I482" i="3" s="1"/>
  <c r="I481" i="3" a="1"/>
  <c r="I481" i="3" s="1"/>
  <c r="I480" i="3" a="1"/>
  <c r="I480" i="3" s="1"/>
  <c r="I479" i="3" a="1"/>
  <c r="I479" i="3" s="1"/>
  <c r="I478" i="3" a="1"/>
  <c r="I478" i="3" s="1"/>
  <c r="I477" i="3" a="1"/>
  <c r="I477" i="3" s="1"/>
  <c r="I476" i="3" a="1"/>
  <c r="I476" i="3" s="1"/>
  <c r="I475" i="3" a="1"/>
  <c r="I475" i="3" s="1"/>
  <c r="I474" i="3" a="1"/>
  <c r="I474" i="3" s="1"/>
  <c r="I473" i="3" a="1"/>
  <c r="I473" i="3" s="1"/>
  <c r="I472" i="3" a="1"/>
  <c r="I472" i="3" s="1"/>
  <c r="I471" i="3" a="1"/>
  <c r="I471" i="3" s="1"/>
  <c r="I470" i="3" a="1"/>
  <c r="I470" i="3" s="1"/>
  <c r="I469" i="3" a="1"/>
  <c r="I469" i="3" s="1"/>
  <c r="I468" i="3" a="1"/>
  <c r="I468" i="3" s="1"/>
  <c r="I467" i="3" a="1"/>
  <c r="I467" i="3" s="1"/>
  <c r="I466" i="3" a="1"/>
  <c r="I466" i="3" s="1"/>
  <c r="I465" i="3" a="1"/>
  <c r="I465" i="3" s="1"/>
  <c r="I464" i="3" a="1"/>
  <c r="I464" i="3" s="1"/>
  <c r="I463" i="3" a="1"/>
  <c r="I463" i="3" s="1"/>
  <c r="I462" i="3" a="1"/>
  <c r="I462" i="3" s="1"/>
  <c r="I461" i="3" a="1"/>
  <c r="I461" i="3" s="1"/>
  <c r="I460" i="3" a="1"/>
  <c r="I460" i="3" s="1"/>
  <c r="I459" i="3" a="1"/>
  <c r="I459" i="3" s="1"/>
  <c r="I458" i="3" a="1"/>
  <c r="I458" i="3" s="1"/>
  <c r="I457" i="3" a="1"/>
  <c r="I457" i="3" s="1"/>
  <c r="I456" i="3" a="1"/>
  <c r="I456" i="3" s="1"/>
  <c r="I455" i="3" a="1"/>
  <c r="I455" i="3" s="1"/>
  <c r="I454" i="3" a="1"/>
  <c r="I454" i="3" s="1"/>
  <c r="I453" i="3" a="1"/>
  <c r="I453" i="3" s="1"/>
  <c r="I452" i="3" a="1"/>
  <c r="I452" i="3" s="1"/>
  <c r="I451" i="3" a="1"/>
  <c r="I451" i="3" s="1"/>
  <c r="I450" i="3" a="1"/>
  <c r="I450" i="3" s="1"/>
  <c r="I449" i="3" a="1"/>
  <c r="I449" i="3" s="1"/>
  <c r="I448" i="3" a="1"/>
  <c r="I448" i="3" s="1"/>
  <c r="I447" i="3" a="1"/>
  <c r="I447" i="3" s="1"/>
  <c r="I446" i="3" a="1"/>
  <c r="I446" i="3" s="1"/>
  <c r="I445" i="3" a="1"/>
  <c r="I445" i="3" s="1"/>
  <c r="I444" i="3" a="1"/>
  <c r="I444" i="3" s="1"/>
  <c r="I443" i="3" a="1"/>
  <c r="I443" i="3" s="1"/>
  <c r="I442" i="3" a="1"/>
  <c r="I442" i="3" s="1"/>
  <c r="I441" i="3" a="1"/>
  <c r="I441" i="3" s="1"/>
  <c r="I440" i="3" a="1"/>
  <c r="I440" i="3" s="1"/>
  <c r="I439" i="3" a="1"/>
  <c r="I439" i="3" s="1"/>
  <c r="I438" i="3" a="1"/>
  <c r="I438" i="3" s="1"/>
  <c r="I437" i="3" a="1"/>
  <c r="I437" i="3" s="1"/>
  <c r="I436" i="3" a="1"/>
  <c r="I436" i="3" s="1"/>
  <c r="I435" i="3" a="1"/>
  <c r="I435" i="3" s="1"/>
  <c r="I434" i="3" a="1"/>
  <c r="I434" i="3" s="1"/>
  <c r="I433" i="3" a="1"/>
  <c r="I433" i="3" s="1"/>
  <c r="I432" i="3" a="1"/>
  <c r="I432" i="3" s="1"/>
  <c r="I431" i="3" a="1"/>
  <c r="I431" i="3" s="1"/>
  <c r="I430" i="3" a="1"/>
  <c r="I430" i="3" s="1"/>
  <c r="I429" i="3" a="1"/>
  <c r="I429" i="3" s="1"/>
  <c r="I428" i="3" a="1"/>
  <c r="I428" i="3" s="1"/>
  <c r="I427" i="3" a="1"/>
  <c r="I427" i="3" s="1"/>
  <c r="I426" i="3" a="1"/>
  <c r="I426" i="3" s="1"/>
  <c r="I425" i="3" a="1"/>
  <c r="I425" i="3" s="1"/>
  <c r="I424" i="3" a="1"/>
  <c r="I424" i="3" s="1"/>
  <c r="I423" i="3" a="1"/>
  <c r="I423" i="3" s="1"/>
  <c r="I422" i="3" a="1"/>
  <c r="I422" i="3" s="1"/>
  <c r="I421" i="3" a="1"/>
  <c r="I421" i="3" s="1"/>
  <c r="I420" i="3" a="1"/>
  <c r="I420" i="3" s="1"/>
  <c r="I419" i="3" a="1"/>
  <c r="I419" i="3" s="1"/>
  <c r="I418" i="3" a="1"/>
  <c r="I418" i="3" s="1"/>
  <c r="I417" i="3" a="1"/>
  <c r="I417" i="3" s="1"/>
  <c r="I416" i="3" a="1"/>
  <c r="I416" i="3" s="1"/>
  <c r="I415" i="3" a="1"/>
  <c r="I415" i="3" s="1"/>
  <c r="I414" i="3" a="1"/>
  <c r="I414" i="3" s="1"/>
  <c r="I413" i="3" a="1"/>
  <c r="I413" i="3" s="1"/>
  <c r="I412" i="3" a="1"/>
  <c r="I412" i="3" s="1"/>
  <c r="I411" i="3" a="1"/>
  <c r="I411" i="3" s="1"/>
  <c r="I410" i="3" a="1"/>
  <c r="I410" i="3" s="1"/>
  <c r="I409" i="3" a="1"/>
  <c r="I409" i="3" s="1"/>
  <c r="I408" i="3" a="1"/>
  <c r="I408" i="3" s="1"/>
  <c r="I407" i="3" a="1"/>
  <c r="I407" i="3" s="1"/>
  <c r="I406" i="3" a="1"/>
  <c r="I406" i="3" s="1"/>
  <c r="I405" i="3" a="1"/>
  <c r="I405" i="3" s="1"/>
  <c r="I404" i="3" a="1"/>
  <c r="I404" i="3" s="1"/>
  <c r="I403" i="3" a="1"/>
  <c r="I403" i="3" s="1"/>
  <c r="I402" i="3" a="1"/>
  <c r="I402" i="3" s="1"/>
  <c r="I401" i="3" a="1"/>
  <c r="I401" i="3" s="1"/>
  <c r="I400" i="3" a="1"/>
  <c r="I400" i="3" s="1"/>
  <c r="I399" i="3" a="1"/>
  <c r="I399" i="3" s="1"/>
  <c r="I398" i="3" a="1"/>
  <c r="I398" i="3" s="1"/>
  <c r="I397" i="3" a="1"/>
  <c r="I397" i="3" s="1"/>
  <c r="I396" i="3" a="1"/>
  <c r="I396" i="3" s="1"/>
  <c r="I395" i="3" a="1"/>
  <c r="I395" i="3" s="1"/>
  <c r="I394" i="3" a="1"/>
  <c r="I394" i="3" s="1"/>
  <c r="I393" i="3" a="1"/>
  <c r="I393" i="3" s="1"/>
  <c r="I392" i="3" a="1"/>
  <c r="I392" i="3" s="1"/>
  <c r="I391" i="3" a="1"/>
  <c r="I391" i="3" s="1"/>
  <c r="I390" i="3" a="1"/>
  <c r="I390" i="3" s="1"/>
  <c r="I389" i="3" a="1"/>
  <c r="I389" i="3" s="1"/>
  <c r="I388" i="3" a="1"/>
  <c r="I388" i="3" s="1"/>
  <c r="I387" i="3" a="1"/>
  <c r="I387" i="3" s="1"/>
  <c r="I386" i="3" a="1"/>
  <c r="I386" i="3" s="1"/>
  <c r="I385" i="3" a="1"/>
  <c r="I385" i="3" s="1"/>
  <c r="I384" i="3" a="1"/>
  <c r="I384" i="3" s="1"/>
  <c r="I383" i="3" a="1"/>
  <c r="I383" i="3" s="1"/>
  <c r="I382" i="3" a="1"/>
  <c r="I382" i="3" s="1"/>
  <c r="I381" i="3" a="1"/>
  <c r="I381" i="3" s="1"/>
  <c r="I380" i="3" a="1"/>
  <c r="I380" i="3" s="1"/>
  <c r="I379" i="3" a="1"/>
  <c r="I379" i="3" s="1"/>
  <c r="I378" i="3" a="1"/>
  <c r="I378" i="3" s="1"/>
  <c r="I377" i="3" a="1"/>
  <c r="I377" i="3" s="1"/>
  <c r="I376" i="3" a="1"/>
  <c r="I376" i="3" s="1"/>
  <c r="I375" i="3" a="1"/>
  <c r="I375" i="3" s="1"/>
  <c r="I374" i="3" a="1"/>
  <c r="I374" i="3" s="1"/>
  <c r="I373" i="3" a="1"/>
  <c r="I373" i="3" s="1"/>
  <c r="I372" i="3" a="1"/>
  <c r="I372" i="3" s="1"/>
  <c r="I371" i="3" a="1"/>
  <c r="I371" i="3" s="1"/>
  <c r="I370" i="3" a="1"/>
  <c r="I370" i="3" s="1"/>
  <c r="I369" i="3" a="1"/>
  <c r="I369" i="3" s="1"/>
  <c r="I368" i="3" a="1"/>
  <c r="I368" i="3" s="1"/>
  <c r="I367" i="3" a="1"/>
  <c r="I367" i="3" s="1"/>
  <c r="I366" i="3" a="1"/>
  <c r="I366" i="3" s="1"/>
  <c r="I365" i="3" a="1"/>
  <c r="I365" i="3" s="1"/>
  <c r="I364" i="3" a="1"/>
  <c r="I364" i="3" s="1"/>
  <c r="I363" i="3" a="1"/>
  <c r="I363" i="3" s="1"/>
  <c r="I362" i="3" a="1"/>
  <c r="I362" i="3" s="1"/>
  <c r="I361" i="3" a="1"/>
  <c r="I361" i="3" s="1"/>
  <c r="I360" i="3" a="1"/>
  <c r="I360" i="3" s="1"/>
  <c r="I359" i="3" a="1"/>
  <c r="I359" i="3" s="1"/>
  <c r="I358" i="3" a="1"/>
  <c r="I358" i="3" s="1"/>
  <c r="I357" i="3" a="1"/>
  <c r="I357" i="3" s="1"/>
  <c r="I356" i="3" a="1"/>
  <c r="I356" i="3" s="1"/>
  <c r="I355" i="3" a="1"/>
  <c r="I355" i="3" s="1"/>
  <c r="I354" i="3" a="1"/>
  <c r="I354" i="3" s="1"/>
  <c r="I353" i="3" a="1"/>
  <c r="I353" i="3" s="1"/>
  <c r="I352" i="3" a="1"/>
  <c r="I352" i="3" s="1"/>
  <c r="I351" i="3" a="1"/>
  <c r="I351" i="3" s="1"/>
  <c r="I350" i="3" a="1"/>
  <c r="I350" i="3" s="1"/>
  <c r="I349" i="3" a="1"/>
  <c r="I349" i="3" s="1"/>
  <c r="I348" i="3" a="1"/>
  <c r="I348" i="3" s="1"/>
  <c r="I347" i="3" a="1"/>
  <c r="I347" i="3" s="1"/>
  <c r="I346" i="3" a="1"/>
  <c r="I346" i="3" s="1"/>
  <c r="I345" i="3" a="1"/>
  <c r="I345" i="3" s="1"/>
  <c r="I344" i="3" a="1"/>
  <c r="I344" i="3" s="1"/>
  <c r="I343" i="3" a="1"/>
  <c r="I343" i="3" s="1"/>
  <c r="I342" i="3" a="1"/>
  <c r="I342" i="3" s="1"/>
  <c r="I341" i="3" a="1"/>
  <c r="I341" i="3" s="1"/>
  <c r="I340" i="3" a="1"/>
  <c r="I340" i="3" s="1"/>
  <c r="I339" i="3" a="1"/>
  <c r="I339" i="3" s="1"/>
  <c r="I338" i="3" a="1"/>
  <c r="I338" i="3" s="1"/>
  <c r="I337" i="3" a="1"/>
  <c r="I337" i="3" s="1"/>
  <c r="I336" i="3" a="1"/>
  <c r="I336" i="3" s="1"/>
  <c r="I335" i="3" a="1"/>
  <c r="I335" i="3" s="1"/>
  <c r="I334" i="3" a="1"/>
  <c r="I334" i="3" s="1"/>
  <c r="I333" i="3" a="1"/>
  <c r="I333" i="3" s="1"/>
  <c r="I332" i="3" a="1"/>
  <c r="I332" i="3" s="1"/>
  <c r="I331" i="3" a="1"/>
  <c r="I331" i="3" s="1"/>
  <c r="I330" i="3" a="1"/>
  <c r="I330" i="3" s="1"/>
  <c r="I329" i="3" a="1"/>
  <c r="I329" i="3" s="1"/>
  <c r="I328" i="3" a="1"/>
  <c r="I328" i="3" s="1"/>
  <c r="I327" i="3" a="1"/>
  <c r="I327" i="3" s="1"/>
  <c r="I326" i="3" a="1"/>
  <c r="I326" i="3" s="1"/>
  <c r="I325" i="3" a="1"/>
  <c r="I325" i="3" s="1"/>
  <c r="I324" i="3" a="1"/>
  <c r="I324" i="3" s="1"/>
  <c r="I323" i="3" a="1"/>
  <c r="I323" i="3" s="1"/>
  <c r="I322" i="3" a="1"/>
  <c r="I322" i="3" s="1"/>
  <c r="I321" i="3" a="1"/>
  <c r="I321" i="3" s="1"/>
  <c r="I320" i="3" a="1"/>
  <c r="I320" i="3" s="1"/>
  <c r="I319" i="3" a="1"/>
  <c r="I319" i="3" s="1"/>
  <c r="I318" i="3" a="1"/>
  <c r="I318" i="3" s="1"/>
  <c r="I317" i="3" a="1"/>
  <c r="I317" i="3" s="1"/>
  <c r="I316" i="3" a="1"/>
  <c r="I316" i="3" s="1"/>
  <c r="I315" i="3" a="1"/>
  <c r="I315" i="3" s="1"/>
  <c r="I314" i="3" a="1"/>
  <c r="I314" i="3" s="1"/>
  <c r="I313" i="3" a="1"/>
  <c r="I313" i="3" s="1"/>
  <c r="I312" i="3" a="1"/>
  <c r="I312" i="3" s="1"/>
  <c r="I311" i="3" a="1"/>
  <c r="I311" i="3" s="1"/>
  <c r="I310" i="3" a="1"/>
  <c r="I310" i="3" s="1"/>
  <c r="I309" i="3" a="1"/>
  <c r="I309" i="3" s="1"/>
  <c r="I308" i="3" a="1"/>
  <c r="I308" i="3" s="1"/>
  <c r="I307" i="3" a="1"/>
  <c r="I307" i="3" s="1"/>
  <c r="I306" i="3" a="1"/>
  <c r="I306" i="3" s="1"/>
  <c r="I305" i="3" a="1"/>
  <c r="I305" i="3" s="1"/>
  <c r="I304" i="3" a="1"/>
  <c r="I304" i="3" s="1"/>
  <c r="I303" i="3" a="1"/>
  <c r="I303" i="3" s="1"/>
  <c r="I302" i="3" a="1"/>
  <c r="I302" i="3" s="1"/>
  <c r="I301" i="3" a="1"/>
  <c r="I301" i="3" s="1"/>
  <c r="I300" i="3" a="1"/>
  <c r="I300" i="3" s="1"/>
  <c r="I299" i="3" a="1"/>
  <c r="I299" i="3" s="1"/>
  <c r="I298" i="3" a="1"/>
  <c r="I298" i="3" s="1"/>
  <c r="I297" i="3" a="1"/>
  <c r="I297" i="3" s="1"/>
  <c r="I296" i="3" a="1"/>
  <c r="I296" i="3" s="1"/>
  <c r="I295" i="3" a="1"/>
  <c r="I295" i="3" s="1"/>
  <c r="I294" i="3" a="1"/>
  <c r="I294" i="3" s="1"/>
  <c r="I293" i="3" a="1"/>
  <c r="I293" i="3" s="1"/>
  <c r="I292" i="3" a="1"/>
  <c r="I292" i="3" s="1"/>
  <c r="I291" i="3" a="1"/>
  <c r="I291" i="3" s="1"/>
  <c r="I290" i="3" a="1"/>
  <c r="I290" i="3" s="1"/>
  <c r="I289" i="3" a="1"/>
  <c r="I289" i="3" s="1"/>
  <c r="I288" i="3" a="1"/>
  <c r="I288" i="3" s="1"/>
  <c r="I287" i="3" a="1"/>
  <c r="I287" i="3" s="1"/>
  <c r="I286" i="3" a="1"/>
  <c r="I286" i="3" s="1"/>
  <c r="I285" i="3" a="1"/>
  <c r="I285" i="3" s="1"/>
  <c r="I284" i="3" a="1"/>
  <c r="I284" i="3" s="1"/>
  <c r="I283" i="3" a="1"/>
  <c r="I283" i="3" s="1"/>
  <c r="I282" i="3" a="1"/>
  <c r="I282" i="3" s="1"/>
  <c r="I281" i="3" a="1"/>
  <c r="I281" i="3" s="1"/>
  <c r="I280" i="3" a="1"/>
  <c r="I280" i="3" s="1"/>
  <c r="I279" i="3" a="1"/>
  <c r="I279" i="3" s="1"/>
  <c r="I278" i="3" a="1"/>
  <c r="I278" i="3" s="1"/>
  <c r="I277" i="3" a="1"/>
  <c r="I277" i="3" s="1"/>
  <c r="I276" i="3" a="1"/>
  <c r="I276" i="3" s="1"/>
  <c r="I275" i="3" a="1"/>
  <c r="I275" i="3" s="1"/>
  <c r="I274" i="3" a="1"/>
  <c r="I274" i="3" s="1"/>
  <c r="I273" i="3" a="1"/>
  <c r="I273" i="3" s="1"/>
  <c r="I272" i="3" a="1"/>
  <c r="I272" i="3" s="1"/>
  <c r="I271" i="3" a="1"/>
  <c r="I271" i="3" s="1"/>
  <c r="I270" i="3" a="1"/>
  <c r="I270" i="3" s="1"/>
  <c r="I269" i="3" a="1"/>
  <c r="I269" i="3" s="1"/>
  <c r="I268" i="3" a="1"/>
  <c r="I268" i="3" s="1"/>
  <c r="I267" i="3" a="1"/>
  <c r="I267" i="3" s="1"/>
  <c r="I266" i="3" a="1"/>
  <c r="I266" i="3" s="1"/>
  <c r="I265" i="3" a="1"/>
  <c r="I265" i="3" s="1"/>
  <c r="I264" i="3" a="1"/>
  <c r="I264" i="3" s="1"/>
  <c r="I263" i="3" a="1"/>
  <c r="I263" i="3" s="1"/>
  <c r="I262" i="3" a="1"/>
  <c r="I262" i="3" s="1"/>
  <c r="I261" i="3" a="1"/>
  <c r="I261" i="3" s="1"/>
  <c r="I260" i="3" a="1"/>
  <c r="I260" i="3" s="1"/>
  <c r="I259" i="3" a="1"/>
  <c r="I259" i="3" s="1"/>
  <c r="I258" i="3" a="1"/>
  <c r="I258" i="3" s="1"/>
  <c r="I257" i="3" a="1"/>
  <c r="I257" i="3" s="1"/>
  <c r="I256" i="3" a="1"/>
  <c r="I256" i="3" s="1"/>
  <c r="I255" i="3" a="1"/>
  <c r="I255" i="3" s="1"/>
  <c r="I254" i="3" a="1"/>
  <c r="I254" i="3" s="1"/>
  <c r="I253" i="3" a="1"/>
  <c r="I253" i="3" s="1"/>
  <c r="I252" i="3" a="1"/>
  <c r="I252" i="3" s="1"/>
  <c r="I251" i="3" a="1"/>
  <c r="I251" i="3" s="1"/>
  <c r="I250" i="3" a="1"/>
  <c r="I250" i="3" s="1"/>
  <c r="I249" i="3" a="1"/>
  <c r="I249" i="3" s="1"/>
  <c r="I248" i="3" a="1"/>
  <c r="I248" i="3" s="1"/>
  <c r="I247" i="3" a="1"/>
  <c r="I247" i="3" s="1"/>
  <c r="I246" i="3" a="1"/>
  <c r="I246" i="3" s="1"/>
  <c r="I245" i="3" a="1"/>
  <c r="I245" i="3" s="1"/>
  <c r="I244" i="3" a="1"/>
  <c r="I244" i="3" s="1"/>
  <c r="I243" i="3" a="1"/>
  <c r="I243" i="3" s="1"/>
  <c r="I242" i="3" a="1"/>
  <c r="I242" i="3" s="1"/>
  <c r="I241" i="3" a="1"/>
  <c r="I241" i="3" s="1"/>
  <c r="I240" i="3" a="1"/>
  <c r="I240" i="3" s="1"/>
  <c r="I239" i="3" a="1"/>
  <c r="I239" i="3" s="1"/>
  <c r="I238" i="3" a="1"/>
  <c r="I238" i="3" s="1"/>
  <c r="I237" i="3" a="1"/>
  <c r="I237" i="3" s="1"/>
  <c r="I236" i="3" a="1"/>
  <c r="I236" i="3" s="1"/>
  <c r="I235" i="3" a="1"/>
  <c r="I235" i="3" s="1"/>
  <c r="I234" i="3" a="1"/>
  <c r="I234" i="3" s="1"/>
  <c r="I233" i="3" a="1"/>
  <c r="I233" i="3" s="1"/>
  <c r="I232" i="3" a="1"/>
  <c r="I232" i="3" s="1"/>
  <c r="I231" i="3" a="1"/>
  <c r="I231" i="3" s="1"/>
  <c r="I230" i="3" a="1"/>
  <c r="I230" i="3" s="1"/>
  <c r="I229" i="3" a="1"/>
  <c r="I229" i="3" s="1"/>
  <c r="I228" i="3" a="1"/>
  <c r="I228" i="3" s="1"/>
  <c r="I227" i="3" a="1"/>
  <c r="I227" i="3" s="1"/>
  <c r="I226" i="3" a="1"/>
  <c r="I226" i="3" s="1"/>
  <c r="I225" i="3" a="1"/>
  <c r="I225" i="3" s="1"/>
  <c r="I224" i="3" a="1"/>
  <c r="I224" i="3" s="1"/>
  <c r="I223" i="3" a="1"/>
  <c r="I223" i="3" s="1"/>
  <c r="I222" i="3" a="1"/>
  <c r="I222" i="3" s="1"/>
  <c r="I221" i="3" a="1"/>
  <c r="I221" i="3" s="1"/>
  <c r="I220" i="3" a="1"/>
  <c r="I220" i="3" s="1"/>
  <c r="I219" i="3" a="1"/>
  <c r="I219" i="3" s="1"/>
  <c r="I218" i="3" a="1"/>
  <c r="I218" i="3" s="1"/>
  <c r="I217" i="3" a="1"/>
  <c r="I217" i="3" s="1"/>
  <c r="I216" i="3" a="1"/>
  <c r="I216" i="3" s="1"/>
  <c r="I215" i="3" a="1"/>
  <c r="I215" i="3" s="1"/>
  <c r="I214" i="3" a="1"/>
  <c r="I214" i="3" s="1"/>
  <c r="I213" i="3" a="1"/>
  <c r="I213" i="3" s="1"/>
  <c r="I212" i="3" a="1"/>
  <c r="I212" i="3" s="1"/>
  <c r="I211" i="3" a="1"/>
  <c r="I211" i="3" s="1"/>
  <c r="I210" i="3" a="1"/>
  <c r="I210" i="3" s="1"/>
  <c r="I209" i="3" a="1"/>
  <c r="I209" i="3" s="1"/>
  <c r="I208" i="3" a="1"/>
  <c r="I208" i="3" s="1"/>
  <c r="I207" i="3" a="1"/>
  <c r="I207" i="3" s="1"/>
  <c r="I206" i="3" a="1"/>
  <c r="I206" i="3" s="1"/>
  <c r="I205" i="3" a="1"/>
  <c r="I205" i="3" s="1"/>
  <c r="I204" i="3" a="1"/>
  <c r="I204" i="3" s="1"/>
  <c r="I203" i="3" a="1"/>
  <c r="I203" i="3" s="1"/>
  <c r="I202" i="3" a="1"/>
  <c r="I202" i="3" s="1"/>
  <c r="I201" i="3" a="1"/>
  <c r="I201" i="3" s="1"/>
  <c r="I200" i="3" a="1"/>
  <c r="I200" i="3" s="1"/>
  <c r="I199" i="3" a="1"/>
  <c r="I199" i="3" s="1"/>
  <c r="I198" i="3" a="1"/>
  <c r="I198" i="3" s="1"/>
  <c r="I197" i="3" a="1"/>
  <c r="I197" i="3" s="1"/>
  <c r="I196" i="3" a="1"/>
  <c r="I196" i="3" s="1"/>
  <c r="I195" i="3" a="1"/>
  <c r="I195" i="3" s="1"/>
  <c r="I194" i="3" a="1"/>
  <c r="I194" i="3" s="1"/>
  <c r="I193" i="3" a="1"/>
  <c r="I193" i="3" s="1"/>
  <c r="I192" i="3" a="1"/>
  <c r="I192" i="3" s="1"/>
  <c r="I191" i="3" a="1"/>
  <c r="I191" i="3" s="1"/>
  <c r="I190" i="3" a="1"/>
  <c r="I190" i="3" s="1"/>
  <c r="I189" i="3" a="1"/>
  <c r="I189" i="3" s="1"/>
  <c r="I188" i="3" a="1"/>
  <c r="I188" i="3" s="1"/>
  <c r="I187" i="3" a="1"/>
  <c r="I187" i="3" s="1"/>
  <c r="I186" i="3" a="1"/>
  <c r="I186" i="3" s="1"/>
  <c r="I185" i="3" a="1"/>
  <c r="I185" i="3" s="1"/>
  <c r="I184" i="3" a="1"/>
  <c r="I184" i="3" s="1"/>
  <c r="I183" i="3" a="1"/>
  <c r="I183" i="3" s="1"/>
  <c r="I182" i="3" a="1"/>
  <c r="I182" i="3" s="1"/>
  <c r="I181" i="3" a="1"/>
  <c r="I181" i="3" s="1"/>
  <c r="I180" i="3" a="1"/>
  <c r="I180" i="3" s="1"/>
  <c r="I179" i="3" a="1"/>
  <c r="I179" i="3" s="1"/>
  <c r="I178" i="3" a="1"/>
  <c r="I178" i="3" s="1"/>
  <c r="I177" i="3" a="1"/>
  <c r="I177" i="3" s="1"/>
  <c r="I176" i="3" a="1"/>
  <c r="I176" i="3" s="1"/>
  <c r="I175" i="3" a="1"/>
  <c r="I175" i="3" s="1"/>
  <c r="I174" i="3" a="1"/>
  <c r="I174" i="3" s="1"/>
  <c r="I173" i="3" a="1"/>
  <c r="I173" i="3" s="1"/>
  <c r="I172" i="3" a="1"/>
  <c r="I172" i="3" s="1"/>
  <c r="I171" i="3" a="1"/>
  <c r="I171" i="3" s="1"/>
  <c r="I170" i="3" a="1"/>
  <c r="I170" i="3" s="1"/>
  <c r="I169" i="3" a="1"/>
  <c r="I169" i="3" s="1"/>
  <c r="I168" i="3" a="1"/>
  <c r="I168" i="3" s="1"/>
  <c r="I167" i="3" a="1"/>
  <c r="I167" i="3" s="1"/>
  <c r="I166" i="3" a="1"/>
  <c r="I166" i="3" s="1"/>
  <c r="I165" i="3" a="1"/>
  <c r="I165" i="3" s="1"/>
  <c r="I164" i="3" a="1"/>
  <c r="I164" i="3" s="1"/>
  <c r="I163" i="3" a="1"/>
  <c r="I163" i="3" s="1"/>
  <c r="I162" i="3" a="1"/>
  <c r="I162" i="3" s="1"/>
  <c r="I161" i="3" a="1"/>
  <c r="I161" i="3" s="1"/>
  <c r="I160" i="3" a="1"/>
  <c r="I160" i="3" s="1"/>
  <c r="I159" i="3" a="1"/>
  <c r="I159" i="3" s="1"/>
  <c r="I158" i="3" a="1"/>
  <c r="I158" i="3" s="1"/>
  <c r="I157" i="3" a="1"/>
  <c r="I157" i="3" s="1"/>
  <c r="I156" i="3" a="1"/>
  <c r="I156" i="3" s="1"/>
  <c r="I155" i="3" a="1"/>
  <c r="I155" i="3" s="1"/>
  <c r="I154" i="3" a="1"/>
  <c r="I154" i="3" s="1"/>
  <c r="I153" i="3" a="1"/>
  <c r="I153" i="3" s="1"/>
  <c r="I152" i="3" a="1"/>
  <c r="I152" i="3" s="1"/>
  <c r="I151" i="3" a="1"/>
  <c r="I151" i="3" s="1"/>
  <c r="I150" i="3" a="1"/>
  <c r="I150" i="3" s="1"/>
  <c r="I149" i="3" a="1"/>
  <c r="I149" i="3" s="1"/>
  <c r="I148" i="3" a="1"/>
  <c r="I148" i="3" s="1"/>
  <c r="I147" i="3" a="1"/>
  <c r="I147" i="3" s="1"/>
  <c r="I146" i="3" a="1"/>
  <c r="I146" i="3" s="1"/>
  <c r="I145" i="3" a="1"/>
  <c r="I145" i="3" s="1"/>
  <c r="I144" i="3" a="1"/>
  <c r="I144" i="3" s="1"/>
  <c r="I143" i="3" a="1"/>
  <c r="I143" i="3" s="1"/>
  <c r="I142" i="3" a="1"/>
  <c r="I142" i="3" s="1"/>
  <c r="I141" i="3" a="1"/>
  <c r="I141" i="3" s="1"/>
  <c r="I140" i="3" a="1"/>
  <c r="I140" i="3" s="1"/>
  <c r="I139" i="3" a="1"/>
  <c r="I139" i="3" s="1"/>
  <c r="I138" i="3" a="1"/>
  <c r="I138" i="3" s="1"/>
  <c r="I137" i="3" a="1"/>
  <c r="I137" i="3" s="1"/>
  <c r="I136" i="3" a="1"/>
  <c r="I136" i="3" s="1"/>
  <c r="I135" i="3" a="1"/>
  <c r="I135" i="3" s="1"/>
  <c r="I134" i="3" a="1"/>
  <c r="I134" i="3" s="1"/>
  <c r="I133" i="3" a="1"/>
  <c r="I133" i="3" s="1"/>
  <c r="I132" i="3" a="1"/>
  <c r="I132" i="3" s="1"/>
  <c r="I131" i="3" a="1"/>
  <c r="I131" i="3" s="1"/>
  <c r="I130" i="3" a="1"/>
  <c r="I130" i="3" s="1"/>
  <c r="I129" i="3" a="1"/>
  <c r="I129" i="3" s="1"/>
  <c r="I128" i="3" a="1"/>
  <c r="I128" i="3" s="1"/>
  <c r="I127" i="3" a="1"/>
  <c r="I127" i="3" s="1"/>
  <c r="I126" i="3" a="1"/>
  <c r="I126" i="3" s="1"/>
  <c r="I125" i="3" a="1"/>
  <c r="I125" i="3" s="1"/>
  <c r="I124" i="3" a="1"/>
  <c r="I124" i="3" s="1"/>
  <c r="I123" i="3" a="1"/>
  <c r="I123" i="3" s="1"/>
  <c r="I122" i="3" a="1"/>
  <c r="I122" i="3" s="1"/>
  <c r="I121" i="3" a="1"/>
  <c r="I121" i="3" s="1"/>
  <c r="I120" i="3" a="1"/>
  <c r="I120" i="3" s="1"/>
  <c r="I119" i="3" a="1"/>
  <c r="I119" i="3" s="1"/>
  <c r="I118" i="3" a="1"/>
  <c r="I118" i="3" s="1"/>
  <c r="I117" i="3" a="1"/>
  <c r="I117" i="3" s="1"/>
  <c r="I116" i="3" a="1"/>
  <c r="I116" i="3" s="1"/>
  <c r="I115" i="3" a="1"/>
  <c r="I115" i="3" s="1"/>
  <c r="I114" i="3" a="1"/>
  <c r="I114" i="3" s="1"/>
  <c r="I113" i="3" a="1"/>
  <c r="I113" i="3" s="1"/>
  <c r="I112" i="3" a="1"/>
  <c r="I112" i="3" s="1"/>
  <c r="I111" i="3" a="1"/>
  <c r="I111" i="3" s="1"/>
  <c r="I110" i="3" a="1"/>
  <c r="I110" i="3" s="1"/>
  <c r="I109" i="3" a="1"/>
  <c r="I109" i="3" s="1"/>
  <c r="I108" i="3" a="1"/>
  <c r="I108" i="3" s="1"/>
  <c r="I107" i="3" a="1"/>
  <c r="I107" i="3" s="1"/>
  <c r="I106" i="3" a="1"/>
  <c r="I106" i="3" s="1"/>
  <c r="I105" i="3" a="1"/>
  <c r="I105" i="3" s="1"/>
  <c r="I104" i="3" a="1"/>
  <c r="I104" i="3" s="1"/>
  <c r="I103" i="3" a="1"/>
  <c r="I103" i="3" s="1"/>
  <c r="I102" i="3" a="1"/>
  <c r="I102" i="3" s="1"/>
  <c r="I101" i="3" a="1"/>
  <c r="I101" i="3" s="1"/>
  <c r="I100" i="3" a="1"/>
  <c r="I100" i="3" s="1"/>
  <c r="I99" i="3" a="1"/>
  <c r="I99" i="3" s="1"/>
  <c r="I98" i="3" a="1"/>
  <c r="I98" i="3" s="1"/>
  <c r="I97" i="3" a="1"/>
  <c r="I97" i="3" s="1"/>
  <c r="I96" i="3" a="1"/>
  <c r="I96" i="3" s="1"/>
  <c r="I95" i="3" a="1"/>
  <c r="I95" i="3" s="1"/>
  <c r="I94" i="3" a="1"/>
  <c r="I94" i="3" s="1"/>
  <c r="I93" i="3" a="1"/>
  <c r="I93" i="3" s="1"/>
  <c r="I92" i="3" a="1"/>
  <c r="I92" i="3" s="1"/>
  <c r="I91" i="3" a="1"/>
  <c r="I91" i="3" s="1"/>
  <c r="I90" i="3" a="1"/>
  <c r="I90" i="3" s="1"/>
  <c r="I89" i="3" a="1"/>
  <c r="I89" i="3" s="1"/>
  <c r="I88" i="3" a="1"/>
  <c r="I88" i="3" s="1"/>
  <c r="I87" i="3" a="1"/>
  <c r="I87" i="3" s="1"/>
  <c r="I86" i="3" a="1"/>
  <c r="I86" i="3" s="1"/>
  <c r="I85" i="3" a="1"/>
  <c r="I85" i="3" s="1"/>
  <c r="I84" i="3" a="1"/>
  <c r="I84" i="3" s="1"/>
  <c r="I83" i="3" a="1"/>
  <c r="I83" i="3" s="1"/>
  <c r="I82" i="3" a="1"/>
  <c r="I82" i="3" s="1"/>
  <c r="I81" i="3" a="1"/>
  <c r="I81" i="3" s="1"/>
  <c r="I80" i="3" a="1"/>
  <c r="I80" i="3" s="1"/>
  <c r="I79" i="3" a="1"/>
  <c r="I79" i="3" s="1"/>
  <c r="I78" i="3" a="1"/>
  <c r="I78" i="3" s="1"/>
  <c r="I77" i="3" a="1"/>
  <c r="I77" i="3" s="1"/>
  <c r="I76" i="3" a="1"/>
  <c r="I76" i="3" s="1"/>
  <c r="I75" i="3" a="1"/>
  <c r="I75" i="3" s="1"/>
  <c r="I74" i="3" a="1"/>
  <c r="I74" i="3" s="1"/>
  <c r="I73" i="3" a="1"/>
  <c r="I73" i="3" s="1"/>
  <c r="I72" i="3" a="1"/>
  <c r="I72" i="3" s="1"/>
  <c r="I71" i="3" a="1"/>
  <c r="I71" i="3" s="1"/>
  <c r="I70" i="3" a="1"/>
  <c r="I70" i="3" s="1"/>
  <c r="I69" i="3" a="1"/>
  <c r="I69" i="3" s="1"/>
  <c r="I68" i="3" a="1"/>
  <c r="I68" i="3" s="1"/>
  <c r="I67" i="3" a="1"/>
  <c r="I67" i="3" s="1"/>
  <c r="I66" i="3" a="1"/>
  <c r="I66" i="3" s="1"/>
  <c r="I65" i="3" a="1"/>
  <c r="I65" i="3" s="1"/>
  <c r="I64" i="3" a="1"/>
  <c r="I64" i="3" s="1"/>
  <c r="I63" i="3" a="1"/>
  <c r="I63" i="3" s="1"/>
  <c r="I62" i="3" a="1"/>
  <c r="I62" i="3" s="1"/>
  <c r="I61" i="3" a="1"/>
  <c r="I61" i="3" s="1"/>
  <c r="I60" i="3" a="1"/>
  <c r="I60" i="3" s="1"/>
  <c r="I59" i="3" a="1"/>
  <c r="I59" i="3" s="1"/>
  <c r="I58" i="3" a="1"/>
  <c r="I58" i="3" s="1"/>
  <c r="I57" i="3" a="1"/>
  <c r="I57" i="3" s="1"/>
  <c r="I56" i="3" a="1"/>
  <c r="I56" i="3" s="1"/>
  <c r="I55" i="3" a="1"/>
  <c r="I55" i="3" s="1"/>
  <c r="I54" i="3" a="1"/>
  <c r="I54" i="3" s="1"/>
  <c r="I53" i="3" a="1"/>
  <c r="I53" i="3" s="1"/>
  <c r="I52" i="3" a="1"/>
  <c r="I52" i="3" s="1"/>
  <c r="I51" i="3" a="1"/>
  <c r="I51" i="3" s="1"/>
  <c r="I50" i="3" a="1"/>
  <c r="I50" i="3" s="1"/>
  <c r="I49" i="3" a="1"/>
  <c r="I49" i="3" s="1"/>
  <c r="I48" i="3" a="1"/>
  <c r="I48" i="3" s="1"/>
  <c r="I47" i="3" a="1"/>
  <c r="I47" i="3" s="1"/>
  <c r="I46" i="3" a="1"/>
  <c r="I46" i="3" s="1"/>
  <c r="I45" i="3" a="1"/>
  <c r="I45" i="3" s="1"/>
  <c r="I44" i="3" a="1"/>
  <c r="I44" i="3" s="1"/>
  <c r="I43" i="3" a="1"/>
  <c r="I43" i="3" s="1"/>
  <c r="I42" i="3" a="1"/>
  <c r="I42" i="3" s="1"/>
  <c r="I41" i="3" a="1"/>
  <c r="I41" i="3" s="1"/>
  <c r="I40" i="3" a="1"/>
  <c r="I40" i="3" s="1"/>
  <c r="I39" i="3" a="1"/>
  <c r="I39" i="3" s="1"/>
  <c r="I38" i="3" a="1"/>
  <c r="I38" i="3" s="1"/>
  <c r="I37" i="3" a="1"/>
  <c r="I37" i="3" s="1"/>
  <c r="I36" i="3" a="1"/>
  <c r="I36" i="3" s="1"/>
  <c r="I35" i="3" a="1"/>
  <c r="I35" i="3" s="1"/>
  <c r="I34" i="3" a="1"/>
  <c r="I34" i="3" s="1"/>
  <c r="I33" i="3" a="1"/>
  <c r="I33" i="3" s="1"/>
  <c r="I32" i="3" a="1"/>
  <c r="I32" i="3" s="1"/>
  <c r="I31" i="3" a="1"/>
  <c r="I31" i="3" s="1"/>
  <c r="I30" i="3" a="1"/>
  <c r="I30" i="3" s="1"/>
  <c r="I29" i="3" a="1"/>
  <c r="I29" i="3" s="1"/>
  <c r="I28" i="3" a="1"/>
  <c r="I28" i="3" s="1"/>
  <c r="I27" i="3" a="1"/>
  <c r="I27" i="3" s="1"/>
  <c r="I26" i="3" a="1"/>
  <c r="I26" i="3" s="1"/>
  <c r="I25" i="3" a="1"/>
  <c r="I25" i="3" s="1"/>
  <c r="I24" i="3" a="1"/>
  <c r="I24" i="3" s="1"/>
  <c r="I23" i="3" a="1"/>
  <c r="I23" i="3" s="1"/>
  <c r="I22" i="3" a="1"/>
  <c r="I22" i="3" s="1"/>
  <c r="I21" i="3" a="1"/>
  <c r="I21" i="3" s="1"/>
  <c r="I20" i="3" a="1"/>
  <c r="I20" i="3" s="1"/>
  <c r="I19" i="3" a="1"/>
  <c r="I19" i="3" s="1"/>
  <c r="I18" i="3" a="1"/>
  <c r="I18" i="3" s="1"/>
  <c r="I17" i="3" a="1"/>
  <c r="I17" i="3" s="1"/>
  <c r="I16" i="3" a="1"/>
  <c r="I16" i="3" s="1"/>
  <c r="I15" i="3" a="1"/>
  <c r="I15" i="3" s="1"/>
  <c r="I14" i="3" a="1"/>
  <c r="I14" i="3" s="1"/>
  <c r="I13" i="3" a="1"/>
  <c r="I13" i="3" s="1"/>
  <c r="I12" i="3" a="1"/>
  <c r="I12" i="3" s="1"/>
  <c r="I11" i="3" a="1"/>
  <c r="I11" i="3" s="1"/>
  <c r="I10" i="3" a="1"/>
  <c r="I10" i="3" s="1"/>
  <c r="I9" i="3" a="1"/>
  <c r="I9" i="3" s="1"/>
  <c r="I8" i="3" a="1"/>
  <c r="I8" i="3" s="1"/>
  <c r="I7" i="3" a="1"/>
  <c r="I7" i="3" s="1"/>
  <c r="I6" i="3" a="1"/>
  <c r="I6" i="3" s="1"/>
  <c r="I5" i="3" a="1"/>
  <c r="I5" i="3" s="1"/>
  <c r="I4" i="3" a="1"/>
  <c r="I4" i="3" s="1"/>
  <c r="I3" i="3" a="1"/>
  <c r="I3" i="3" s="1"/>
  <c r="I2" i="3" a="1"/>
  <c r="I2" i="3" s="1"/>
  <c r="I220" i="1"/>
  <c r="G280" i="1"/>
  <c r="D1430" i="3" s="1"/>
  <c r="F280" i="1"/>
  <c r="D1142" i="3" s="1"/>
  <c r="E280" i="1"/>
  <c r="D854" i="3" s="1"/>
  <c r="D280" i="1"/>
  <c r="D566" i="3" s="1"/>
  <c r="C280" i="1"/>
  <c r="D278" i="3" s="1"/>
  <c r="I275" i="1"/>
  <c r="D2001" i="3" s="1"/>
  <c r="D1994" i="3"/>
  <c r="G268" i="1"/>
  <c r="D1418" i="3" s="1"/>
  <c r="F268" i="1"/>
  <c r="D1130" i="3" s="1"/>
  <c r="E268" i="1"/>
  <c r="D842" i="3" s="1"/>
  <c r="D268" i="1"/>
  <c r="D554" i="3" s="1"/>
  <c r="C268" i="1"/>
  <c r="D266" i="3" s="1"/>
  <c r="I244" i="1"/>
  <c r="D1970" i="3" s="1"/>
  <c r="G244" i="1"/>
  <c r="F244" i="1"/>
  <c r="E244" i="1"/>
  <c r="D244" i="1"/>
  <c r="G226" i="1"/>
  <c r="D1376" i="3" s="1"/>
  <c r="I202" i="1"/>
  <c r="D1928" i="3" s="1"/>
  <c r="F202" i="1"/>
  <c r="G202" i="1" s="1"/>
  <c r="F196" i="1"/>
  <c r="D196" i="1"/>
  <c r="D184" i="1"/>
  <c r="F184" i="1" s="1"/>
  <c r="C184" i="1"/>
  <c r="I172" i="1"/>
  <c r="I166" i="1"/>
  <c r="I226" i="1" s="1"/>
  <c r="H166" i="1"/>
  <c r="H226" i="1" s="1"/>
  <c r="I160" i="1"/>
  <c r="D160" i="1"/>
  <c r="E160" i="1" s="1"/>
  <c r="F160" i="1" s="1"/>
  <c r="G160" i="1" s="1"/>
  <c r="G148" i="1"/>
  <c r="F148" i="1"/>
  <c r="H148" i="1" s="1"/>
  <c r="E148" i="1"/>
  <c r="D722" i="3" s="1"/>
  <c r="I136" i="1"/>
  <c r="I124" i="1"/>
  <c r="D1850" i="3" s="1"/>
  <c r="F100" i="1"/>
  <c r="D100" i="1"/>
  <c r="I78" i="1"/>
  <c r="E78" i="1"/>
  <c r="C60" i="1"/>
  <c r="D58" i="3" s="1"/>
  <c r="D1454" i="3"/>
  <c r="D1166" i="3"/>
  <c r="D1154" i="3"/>
  <c r="D290" i="3"/>
  <c r="D2" i="3"/>
  <c r="D1742" i="3"/>
  <c r="D1730" i="3"/>
  <c r="D1718" i="3"/>
  <c r="D2006" i="3"/>
  <c r="D1706" i="3"/>
  <c r="D590" i="3"/>
  <c r="D878" i="3"/>
  <c r="D578" i="3"/>
  <c r="D866" i="3"/>
  <c r="D1442" i="3"/>
  <c r="D302" i="3"/>
  <c r="D218" i="3"/>
  <c r="D452" i="3"/>
  <c r="D164" i="3"/>
  <c r="D122" i="3"/>
  <c r="D410" i="3"/>
  <c r="D698" i="3"/>
  <c r="D850" i="3"/>
  <c r="D562" i="3"/>
  <c r="D274" i="3"/>
  <c r="D834" i="3"/>
  <c r="D546" i="3"/>
  <c r="D258" i="3"/>
  <c r="D1658" i="3"/>
  <c r="D158" i="3"/>
  <c r="D1804" i="3"/>
  <c r="D652" i="3"/>
  <c r="D2017" i="3"/>
  <c r="A2017" i="3" s="1"/>
  <c r="B2017" i="3"/>
  <c r="D2016" i="3"/>
  <c r="A2016" i="3" s="1"/>
  <c r="B2016" i="3"/>
  <c r="D2015" i="3"/>
  <c r="A2015" i="3" s="1"/>
  <c r="B2015" i="3"/>
  <c r="D2014" i="3"/>
  <c r="A2014" i="3" s="1"/>
  <c r="B2014" i="3"/>
  <c r="D2013" i="3"/>
  <c r="A2013" i="3" s="1"/>
  <c r="B2013" i="3"/>
  <c r="D2012" i="3"/>
  <c r="A2012" i="3" s="1"/>
  <c r="B2012" i="3"/>
  <c r="D2011" i="3"/>
  <c r="A2011" i="3" s="1"/>
  <c r="B2011" i="3"/>
  <c r="D2010" i="3"/>
  <c r="A2010" i="3" s="1"/>
  <c r="B2010" i="3"/>
  <c r="D2009" i="3"/>
  <c r="A2009" i="3" s="1"/>
  <c r="B2009" i="3"/>
  <c r="D2008" i="3"/>
  <c r="A2008" i="3" s="1"/>
  <c r="B2008" i="3"/>
  <c r="D2007" i="3"/>
  <c r="A2007" i="3" s="1"/>
  <c r="B2007" i="3"/>
  <c r="B2006" i="3"/>
  <c r="D2005" i="3"/>
  <c r="A2005" i="3" s="1"/>
  <c r="B2005" i="3"/>
  <c r="D2004" i="3"/>
  <c r="A2004" i="3" s="1"/>
  <c r="B2004" i="3"/>
  <c r="D2003" i="3"/>
  <c r="A2003" i="3" s="1"/>
  <c r="B2003" i="3"/>
  <c r="B2002" i="3"/>
  <c r="B2001" i="3"/>
  <c r="D2000" i="3"/>
  <c r="A2000" i="3" s="1"/>
  <c r="B2000" i="3"/>
  <c r="D1999" i="3"/>
  <c r="A1999" i="3" s="1"/>
  <c r="B1999" i="3"/>
  <c r="D1998" i="3"/>
  <c r="A1998" i="3" s="1"/>
  <c r="B1998" i="3"/>
  <c r="D1997" i="3"/>
  <c r="A1997" i="3" s="1"/>
  <c r="B1997" i="3"/>
  <c r="D1996" i="3"/>
  <c r="A1996" i="3" s="1"/>
  <c r="B1996" i="3"/>
  <c r="D1995" i="3"/>
  <c r="A1995" i="3" s="1"/>
  <c r="B1995" i="3"/>
  <c r="B1994" i="3"/>
  <c r="D1993" i="3"/>
  <c r="A1993" i="3" s="1"/>
  <c r="B1993" i="3"/>
  <c r="D1992" i="3"/>
  <c r="B1992" i="3"/>
  <c r="D1991" i="3"/>
  <c r="A1991" i="3" s="1"/>
  <c r="B1991" i="3"/>
  <c r="D1990" i="3"/>
  <c r="A1990" i="3" s="1"/>
  <c r="B1990" i="3"/>
  <c r="D1989" i="3"/>
  <c r="A1989" i="3" s="1"/>
  <c r="B1989" i="3"/>
  <c r="D1988" i="3"/>
  <c r="A1988" i="3" s="1"/>
  <c r="B1988" i="3"/>
  <c r="D1987" i="3"/>
  <c r="A1987" i="3" s="1"/>
  <c r="B1987" i="3"/>
  <c r="B1986" i="3"/>
  <c r="D1985" i="3"/>
  <c r="A1985" i="3" s="1"/>
  <c r="B1985" i="3"/>
  <c r="D1984" i="3"/>
  <c r="A1984" i="3" s="1"/>
  <c r="B1984" i="3"/>
  <c r="D1983" i="3"/>
  <c r="A1983" i="3" s="1"/>
  <c r="B1983" i="3"/>
  <c r="D1982" i="3"/>
  <c r="A1982" i="3" s="1"/>
  <c r="B1982" i="3"/>
  <c r="D1981" i="3"/>
  <c r="A1981" i="3" s="1"/>
  <c r="B1981" i="3"/>
  <c r="D1980" i="3"/>
  <c r="A1980" i="3" s="1"/>
  <c r="B1980" i="3"/>
  <c r="D1979" i="3"/>
  <c r="A1979" i="3" s="1"/>
  <c r="B1979" i="3"/>
  <c r="D1978" i="3"/>
  <c r="A1978" i="3" s="1"/>
  <c r="B1978" i="3"/>
  <c r="D1977" i="3"/>
  <c r="A1977" i="3" s="1"/>
  <c r="B1977" i="3"/>
  <c r="D1976" i="3"/>
  <c r="B1976" i="3"/>
  <c r="D1975" i="3"/>
  <c r="A1975" i="3" s="1"/>
  <c r="B1975" i="3"/>
  <c r="D1974" i="3"/>
  <c r="A1974" i="3" s="1"/>
  <c r="B1974" i="3"/>
  <c r="D1973" i="3"/>
  <c r="A1973" i="3" s="1"/>
  <c r="B1973" i="3"/>
  <c r="D1972" i="3"/>
  <c r="A1972" i="3" s="1"/>
  <c r="B1972" i="3"/>
  <c r="D1971" i="3"/>
  <c r="A1971" i="3" s="1"/>
  <c r="B1971" i="3"/>
  <c r="B1970" i="3"/>
  <c r="D1969" i="3"/>
  <c r="A1969" i="3" s="1"/>
  <c r="B1969" i="3"/>
  <c r="D1968" i="3"/>
  <c r="A1968" i="3" s="1"/>
  <c r="B1968" i="3"/>
  <c r="D1967" i="3"/>
  <c r="A1967" i="3" s="1"/>
  <c r="B1967" i="3"/>
  <c r="D1966" i="3"/>
  <c r="A1966" i="3" s="1"/>
  <c r="B1966" i="3"/>
  <c r="D1965" i="3"/>
  <c r="A1965" i="3" s="1"/>
  <c r="B1965" i="3"/>
  <c r="D1964" i="3"/>
  <c r="A1964" i="3" s="1"/>
  <c r="B1964" i="3"/>
  <c r="D1963" i="3"/>
  <c r="A1963" i="3" s="1"/>
  <c r="B1963" i="3"/>
  <c r="D1962" i="3"/>
  <c r="A1962" i="3" s="1"/>
  <c r="B1962" i="3"/>
  <c r="D1961" i="3"/>
  <c r="A1961" i="3" s="1"/>
  <c r="B1961" i="3"/>
  <c r="D1960" i="3"/>
  <c r="A1960" i="3" s="1"/>
  <c r="B1960" i="3"/>
  <c r="D1959" i="3"/>
  <c r="A1959" i="3" s="1"/>
  <c r="B1959" i="3"/>
  <c r="D1958" i="3"/>
  <c r="B1958" i="3"/>
  <c r="D1957" i="3"/>
  <c r="A1957" i="3" s="1"/>
  <c r="B1957" i="3"/>
  <c r="D1956" i="3"/>
  <c r="A1956" i="3" s="1"/>
  <c r="B1956" i="3"/>
  <c r="D1955" i="3"/>
  <c r="A1955" i="3" s="1"/>
  <c r="B1955" i="3"/>
  <c r="D1954" i="3"/>
  <c r="A1954" i="3" s="1"/>
  <c r="B1954" i="3"/>
  <c r="D1953" i="3"/>
  <c r="A1953" i="3" s="1"/>
  <c r="B1953" i="3"/>
  <c r="B1952" i="3"/>
  <c r="D1951" i="3"/>
  <c r="A1951" i="3" s="1"/>
  <c r="B1951" i="3"/>
  <c r="D1950" i="3"/>
  <c r="A1950" i="3" s="1"/>
  <c r="B1950" i="3"/>
  <c r="D1949" i="3"/>
  <c r="A1949" i="3" s="1"/>
  <c r="B1949" i="3"/>
  <c r="D1948" i="3"/>
  <c r="A1948" i="3" s="1"/>
  <c r="B1948" i="3"/>
  <c r="D1947" i="3"/>
  <c r="A1947" i="3" s="1"/>
  <c r="B1947" i="3"/>
  <c r="B1946" i="3"/>
  <c r="D1945" i="3"/>
  <c r="A1945" i="3" s="1"/>
  <c r="B1945" i="3"/>
  <c r="D1944" i="3"/>
  <c r="A1944" i="3" s="1"/>
  <c r="B1944" i="3"/>
  <c r="D1943" i="3"/>
  <c r="A1943" i="3" s="1"/>
  <c r="B1943" i="3"/>
  <c r="D1942" i="3"/>
  <c r="A1942" i="3" s="1"/>
  <c r="B1942" i="3"/>
  <c r="D1941" i="3"/>
  <c r="A1941" i="3" s="1"/>
  <c r="B1941" i="3"/>
  <c r="D1940" i="3"/>
  <c r="A1940" i="3" s="1"/>
  <c r="B1940" i="3"/>
  <c r="D1939" i="3"/>
  <c r="A1939" i="3" s="1"/>
  <c r="B1939" i="3"/>
  <c r="D1938" i="3"/>
  <c r="A1938" i="3" s="1"/>
  <c r="B1938" i="3"/>
  <c r="D1937" i="3"/>
  <c r="A1937" i="3" s="1"/>
  <c r="B1937" i="3"/>
  <c r="D1936" i="3"/>
  <c r="A1936" i="3" s="1"/>
  <c r="B1936" i="3"/>
  <c r="D1935" i="3"/>
  <c r="A1935" i="3" s="1"/>
  <c r="B1935" i="3"/>
  <c r="D1934" i="3"/>
  <c r="B1934" i="3"/>
  <c r="D1933" i="3"/>
  <c r="A1933" i="3" s="1"/>
  <c r="B1933" i="3"/>
  <c r="D1932" i="3"/>
  <c r="A1932" i="3" s="1"/>
  <c r="B1932" i="3"/>
  <c r="D1931" i="3"/>
  <c r="A1931" i="3" s="1"/>
  <c r="B1931" i="3"/>
  <c r="D1930" i="3"/>
  <c r="A1930" i="3" s="1"/>
  <c r="B1930" i="3"/>
  <c r="D1929" i="3"/>
  <c r="A1929" i="3" s="1"/>
  <c r="B1929" i="3"/>
  <c r="B1928" i="3"/>
  <c r="D1927" i="3"/>
  <c r="A1927" i="3" s="1"/>
  <c r="B1927" i="3"/>
  <c r="D1926" i="3"/>
  <c r="A1926" i="3" s="1"/>
  <c r="B1926" i="3"/>
  <c r="D1925" i="3"/>
  <c r="A1925" i="3" s="1"/>
  <c r="B1925" i="3"/>
  <c r="D1924" i="3"/>
  <c r="A1924" i="3" s="1"/>
  <c r="B1924" i="3"/>
  <c r="D1923" i="3"/>
  <c r="A1923" i="3" s="1"/>
  <c r="B1923" i="3"/>
  <c r="B1922" i="3"/>
  <c r="D1921" i="3"/>
  <c r="A1921" i="3" s="1"/>
  <c r="B1921" i="3"/>
  <c r="D1920" i="3"/>
  <c r="A1920" i="3" s="1"/>
  <c r="B1920" i="3"/>
  <c r="D1919" i="3"/>
  <c r="A1919" i="3" s="1"/>
  <c r="B1919" i="3"/>
  <c r="D1918" i="3"/>
  <c r="A1918" i="3" s="1"/>
  <c r="B1918" i="3"/>
  <c r="D1917" i="3"/>
  <c r="A1917" i="3" s="1"/>
  <c r="B1917" i="3"/>
  <c r="D1916" i="3"/>
  <c r="A1916" i="3" s="1"/>
  <c r="B1916" i="3"/>
  <c r="D1915" i="3"/>
  <c r="A1915" i="3" s="1"/>
  <c r="B1915" i="3"/>
  <c r="D1914" i="3"/>
  <c r="A1914" i="3" s="1"/>
  <c r="B1914" i="3"/>
  <c r="D1913" i="3"/>
  <c r="A1913" i="3" s="1"/>
  <c r="B1913" i="3"/>
  <c r="D1912" i="3"/>
  <c r="A1912" i="3" s="1"/>
  <c r="B1912" i="3"/>
  <c r="D1911" i="3"/>
  <c r="A1911" i="3" s="1"/>
  <c r="B1911" i="3"/>
  <c r="B1910" i="3"/>
  <c r="D1909" i="3"/>
  <c r="A1909" i="3" s="1"/>
  <c r="B1909" i="3"/>
  <c r="D1908" i="3"/>
  <c r="A1908" i="3" s="1"/>
  <c r="B1908" i="3"/>
  <c r="D1907" i="3"/>
  <c r="A1907" i="3" s="1"/>
  <c r="B1907" i="3"/>
  <c r="D1906" i="3"/>
  <c r="A1906" i="3" s="1"/>
  <c r="B1906" i="3"/>
  <c r="D1905" i="3"/>
  <c r="A1905" i="3" s="1"/>
  <c r="B1905" i="3"/>
  <c r="D1904" i="3"/>
  <c r="B1904" i="3"/>
  <c r="A1904" i="3" s="1"/>
  <c r="D1903" i="3"/>
  <c r="A1903" i="3" s="1"/>
  <c r="B1903" i="3"/>
  <c r="D1902" i="3"/>
  <c r="A1902" i="3" s="1"/>
  <c r="B1902" i="3"/>
  <c r="D1901" i="3"/>
  <c r="A1901" i="3" s="1"/>
  <c r="B1901" i="3"/>
  <c r="D1900" i="3"/>
  <c r="A1900" i="3" s="1"/>
  <c r="B1900" i="3"/>
  <c r="D1899" i="3"/>
  <c r="A1899" i="3" s="1"/>
  <c r="B1899" i="3"/>
  <c r="B1898" i="3"/>
  <c r="D1897" i="3"/>
  <c r="A1897" i="3" s="1"/>
  <c r="B1897" i="3"/>
  <c r="D1896" i="3"/>
  <c r="A1896" i="3" s="1"/>
  <c r="B1896" i="3"/>
  <c r="D1895" i="3"/>
  <c r="A1895" i="3" s="1"/>
  <c r="B1895" i="3"/>
  <c r="D1894" i="3"/>
  <c r="A1894" i="3" s="1"/>
  <c r="B1894" i="3"/>
  <c r="D1893" i="3"/>
  <c r="A1893" i="3" s="1"/>
  <c r="B1893" i="3"/>
  <c r="B1892" i="3"/>
  <c r="D1891" i="3"/>
  <c r="A1891" i="3" s="1"/>
  <c r="B1891" i="3"/>
  <c r="D1890" i="3"/>
  <c r="A1890" i="3" s="1"/>
  <c r="B1890" i="3"/>
  <c r="D1889" i="3"/>
  <c r="A1889" i="3" s="1"/>
  <c r="B1889" i="3"/>
  <c r="D1888" i="3"/>
  <c r="A1888" i="3" s="1"/>
  <c r="B1888" i="3"/>
  <c r="D1887" i="3"/>
  <c r="A1887" i="3" s="1"/>
  <c r="B1887" i="3"/>
  <c r="B1886" i="3"/>
  <c r="D1885" i="3"/>
  <c r="A1885" i="3" s="1"/>
  <c r="B1885" i="3"/>
  <c r="D1884" i="3"/>
  <c r="A1884" i="3" s="1"/>
  <c r="B1884" i="3"/>
  <c r="D1883" i="3"/>
  <c r="A1883" i="3" s="1"/>
  <c r="B1883" i="3"/>
  <c r="D1882" i="3"/>
  <c r="A1882" i="3" s="1"/>
  <c r="B1882" i="3"/>
  <c r="D1881" i="3"/>
  <c r="A1881" i="3" s="1"/>
  <c r="B1881" i="3"/>
  <c r="D1880" i="3"/>
  <c r="A1880" i="3" s="1"/>
  <c r="B1880" i="3"/>
  <c r="D1879" i="3"/>
  <c r="A1879" i="3" s="1"/>
  <c r="B1879" i="3"/>
  <c r="D1878" i="3"/>
  <c r="A1878" i="3" s="1"/>
  <c r="B1878" i="3"/>
  <c r="D1877" i="3"/>
  <c r="A1877" i="3" s="1"/>
  <c r="B1877" i="3"/>
  <c r="D1876" i="3"/>
  <c r="A1876" i="3" s="1"/>
  <c r="B1876" i="3"/>
  <c r="D1875" i="3"/>
  <c r="A1875" i="3" s="1"/>
  <c r="B1875" i="3"/>
  <c r="B1874" i="3"/>
  <c r="D1873" i="3"/>
  <c r="A1873" i="3" s="1"/>
  <c r="B1873" i="3"/>
  <c r="D1872" i="3"/>
  <c r="A1872" i="3" s="1"/>
  <c r="B1872" i="3"/>
  <c r="D1871" i="3"/>
  <c r="A1871" i="3" s="1"/>
  <c r="B1871" i="3"/>
  <c r="D1870" i="3"/>
  <c r="A1870" i="3" s="1"/>
  <c r="B1870" i="3"/>
  <c r="D1869" i="3"/>
  <c r="A1869" i="3" s="1"/>
  <c r="B1869" i="3"/>
  <c r="D1868" i="3"/>
  <c r="B1868" i="3"/>
  <c r="D1867" i="3"/>
  <c r="A1867" i="3" s="1"/>
  <c r="B1867" i="3"/>
  <c r="D1866" i="3"/>
  <c r="A1866" i="3" s="1"/>
  <c r="B1866" i="3"/>
  <c r="D1865" i="3"/>
  <c r="A1865" i="3" s="1"/>
  <c r="B1865" i="3"/>
  <c r="D1864" i="3"/>
  <c r="A1864" i="3" s="1"/>
  <c r="B1864" i="3"/>
  <c r="D1863" i="3"/>
  <c r="A1863" i="3" s="1"/>
  <c r="B1863" i="3"/>
  <c r="B1862" i="3"/>
  <c r="D1861" i="3"/>
  <c r="A1861" i="3" s="1"/>
  <c r="B1861" i="3"/>
  <c r="D1860" i="3"/>
  <c r="A1860" i="3" s="1"/>
  <c r="B1860" i="3"/>
  <c r="D1859" i="3"/>
  <c r="A1859" i="3" s="1"/>
  <c r="B1859" i="3"/>
  <c r="D1858" i="3"/>
  <c r="A1858" i="3" s="1"/>
  <c r="B1858" i="3"/>
  <c r="D1857" i="3"/>
  <c r="A1857" i="3" s="1"/>
  <c r="B1857" i="3"/>
  <c r="D1856" i="3"/>
  <c r="A1856" i="3" s="1"/>
  <c r="B1856" i="3"/>
  <c r="D1855" i="3"/>
  <c r="A1855" i="3" s="1"/>
  <c r="B1855" i="3"/>
  <c r="D1854" i="3"/>
  <c r="A1854" i="3" s="1"/>
  <c r="B1854" i="3"/>
  <c r="D1853" i="3"/>
  <c r="A1853" i="3" s="1"/>
  <c r="B1853" i="3"/>
  <c r="B1852" i="3"/>
  <c r="D1851" i="3"/>
  <c r="A1851" i="3" s="1"/>
  <c r="B1851" i="3"/>
  <c r="B1850" i="3"/>
  <c r="D1849" i="3"/>
  <c r="A1849" i="3" s="1"/>
  <c r="B1849" i="3"/>
  <c r="D1848" i="3"/>
  <c r="A1848" i="3" s="1"/>
  <c r="B1848" i="3"/>
  <c r="D1847" i="3"/>
  <c r="A1847" i="3" s="1"/>
  <c r="B1847" i="3"/>
  <c r="D1846" i="3"/>
  <c r="A1846" i="3" s="1"/>
  <c r="B1846" i="3"/>
  <c r="D1845" i="3"/>
  <c r="A1845" i="3" s="1"/>
  <c r="B1845" i="3"/>
  <c r="D1844" i="3"/>
  <c r="A1844" i="3" s="1"/>
  <c r="B1844" i="3"/>
  <c r="D1843" i="3"/>
  <c r="A1843" i="3" s="1"/>
  <c r="B1843" i="3"/>
  <c r="D1842" i="3"/>
  <c r="B1842" i="3"/>
  <c r="D1841" i="3"/>
  <c r="A1841" i="3" s="1"/>
  <c r="B1841" i="3"/>
  <c r="D1840" i="3"/>
  <c r="A1840" i="3" s="1"/>
  <c r="B1840" i="3"/>
  <c r="D1839" i="3"/>
  <c r="A1839" i="3" s="1"/>
  <c r="B1839" i="3"/>
  <c r="D1838" i="3"/>
  <c r="A1838" i="3" s="1"/>
  <c r="B1838" i="3"/>
  <c r="D1837" i="3"/>
  <c r="A1837" i="3" s="1"/>
  <c r="B1837" i="3"/>
  <c r="D1836" i="3"/>
  <c r="A1836" i="3" s="1"/>
  <c r="B1836" i="3"/>
  <c r="D1835" i="3"/>
  <c r="A1835" i="3" s="1"/>
  <c r="B1835" i="3"/>
  <c r="D1834" i="3"/>
  <c r="A1834" i="3" s="1"/>
  <c r="B1834" i="3"/>
  <c r="D1833" i="3"/>
  <c r="A1833" i="3" s="1"/>
  <c r="B1833" i="3"/>
  <c r="D1832" i="3"/>
  <c r="B1832" i="3"/>
  <c r="D1831" i="3"/>
  <c r="A1831" i="3" s="1"/>
  <c r="B1831" i="3"/>
  <c r="D1830" i="3"/>
  <c r="A1830" i="3" s="1"/>
  <c r="B1830" i="3"/>
  <c r="D1829" i="3"/>
  <c r="A1829" i="3" s="1"/>
  <c r="B1829" i="3"/>
  <c r="D1828" i="3"/>
  <c r="A1828" i="3" s="1"/>
  <c r="B1828" i="3"/>
  <c r="D1827" i="3"/>
  <c r="A1827" i="3" s="1"/>
  <c r="B1827" i="3"/>
  <c r="B1826" i="3"/>
  <c r="D1825" i="3"/>
  <c r="A1825" i="3" s="1"/>
  <c r="B1825" i="3"/>
  <c r="D1824" i="3"/>
  <c r="A1824" i="3" s="1"/>
  <c r="B1824" i="3"/>
  <c r="D1823" i="3"/>
  <c r="A1823" i="3" s="1"/>
  <c r="B1823" i="3"/>
  <c r="D1822" i="3"/>
  <c r="A1822" i="3" s="1"/>
  <c r="B1822" i="3"/>
  <c r="D1821" i="3"/>
  <c r="A1821" i="3" s="1"/>
  <c r="B1821" i="3"/>
  <c r="D1820" i="3"/>
  <c r="A1820" i="3" s="1"/>
  <c r="B1820" i="3"/>
  <c r="D1819" i="3"/>
  <c r="A1819" i="3" s="1"/>
  <c r="B1819" i="3"/>
  <c r="D1818" i="3"/>
  <c r="A1818" i="3" s="1"/>
  <c r="B1818" i="3"/>
  <c r="D1817" i="3"/>
  <c r="A1817" i="3" s="1"/>
  <c r="B1817" i="3"/>
  <c r="D1816" i="3"/>
  <c r="A1816" i="3" s="1"/>
  <c r="B1816" i="3"/>
  <c r="D1815" i="3"/>
  <c r="A1815" i="3" s="1"/>
  <c r="B1815" i="3"/>
  <c r="D1814" i="3"/>
  <c r="B1814" i="3"/>
  <c r="D1813" i="3"/>
  <c r="A1813" i="3" s="1"/>
  <c r="B1813" i="3"/>
  <c r="D1812" i="3"/>
  <c r="A1812" i="3" s="1"/>
  <c r="B1812" i="3"/>
  <c r="D1811" i="3"/>
  <c r="A1811" i="3" s="1"/>
  <c r="B1811" i="3"/>
  <c r="D1810" i="3"/>
  <c r="A1810" i="3" s="1"/>
  <c r="B1810" i="3"/>
  <c r="D1809" i="3"/>
  <c r="A1809" i="3" s="1"/>
  <c r="B1809" i="3"/>
  <c r="D1808" i="3"/>
  <c r="A1808" i="3" s="1"/>
  <c r="B1808" i="3"/>
  <c r="D1807" i="3"/>
  <c r="A1807" i="3" s="1"/>
  <c r="B1807" i="3"/>
  <c r="D1806" i="3"/>
  <c r="A1806" i="3" s="1"/>
  <c r="B1806" i="3"/>
  <c r="D1805" i="3"/>
  <c r="A1805" i="3" s="1"/>
  <c r="B1805" i="3"/>
  <c r="B1804" i="3"/>
  <c r="D1803" i="3"/>
  <c r="A1803" i="3" s="1"/>
  <c r="B1803" i="3"/>
  <c r="D1802" i="3"/>
  <c r="A1802" i="3" s="1"/>
  <c r="B1802" i="3"/>
  <c r="D1801" i="3"/>
  <c r="A1801" i="3" s="1"/>
  <c r="B1801" i="3"/>
  <c r="D1800" i="3"/>
  <c r="A1800" i="3" s="1"/>
  <c r="B1800" i="3"/>
  <c r="D1799" i="3"/>
  <c r="A1799" i="3" s="1"/>
  <c r="B1799" i="3"/>
  <c r="D1798" i="3"/>
  <c r="A1798" i="3" s="1"/>
  <c r="B1798" i="3"/>
  <c r="D1797" i="3"/>
  <c r="A1797" i="3" s="1"/>
  <c r="B1797" i="3"/>
  <c r="D1796" i="3"/>
  <c r="A1796" i="3" s="1"/>
  <c r="B1796" i="3"/>
  <c r="D1795" i="3"/>
  <c r="A1795" i="3" s="1"/>
  <c r="B1795" i="3"/>
  <c r="D1794" i="3"/>
  <c r="A1794" i="3" s="1"/>
  <c r="B1794" i="3"/>
  <c r="D1793" i="3"/>
  <c r="A1793" i="3" s="1"/>
  <c r="B1793" i="3"/>
  <c r="D1792" i="3"/>
  <c r="B1792" i="3"/>
  <c r="D1791" i="3"/>
  <c r="A1791" i="3" s="1"/>
  <c r="B1791" i="3"/>
  <c r="D1790" i="3"/>
  <c r="A1790" i="3" s="1"/>
  <c r="B1790" i="3"/>
  <c r="D1789" i="3"/>
  <c r="A1789" i="3" s="1"/>
  <c r="B1789" i="3"/>
  <c r="D1788" i="3"/>
  <c r="A1788" i="3" s="1"/>
  <c r="B1788" i="3"/>
  <c r="D1787" i="3"/>
  <c r="A1787" i="3" s="1"/>
  <c r="B1787" i="3"/>
  <c r="B1786" i="3"/>
  <c r="D1785" i="3"/>
  <c r="A1785" i="3" s="1"/>
  <c r="B1785" i="3"/>
  <c r="D1784" i="3"/>
  <c r="A1784" i="3" s="1"/>
  <c r="B1784" i="3"/>
  <c r="D1783" i="3"/>
  <c r="A1783" i="3" s="1"/>
  <c r="B1783" i="3"/>
  <c r="D1782" i="3"/>
  <c r="A1782" i="3" s="1"/>
  <c r="B1782" i="3"/>
  <c r="D1781" i="3"/>
  <c r="A1781" i="3" s="1"/>
  <c r="B1781" i="3"/>
  <c r="D1780" i="3"/>
  <c r="A1780" i="3" s="1"/>
  <c r="B1780" i="3"/>
  <c r="D1779" i="3"/>
  <c r="A1779" i="3" s="1"/>
  <c r="B1779" i="3"/>
  <c r="D1778" i="3"/>
  <c r="A1778" i="3" s="1"/>
  <c r="B1778" i="3"/>
  <c r="D1777" i="3"/>
  <c r="A1777" i="3" s="1"/>
  <c r="B1777" i="3"/>
  <c r="D1776" i="3"/>
  <c r="A1776" i="3" s="1"/>
  <c r="B1776" i="3"/>
  <c r="D1775" i="3"/>
  <c r="A1775" i="3" s="1"/>
  <c r="B1775" i="3"/>
  <c r="D1774" i="3"/>
  <c r="B1774" i="3"/>
  <c r="D1773" i="3"/>
  <c r="A1773" i="3" s="1"/>
  <c r="B1773" i="3"/>
  <c r="D1772" i="3"/>
  <c r="A1772" i="3" s="1"/>
  <c r="B1772" i="3"/>
  <c r="D1771" i="3"/>
  <c r="A1771" i="3" s="1"/>
  <c r="B1771" i="3"/>
  <c r="D1770" i="3"/>
  <c r="A1770" i="3" s="1"/>
  <c r="B1770" i="3"/>
  <c r="D1769" i="3"/>
  <c r="A1769" i="3" s="1"/>
  <c r="B1769" i="3"/>
  <c r="D1768" i="3"/>
  <c r="A1768" i="3" s="1"/>
  <c r="B1768" i="3"/>
  <c r="D1767" i="3"/>
  <c r="A1767" i="3" s="1"/>
  <c r="B1767" i="3"/>
  <c r="D1766" i="3"/>
  <c r="A1766" i="3" s="1"/>
  <c r="B1766" i="3"/>
  <c r="D1765" i="3"/>
  <c r="A1765" i="3" s="1"/>
  <c r="B1765" i="3"/>
  <c r="D1764" i="3"/>
  <c r="A1764" i="3" s="1"/>
  <c r="B1764" i="3"/>
  <c r="D1763" i="3"/>
  <c r="A1763" i="3" s="1"/>
  <c r="B1763" i="3"/>
  <c r="D1762" i="3"/>
  <c r="B1762" i="3"/>
  <c r="D1761" i="3"/>
  <c r="A1761" i="3" s="1"/>
  <c r="B1761" i="3"/>
  <c r="D1760" i="3"/>
  <c r="A1760" i="3" s="1"/>
  <c r="B1760" i="3"/>
  <c r="D1759" i="3"/>
  <c r="A1759" i="3" s="1"/>
  <c r="B1759" i="3"/>
  <c r="D1758" i="3"/>
  <c r="A1758" i="3" s="1"/>
  <c r="B1758" i="3"/>
  <c r="D1757" i="3"/>
  <c r="A1757" i="3" s="1"/>
  <c r="B1757" i="3"/>
  <c r="D1756" i="3"/>
  <c r="A1756" i="3" s="1"/>
  <c r="B1756" i="3"/>
  <c r="D1755" i="3"/>
  <c r="A1755" i="3" s="1"/>
  <c r="B1755" i="3"/>
  <c r="D1754" i="3"/>
  <c r="B1754" i="3"/>
  <c r="D1753" i="3"/>
  <c r="A1753" i="3" s="1"/>
  <c r="B1753" i="3"/>
  <c r="D1752" i="3"/>
  <c r="A1752" i="3" s="1"/>
  <c r="B1752" i="3"/>
  <c r="D1751" i="3"/>
  <c r="A1751" i="3" s="1"/>
  <c r="B1751" i="3"/>
  <c r="D1750" i="3"/>
  <c r="A1750" i="3" s="1"/>
  <c r="B1750" i="3"/>
  <c r="D1749" i="3"/>
  <c r="A1749" i="3" s="1"/>
  <c r="B1749" i="3"/>
  <c r="D1748" i="3"/>
  <c r="A1748" i="3" s="1"/>
  <c r="B1748" i="3"/>
  <c r="D1747" i="3"/>
  <c r="B1747" i="3"/>
  <c r="D1746" i="3"/>
  <c r="B1746" i="3"/>
  <c r="D1745" i="3"/>
  <c r="A1745" i="3" s="1"/>
  <c r="B1745" i="3"/>
  <c r="D1744" i="3"/>
  <c r="B1744" i="3"/>
  <c r="D1743" i="3"/>
  <c r="A1743" i="3" s="1"/>
  <c r="B1743" i="3"/>
  <c r="B1742" i="3"/>
  <c r="D1741" i="3"/>
  <c r="A1741" i="3" s="1"/>
  <c r="B1741" i="3"/>
  <c r="D1740" i="3"/>
  <c r="B1740" i="3"/>
  <c r="D1739" i="3"/>
  <c r="A1739" i="3" s="1"/>
  <c r="B1739" i="3"/>
  <c r="D1738" i="3"/>
  <c r="A1738" i="3" s="1"/>
  <c r="B1738" i="3"/>
  <c r="D1737" i="3"/>
  <c r="A1737" i="3" s="1"/>
  <c r="B1737" i="3"/>
  <c r="D1736" i="3"/>
  <c r="A1736" i="3" s="1"/>
  <c r="B1736" i="3"/>
  <c r="D1735" i="3"/>
  <c r="A1735" i="3" s="1"/>
  <c r="B1735" i="3"/>
  <c r="D1734" i="3"/>
  <c r="A1734" i="3" s="1"/>
  <c r="B1734" i="3"/>
  <c r="D1733" i="3"/>
  <c r="B1733" i="3"/>
  <c r="D1732" i="3"/>
  <c r="A1732" i="3" s="1"/>
  <c r="B1732" i="3"/>
  <c r="D1731" i="3"/>
  <c r="A1731" i="3" s="1"/>
  <c r="B1731" i="3"/>
  <c r="B1730" i="3"/>
  <c r="D1729" i="3"/>
  <c r="A1729" i="3" s="1"/>
  <c r="B1729" i="3"/>
  <c r="D1728" i="3"/>
  <c r="A1728" i="3" s="1"/>
  <c r="B1728" i="3"/>
  <c r="D1727" i="3"/>
  <c r="A1727" i="3" s="1"/>
  <c r="B1727" i="3"/>
  <c r="D1726" i="3"/>
  <c r="A1726" i="3" s="1"/>
  <c r="B1726" i="3"/>
  <c r="D1725" i="3"/>
  <c r="A1725" i="3" s="1"/>
  <c r="B1725" i="3"/>
  <c r="D1724" i="3"/>
  <c r="A1724" i="3" s="1"/>
  <c r="B1724" i="3"/>
  <c r="D1723" i="3"/>
  <c r="A1723" i="3" s="1"/>
  <c r="B1723" i="3"/>
  <c r="D1722" i="3"/>
  <c r="A1722" i="3" s="1"/>
  <c r="B1722" i="3"/>
  <c r="D1721" i="3"/>
  <c r="A1721" i="3" s="1"/>
  <c r="B1721" i="3"/>
  <c r="D1720" i="3"/>
  <c r="A1720" i="3" s="1"/>
  <c r="B1720" i="3"/>
  <c r="D1719" i="3"/>
  <c r="A1719" i="3" s="1"/>
  <c r="B1719" i="3"/>
  <c r="B1718" i="3"/>
  <c r="D1717" i="3"/>
  <c r="A1717" i="3" s="1"/>
  <c r="B1717" i="3"/>
  <c r="D1716" i="3"/>
  <c r="A1716" i="3" s="1"/>
  <c r="B1716" i="3"/>
  <c r="D1715" i="3"/>
  <c r="A1715" i="3" s="1"/>
  <c r="B1715" i="3"/>
  <c r="B1714" i="3"/>
  <c r="D1713" i="3"/>
  <c r="B1713" i="3"/>
  <c r="D1712" i="3"/>
  <c r="A1712" i="3" s="1"/>
  <c r="B1712" i="3"/>
  <c r="D1711" i="3"/>
  <c r="A1711" i="3" s="1"/>
  <c r="B1711" i="3"/>
  <c r="D1710" i="3"/>
  <c r="A1710" i="3" s="1"/>
  <c r="B1710" i="3"/>
  <c r="D1709" i="3"/>
  <c r="A1709" i="3" s="1"/>
  <c r="B1709" i="3"/>
  <c r="D1708" i="3"/>
  <c r="A1708" i="3" s="1"/>
  <c r="B1708" i="3"/>
  <c r="D1707" i="3"/>
  <c r="A1707" i="3" s="1"/>
  <c r="B1707" i="3"/>
  <c r="B1706" i="3"/>
  <c r="D1705" i="3"/>
  <c r="A1705" i="3" s="1"/>
  <c r="B1705" i="3"/>
  <c r="D1704" i="3"/>
  <c r="A1704" i="3" s="1"/>
  <c r="B1704" i="3"/>
  <c r="D1703" i="3"/>
  <c r="A1703" i="3" s="1"/>
  <c r="B1703" i="3"/>
  <c r="D1702" i="3"/>
  <c r="A1702" i="3" s="1"/>
  <c r="B1702" i="3"/>
  <c r="D1701" i="3"/>
  <c r="A1701" i="3" s="1"/>
  <c r="B1701" i="3"/>
  <c r="D1700" i="3"/>
  <c r="A1700" i="3" s="1"/>
  <c r="B1700" i="3"/>
  <c r="D1699" i="3"/>
  <c r="A1699" i="3" s="1"/>
  <c r="B1699" i="3"/>
  <c r="B1698" i="3"/>
  <c r="D1697" i="3"/>
  <c r="A1697" i="3" s="1"/>
  <c r="B1697" i="3"/>
  <c r="D1696" i="3"/>
  <c r="A1696" i="3" s="1"/>
  <c r="B1696" i="3"/>
  <c r="D1695" i="3"/>
  <c r="A1695" i="3" s="1"/>
  <c r="B1695" i="3"/>
  <c r="D1694" i="3"/>
  <c r="A1694" i="3" s="1"/>
  <c r="B1694" i="3"/>
  <c r="D1693" i="3"/>
  <c r="A1693" i="3" s="1"/>
  <c r="B1693" i="3"/>
  <c r="D1692" i="3"/>
  <c r="A1692" i="3" s="1"/>
  <c r="B1692" i="3"/>
  <c r="D1691" i="3"/>
  <c r="A1691" i="3" s="1"/>
  <c r="B1691" i="3"/>
  <c r="D1690" i="3"/>
  <c r="A1690" i="3" s="1"/>
  <c r="B1690" i="3"/>
  <c r="D1689" i="3"/>
  <c r="A1689" i="3" s="1"/>
  <c r="B1689" i="3"/>
  <c r="D1688" i="3"/>
  <c r="B1688" i="3"/>
  <c r="D1687" i="3"/>
  <c r="A1687" i="3" s="1"/>
  <c r="B1687" i="3"/>
  <c r="D1686" i="3"/>
  <c r="A1686" i="3" s="1"/>
  <c r="B1686" i="3"/>
  <c r="D1685" i="3"/>
  <c r="A1685" i="3" s="1"/>
  <c r="B1685" i="3"/>
  <c r="D1684" i="3"/>
  <c r="A1684" i="3" s="1"/>
  <c r="B1684" i="3"/>
  <c r="D1683" i="3"/>
  <c r="A1683" i="3" s="1"/>
  <c r="B1683" i="3"/>
  <c r="D1682" i="3"/>
  <c r="B1682" i="3"/>
  <c r="D1681" i="3"/>
  <c r="A1681" i="3" s="1"/>
  <c r="B1681" i="3"/>
  <c r="D1680" i="3"/>
  <c r="A1680" i="3" s="1"/>
  <c r="B1680" i="3"/>
  <c r="D1679" i="3"/>
  <c r="A1679" i="3" s="1"/>
  <c r="B1679" i="3"/>
  <c r="D1678" i="3"/>
  <c r="A1678" i="3" s="1"/>
  <c r="B1678" i="3"/>
  <c r="D1677" i="3"/>
  <c r="A1677" i="3" s="1"/>
  <c r="B1677" i="3"/>
  <c r="D1676" i="3"/>
  <c r="A1676" i="3" s="1"/>
  <c r="B1676" i="3"/>
  <c r="D1675" i="3"/>
  <c r="A1675" i="3" s="1"/>
  <c r="B1675" i="3"/>
  <c r="D1674" i="3"/>
  <c r="A1674" i="3" s="1"/>
  <c r="B1674" i="3"/>
  <c r="D1673" i="3"/>
  <c r="A1673" i="3" s="1"/>
  <c r="B1673" i="3"/>
  <c r="D1672" i="3"/>
  <c r="A1672" i="3" s="1"/>
  <c r="B1672" i="3"/>
  <c r="D1671" i="3"/>
  <c r="B1671" i="3"/>
  <c r="D1670" i="3"/>
  <c r="B1670" i="3"/>
  <c r="D1669" i="3"/>
  <c r="A1669" i="3" s="1"/>
  <c r="B1669" i="3"/>
  <c r="D1668" i="3"/>
  <c r="A1668" i="3" s="1"/>
  <c r="B1668" i="3"/>
  <c r="D1667" i="3"/>
  <c r="A1667" i="3" s="1"/>
  <c r="B1667" i="3"/>
  <c r="D1666" i="3"/>
  <c r="B1666" i="3"/>
  <c r="D1665" i="3"/>
  <c r="A1665" i="3" s="1"/>
  <c r="B1665" i="3"/>
  <c r="B1664" i="3"/>
  <c r="D1663" i="3"/>
  <c r="A1663" i="3" s="1"/>
  <c r="B1663" i="3"/>
  <c r="D1662" i="3"/>
  <c r="A1662" i="3" s="1"/>
  <c r="B1662" i="3"/>
  <c r="D1661" i="3"/>
  <c r="A1661" i="3" s="1"/>
  <c r="B1661" i="3"/>
  <c r="D1660" i="3"/>
  <c r="A1660" i="3" s="1"/>
  <c r="B1660" i="3"/>
  <c r="D1659" i="3"/>
  <c r="A1659" i="3" s="1"/>
  <c r="B1659" i="3"/>
  <c r="B1658" i="3"/>
  <c r="D1657" i="3"/>
  <c r="B1657" i="3"/>
  <c r="D1656" i="3"/>
  <c r="A1656" i="3" s="1"/>
  <c r="B1656" i="3"/>
  <c r="D1655" i="3"/>
  <c r="A1655" i="3" s="1"/>
  <c r="B1655" i="3"/>
  <c r="D1654" i="3"/>
  <c r="B1654" i="3"/>
  <c r="D1653" i="3"/>
  <c r="A1653" i="3" s="1"/>
  <c r="B1653" i="3"/>
  <c r="D1652" i="3"/>
  <c r="A1652" i="3" s="1"/>
  <c r="B1652" i="3"/>
  <c r="D1651" i="3"/>
  <c r="A1651" i="3" s="1"/>
  <c r="B1651" i="3"/>
  <c r="D1650" i="3"/>
  <c r="B1650" i="3"/>
  <c r="D1649" i="3"/>
  <c r="A1649" i="3" s="1"/>
  <c r="B1649" i="3"/>
  <c r="D1648" i="3"/>
  <c r="A1648" i="3" s="1"/>
  <c r="B1648" i="3"/>
  <c r="D1647" i="3"/>
  <c r="A1647" i="3" s="1"/>
  <c r="B1647" i="3"/>
  <c r="D1646" i="3"/>
  <c r="B1646" i="3"/>
  <c r="D1645" i="3"/>
  <c r="A1645" i="3" s="1"/>
  <c r="B1645" i="3"/>
  <c r="D1644" i="3"/>
  <c r="A1644" i="3" s="1"/>
  <c r="B1644" i="3"/>
  <c r="D1643" i="3"/>
  <c r="A1643" i="3" s="1"/>
  <c r="B1643" i="3"/>
  <c r="D1642" i="3"/>
  <c r="A1642" i="3" s="1"/>
  <c r="B1642" i="3"/>
  <c r="D1641" i="3"/>
  <c r="B1641" i="3"/>
  <c r="D1640" i="3"/>
  <c r="B1640" i="3"/>
  <c r="D1639" i="3"/>
  <c r="B1639" i="3"/>
  <c r="D1638" i="3"/>
  <c r="B1638" i="3"/>
  <c r="D1637" i="3"/>
  <c r="B1637" i="3"/>
  <c r="D1636" i="3"/>
  <c r="A1636" i="3" s="1"/>
  <c r="B1636" i="3"/>
  <c r="D1635" i="3"/>
  <c r="B1635" i="3"/>
  <c r="B1634" i="3"/>
  <c r="D1633" i="3"/>
  <c r="G1633" i="3" s="1"/>
  <c r="B1633" i="3"/>
  <c r="D1632" i="3"/>
  <c r="A1632" i="3" s="1"/>
  <c r="B1632" i="3"/>
  <c r="D1631" i="3"/>
  <c r="A1631" i="3" s="1"/>
  <c r="B1631" i="3"/>
  <c r="D1630" i="3"/>
  <c r="A1630" i="3" s="1"/>
  <c r="B1630" i="3"/>
  <c r="D1629" i="3"/>
  <c r="A1629" i="3" s="1"/>
  <c r="B1629" i="3"/>
  <c r="D1628" i="3"/>
  <c r="B1628" i="3"/>
  <c r="D1627" i="3"/>
  <c r="A1627" i="3" s="1"/>
  <c r="B1627" i="3"/>
  <c r="D1626" i="3"/>
  <c r="B1626" i="3"/>
  <c r="D1625" i="3"/>
  <c r="A1625" i="3" s="1"/>
  <c r="B1625" i="3"/>
  <c r="D1624" i="3"/>
  <c r="B1624" i="3"/>
  <c r="D1623" i="3"/>
  <c r="B1623" i="3"/>
  <c r="B1622" i="3"/>
  <c r="D1621" i="3"/>
  <c r="A1621" i="3" s="1"/>
  <c r="B1621" i="3"/>
  <c r="D1620" i="3"/>
  <c r="B1620" i="3"/>
  <c r="D1619" i="3"/>
  <c r="B1619" i="3"/>
  <c r="D1618" i="3"/>
  <c r="B1618" i="3"/>
  <c r="D1617" i="3"/>
  <c r="A1617" i="3" s="1"/>
  <c r="B1617" i="3"/>
  <c r="D1616" i="3"/>
  <c r="B1616" i="3"/>
  <c r="D1615" i="3"/>
  <c r="B1615" i="3"/>
  <c r="D1614" i="3"/>
  <c r="A1614" i="3" s="1"/>
  <c r="B1614" i="3"/>
  <c r="D1613" i="3"/>
  <c r="B1613" i="3"/>
  <c r="D1612" i="3"/>
  <c r="B1612" i="3"/>
  <c r="D1611" i="3"/>
  <c r="B1611" i="3"/>
  <c r="B1610" i="3"/>
  <c r="D1609" i="3"/>
  <c r="A1609" i="3" s="1"/>
  <c r="B1609" i="3"/>
  <c r="D1608" i="3"/>
  <c r="B1608" i="3"/>
  <c r="D1607" i="3"/>
  <c r="A1607" i="3" s="1"/>
  <c r="B1607" i="3"/>
  <c r="D1606" i="3"/>
  <c r="A1606" i="3" s="1"/>
  <c r="B1606" i="3"/>
  <c r="D1605" i="3"/>
  <c r="A1605" i="3" s="1"/>
  <c r="B1605" i="3"/>
  <c r="B1604" i="3"/>
  <c r="D1603" i="3"/>
  <c r="A1603" i="3" s="1"/>
  <c r="B1603" i="3"/>
  <c r="D1602" i="3"/>
  <c r="A1602" i="3" s="1"/>
  <c r="B1602" i="3"/>
  <c r="D1601" i="3"/>
  <c r="A1601" i="3" s="1"/>
  <c r="B1601" i="3"/>
  <c r="D1600" i="3"/>
  <c r="A1600" i="3" s="1"/>
  <c r="B1600" i="3"/>
  <c r="D1599" i="3"/>
  <c r="A1599" i="3" s="1"/>
  <c r="B1599" i="3"/>
  <c r="B1598" i="3"/>
  <c r="D1597" i="3"/>
  <c r="A1597" i="3" s="1"/>
  <c r="B1597" i="3"/>
  <c r="D1596" i="3"/>
  <c r="A1596" i="3" s="1"/>
  <c r="B1596" i="3"/>
  <c r="D1595" i="3"/>
  <c r="A1595" i="3" s="1"/>
  <c r="B1595" i="3"/>
  <c r="D1594" i="3"/>
  <c r="A1594" i="3" s="1"/>
  <c r="B1594" i="3"/>
  <c r="D1593" i="3"/>
  <c r="A1593" i="3" s="1"/>
  <c r="B1593" i="3"/>
  <c r="D1592" i="3"/>
  <c r="A1592" i="3" s="1"/>
  <c r="B1592" i="3"/>
  <c r="D1591" i="3"/>
  <c r="A1591" i="3" s="1"/>
  <c r="B1591" i="3"/>
  <c r="D1590" i="3"/>
  <c r="A1590" i="3" s="1"/>
  <c r="B1590" i="3"/>
  <c r="D1589" i="3"/>
  <c r="A1589" i="3" s="1"/>
  <c r="B1589" i="3"/>
  <c r="D1588" i="3"/>
  <c r="A1588" i="3" s="1"/>
  <c r="B1588" i="3"/>
  <c r="D1587" i="3"/>
  <c r="A1587" i="3" s="1"/>
  <c r="B1587" i="3"/>
  <c r="B1586" i="3"/>
  <c r="D1585" i="3"/>
  <c r="A1585" i="3" s="1"/>
  <c r="B1585" i="3"/>
  <c r="D1584" i="3"/>
  <c r="A1584" i="3" s="1"/>
  <c r="B1584" i="3"/>
  <c r="D1583" i="3"/>
  <c r="A1583" i="3" s="1"/>
  <c r="B1583" i="3"/>
  <c r="D1582" i="3"/>
  <c r="A1582" i="3" s="1"/>
  <c r="B1582" i="3"/>
  <c r="D1581" i="3"/>
  <c r="A1581" i="3" s="1"/>
  <c r="B1581" i="3"/>
  <c r="D1580" i="3"/>
  <c r="B1580" i="3"/>
  <c r="D1579" i="3"/>
  <c r="A1579" i="3" s="1"/>
  <c r="B1579" i="3"/>
  <c r="D1578" i="3"/>
  <c r="A1578" i="3" s="1"/>
  <c r="B1578" i="3"/>
  <c r="D1577" i="3"/>
  <c r="A1577" i="3" s="1"/>
  <c r="B1577" i="3"/>
  <c r="D1576" i="3"/>
  <c r="A1576" i="3" s="1"/>
  <c r="B1576" i="3"/>
  <c r="D1575" i="3"/>
  <c r="A1575" i="3" s="1"/>
  <c r="B1575" i="3"/>
  <c r="D1574" i="3"/>
  <c r="B1574" i="3"/>
  <c r="D1573" i="3"/>
  <c r="A1573" i="3" s="1"/>
  <c r="B1573" i="3"/>
  <c r="D1572" i="3"/>
  <c r="A1572" i="3" s="1"/>
  <c r="B1572" i="3"/>
  <c r="D1571" i="3"/>
  <c r="A1571" i="3" s="1"/>
  <c r="B1571" i="3"/>
  <c r="D1570" i="3"/>
  <c r="A1570" i="3" s="1"/>
  <c r="B1570" i="3"/>
  <c r="D1569" i="3"/>
  <c r="A1569" i="3" s="1"/>
  <c r="B1569" i="3"/>
  <c r="D1568" i="3"/>
  <c r="A1568" i="3" s="1"/>
  <c r="B1568" i="3"/>
  <c r="D1567" i="3"/>
  <c r="A1567" i="3" s="1"/>
  <c r="B1567" i="3"/>
  <c r="D1566" i="3"/>
  <c r="A1566" i="3" s="1"/>
  <c r="B1566" i="3"/>
  <c r="D1565" i="3"/>
  <c r="A1565" i="3" s="1"/>
  <c r="B1565" i="3"/>
  <c r="B1564" i="3"/>
  <c r="D1563" i="3"/>
  <c r="A1563" i="3" s="1"/>
  <c r="B1563" i="3"/>
  <c r="D1562" i="3"/>
  <c r="B1562" i="3"/>
  <c r="D1561" i="3"/>
  <c r="A1561" i="3" s="1"/>
  <c r="B1561" i="3"/>
  <c r="D1560" i="3"/>
  <c r="A1560" i="3" s="1"/>
  <c r="B1560" i="3"/>
  <c r="D1559" i="3"/>
  <c r="A1559" i="3" s="1"/>
  <c r="B1559" i="3"/>
  <c r="D1558" i="3"/>
  <c r="A1558" i="3" s="1"/>
  <c r="B1558" i="3"/>
  <c r="D1557" i="3"/>
  <c r="A1557" i="3" s="1"/>
  <c r="B1557" i="3"/>
  <c r="D1556" i="3"/>
  <c r="A1556" i="3" s="1"/>
  <c r="B1556" i="3"/>
  <c r="D1555" i="3"/>
  <c r="A1555" i="3" s="1"/>
  <c r="B1555" i="3"/>
  <c r="D1554" i="3"/>
  <c r="B1554" i="3"/>
  <c r="D1553" i="3"/>
  <c r="A1553" i="3" s="1"/>
  <c r="B1553" i="3"/>
  <c r="D1552" i="3"/>
  <c r="A1552" i="3" s="1"/>
  <c r="B1552" i="3"/>
  <c r="D1551" i="3"/>
  <c r="A1551" i="3" s="1"/>
  <c r="B1551" i="3"/>
  <c r="D1550" i="3"/>
  <c r="A1550" i="3" s="1"/>
  <c r="B1550" i="3"/>
  <c r="D1549" i="3"/>
  <c r="A1549" i="3" s="1"/>
  <c r="B1549" i="3"/>
  <c r="D1548" i="3"/>
  <c r="A1548" i="3" s="1"/>
  <c r="B1548" i="3"/>
  <c r="D1547" i="3"/>
  <c r="A1547" i="3" s="1"/>
  <c r="B1547" i="3"/>
  <c r="D1546" i="3"/>
  <c r="A1546" i="3" s="1"/>
  <c r="B1546" i="3"/>
  <c r="D1545" i="3"/>
  <c r="A1545" i="3" s="1"/>
  <c r="B1545" i="3"/>
  <c r="D1544" i="3"/>
  <c r="B1544" i="3"/>
  <c r="D1543" i="3"/>
  <c r="A1543" i="3" s="1"/>
  <c r="B1543" i="3"/>
  <c r="D1542" i="3"/>
  <c r="A1542" i="3" s="1"/>
  <c r="B1542" i="3"/>
  <c r="D1541" i="3"/>
  <c r="A1541" i="3" s="1"/>
  <c r="B1541" i="3"/>
  <c r="D1540" i="3"/>
  <c r="A1540" i="3" s="1"/>
  <c r="B1540" i="3"/>
  <c r="D1539" i="3"/>
  <c r="A1539" i="3" s="1"/>
  <c r="B1539" i="3"/>
  <c r="B1538" i="3"/>
  <c r="D1537" i="3"/>
  <c r="A1537" i="3" s="1"/>
  <c r="B1537" i="3"/>
  <c r="D1536" i="3"/>
  <c r="A1536" i="3" s="1"/>
  <c r="B1536" i="3"/>
  <c r="D1535" i="3"/>
  <c r="A1535" i="3" s="1"/>
  <c r="B1535" i="3"/>
  <c r="D1534" i="3"/>
  <c r="A1534" i="3" s="1"/>
  <c r="B1534" i="3"/>
  <c r="D1533" i="3"/>
  <c r="A1533" i="3" s="1"/>
  <c r="B1533" i="3"/>
  <c r="D1532" i="3"/>
  <c r="A1532" i="3" s="1"/>
  <c r="B1532" i="3"/>
  <c r="D1531" i="3"/>
  <c r="A1531" i="3" s="1"/>
  <c r="B1531" i="3"/>
  <c r="D1530" i="3"/>
  <c r="A1530" i="3" s="1"/>
  <c r="B1530" i="3"/>
  <c r="D1529" i="3"/>
  <c r="A1529" i="3" s="1"/>
  <c r="B1529" i="3"/>
  <c r="D1528" i="3"/>
  <c r="A1528" i="3" s="1"/>
  <c r="B1528" i="3"/>
  <c r="D1527" i="3"/>
  <c r="A1527" i="3" s="1"/>
  <c r="B1527" i="3"/>
  <c r="D1526" i="3"/>
  <c r="B1526" i="3"/>
  <c r="D1525" i="3"/>
  <c r="A1525" i="3" s="1"/>
  <c r="B1525" i="3"/>
  <c r="D1524" i="3"/>
  <c r="A1524" i="3" s="1"/>
  <c r="B1524" i="3"/>
  <c r="D1523" i="3"/>
  <c r="A1523" i="3" s="1"/>
  <c r="B1523" i="3"/>
  <c r="D1522" i="3"/>
  <c r="A1522" i="3" s="1"/>
  <c r="B1522" i="3"/>
  <c r="D1521" i="3"/>
  <c r="A1521" i="3" s="1"/>
  <c r="B1521" i="3"/>
  <c r="D1520" i="3"/>
  <c r="A1520" i="3" s="1"/>
  <c r="B1520" i="3"/>
  <c r="D1519" i="3"/>
  <c r="A1519" i="3" s="1"/>
  <c r="B1519" i="3"/>
  <c r="D1518" i="3"/>
  <c r="A1518" i="3" s="1"/>
  <c r="B1518" i="3"/>
  <c r="D1517" i="3"/>
  <c r="A1517" i="3" s="1"/>
  <c r="B1517" i="3"/>
  <c r="D1516" i="3"/>
  <c r="B1516" i="3"/>
  <c r="D1515" i="3"/>
  <c r="A1515" i="3" s="1"/>
  <c r="B1515" i="3"/>
  <c r="D1514" i="3"/>
  <c r="A1514" i="3" s="1"/>
  <c r="B1514" i="3"/>
  <c r="D1513" i="3"/>
  <c r="A1513" i="3" s="1"/>
  <c r="B1513" i="3"/>
  <c r="D1512" i="3"/>
  <c r="A1512" i="3" s="1"/>
  <c r="B1512" i="3"/>
  <c r="D1511" i="3"/>
  <c r="A1511" i="3" s="1"/>
  <c r="B1511" i="3"/>
  <c r="D1510" i="3"/>
  <c r="A1510" i="3" s="1"/>
  <c r="B1510" i="3"/>
  <c r="D1509" i="3"/>
  <c r="A1509" i="3" s="1"/>
  <c r="B1509" i="3"/>
  <c r="D1508" i="3"/>
  <c r="A1508" i="3" s="1"/>
  <c r="B1508" i="3"/>
  <c r="D1507" i="3"/>
  <c r="A1507" i="3" s="1"/>
  <c r="B1507" i="3"/>
  <c r="D1506" i="3"/>
  <c r="A1506" i="3" s="1"/>
  <c r="B1506" i="3"/>
  <c r="D1505" i="3"/>
  <c r="A1505" i="3" s="1"/>
  <c r="B1505" i="3"/>
  <c r="D1504" i="3"/>
  <c r="B1504" i="3"/>
  <c r="D1503" i="3"/>
  <c r="A1503" i="3" s="1"/>
  <c r="B1503" i="3"/>
  <c r="D1502" i="3"/>
  <c r="A1502" i="3" s="1"/>
  <c r="B1502" i="3"/>
  <c r="D1501" i="3"/>
  <c r="A1501" i="3" s="1"/>
  <c r="B1501" i="3"/>
  <c r="D1500" i="3"/>
  <c r="A1500" i="3" s="1"/>
  <c r="B1500" i="3"/>
  <c r="D1499" i="3"/>
  <c r="A1499" i="3" s="1"/>
  <c r="B1499" i="3"/>
  <c r="B1498" i="3"/>
  <c r="D1497" i="3"/>
  <c r="A1497" i="3" s="1"/>
  <c r="B1497" i="3"/>
  <c r="D1496" i="3"/>
  <c r="A1496" i="3" s="1"/>
  <c r="B1496" i="3"/>
  <c r="D1495" i="3"/>
  <c r="A1495" i="3" s="1"/>
  <c r="B1495" i="3"/>
  <c r="D1494" i="3"/>
  <c r="A1494" i="3" s="1"/>
  <c r="B1494" i="3"/>
  <c r="D1493" i="3"/>
  <c r="A1493" i="3" s="1"/>
  <c r="B1493" i="3"/>
  <c r="D1492" i="3"/>
  <c r="A1492" i="3" s="1"/>
  <c r="B1492" i="3"/>
  <c r="D1491" i="3"/>
  <c r="A1491" i="3" s="1"/>
  <c r="B1491" i="3"/>
  <c r="D1490" i="3"/>
  <c r="A1490" i="3" s="1"/>
  <c r="B1490" i="3"/>
  <c r="D1489" i="3"/>
  <c r="A1489" i="3" s="1"/>
  <c r="B1489" i="3"/>
  <c r="D1488" i="3"/>
  <c r="A1488" i="3" s="1"/>
  <c r="B1488" i="3"/>
  <c r="D1487" i="3"/>
  <c r="A1487" i="3" s="1"/>
  <c r="B1487" i="3"/>
  <c r="D1486" i="3"/>
  <c r="B1486" i="3"/>
  <c r="D1485" i="3"/>
  <c r="A1485" i="3" s="1"/>
  <c r="B1485" i="3"/>
  <c r="D1484" i="3"/>
  <c r="A1484" i="3" s="1"/>
  <c r="B1484" i="3"/>
  <c r="D1483" i="3"/>
  <c r="A1483" i="3" s="1"/>
  <c r="B1483" i="3"/>
  <c r="D1482" i="3"/>
  <c r="A1482" i="3" s="1"/>
  <c r="B1482" i="3"/>
  <c r="D1481" i="3"/>
  <c r="A1481" i="3" s="1"/>
  <c r="B1481" i="3"/>
  <c r="D1480" i="3"/>
  <c r="A1480" i="3" s="1"/>
  <c r="B1480" i="3"/>
  <c r="D1479" i="3"/>
  <c r="A1479" i="3" s="1"/>
  <c r="B1479" i="3"/>
  <c r="D1478" i="3"/>
  <c r="A1478" i="3" s="1"/>
  <c r="B1478" i="3"/>
  <c r="D1477" i="3"/>
  <c r="A1477" i="3" s="1"/>
  <c r="B1477" i="3"/>
  <c r="D1476" i="3"/>
  <c r="A1476" i="3" s="1"/>
  <c r="B1476" i="3"/>
  <c r="D1475" i="3"/>
  <c r="A1475" i="3" s="1"/>
  <c r="B1475" i="3"/>
  <c r="D1474" i="3"/>
  <c r="B1474" i="3"/>
  <c r="D1473" i="3"/>
  <c r="A1473" i="3" s="1"/>
  <c r="B1473" i="3"/>
  <c r="D1472" i="3"/>
  <c r="A1472" i="3" s="1"/>
  <c r="B1472" i="3"/>
  <c r="D1471" i="3"/>
  <c r="A1471" i="3" s="1"/>
  <c r="B1471" i="3"/>
  <c r="D1470" i="3"/>
  <c r="A1470" i="3" s="1"/>
  <c r="B1470" i="3"/>
  <c r="D1469" i="3"/>
  <c r="A1469" i="3" s="1"/>
  <c r="B1469" i="3"/>
  <c r="D1468" i="3"/>
  <c r="A1468" i="3" s="1"/>
  <c r="B1468" i="3"/>
  <c r="D1467" i="3"/>
  <c r="A1467" i="3" s="1"/>
  <c r="B1467" i="3"/>
  <c r="D1466" i="3"/>
  <c r="B1466" i="3"/>
  <c r="D1465" i="3"/>
  <c r="A1465" i="3" s="1"/>
  <c r="B1465" i="3"/>
  <c r="D1464" i="3"/>
  <c r="A1464" i="3" s="1"/>
  <c r="B1464" i="3"/>
  <c r="D1463" i="3"/>
  <c r="A1463" i="3" s="1"/>
  <c r="B1463" i="3"/>
  <c r="D1462" i="3"/>
  <c r="A1462" i="3" s="1"/>
  <c r="B1462" i="3"/>
  <c r="D1461" i="3"/>
  <c r="A1461" i="3" s="1"/>
  <c r="B1461" i="3"/>
  <c r="D1460" i="3"/>
  <c r="A1460" i="3" s="1"/>
  <c r="B1460" i="3"/>
  <c r="D1459" i="3"/>
  <c r="A1459" i="3" s="1"/>
  <c r="B1459" i="3"/>
  <c r="D1458" i="3"/>
  <c r="B1458" i="3"/>
  <c r="D1457" i="3"/>
  <c r="A1457" i="3" s="1"/>
  <c r="B1457" i="3"/>
  <c r="D1456" i="3"/>
  <c r="A1456" i="3" s="1"/>
  <c r="B1456" i="3"/>
  <c r="D1455" i="3"/>
  <c r="A1455" i="3" s="1"/>
  <c r="B1455" i="3"/>
  <c r="B1454" i="3"/>
  <c r="D1453" i="3"/>
  <c r="A1453" i="3" s="1"/>
  <c r="B1453" i="3"/>
  <c r="D1452" i="3"/>
  <c r="A1452" i="3" s="1"/>
  <c r="B1452" i="3"/>
  <c r="D1451" i="3"/>
  <c r="A1451" i="3" s="1"/>
  <c r="B1451" i="3"/>
  <c r="D1450" i="3"/>
  <c r="A1450" i="3" s="1"/>
  <c r="B1450" i="3"/>
  <c r="D1449" i="3"/>
  <c r="A1449" i="3" s="1"/>
  <c r="B1449" i="3"/>
  <c r="D1448" i="3"/>
  <c r="A1448" i="3" s="1"/>
  <c r="B1448" i="3"/>
  <c r="D1447" i="3"/>
  <c r="A1447" i="3" s="1"/>
  <c r="B1447" i="3"/>
  <c r="D1446" i="3"/>
  <c r="A1446" i="3" s="1"/>
  <c r="B1446" i="3"/>
  <c r="D1445" i="3"/>
  <c r="A1445" i="3" s="1"/>
  <c r="B1445" i="3"/>
  <c r="D1444" i="3"/>
  <c r="A1444" i="3" s="1"/>
  <c r="B1444" i="3"/>
  <c r="D1443" i="3"/>
  <c r="A1443" i="3" s="1"/>
  <c r="B1443" i="3"/>
  <c r="B1442" i="3"/>
  <c r="D1441" i="3"/>
  <c r="A1441" i="3" s="1"/>
  <c r="B1441" i="3"/>
  <c r="D1440" i="3"/>
  <c r="A1440" i="3" s="1"/>
  <c r="B1440" i="3"/>
  <c r="D1439" i="3"/>
  <c r="A1439" i="3" s="1"/>
  <c r="B1439" i="3"/>
  <c r="D1438" i="3"/>
  <c r="A1438" i="3" s="1"/>
  <c r="B1438" i="3"/>
  <c r="D1437" i="3"/>
  <c r="A1437" i="3" s="1"/>
  <c r="B1437" i="3"/>
  <c r="D1436" i="3"/>
  <c r="B1436" i="3"/>
  <c r="D1435" i="3"/>
  <c r="A1435" i="3" s="1"/>
  <c r="B1435" i="3"/>
  <c r="D1434" i="3"/>
  <c r="A1434" i="3" s="1"/>
  <c r="B1434" i="3"/>
  <c r="D1433" i="3"/>
  <c r="A1433" i="3" s="1"/>
  <c r="B1433" i="3"/>
  <c r="D1432" i="3"/>
  <c r="A1432" i="3" s="1"/>
  <c r="B1432" i="3"/>
  <c r="D1431" i="3"/>
  <c r="A1431" i="3" s="1"/>
  <c r="B1431" i="3"/>
  <c r="B1430" i="3"/>
  <c r="D1429" i="3"/>
  <c r="A1429" i="3" s="1"/>
  <c r="B1429" i="3"/>
  <c r="D1428" i="3"/>
  <c r="A1428" i="3" s="1"/>
  <c r="B1428" i="3"/>
  <c r="D1427" i="3"/>
  <c r="B1427" i="3"/>
  <c r="B1426" i="3"/>
  <c r="D1425" i="3"/>
  <c r="A1425" i="3" s="1"/>
  <c r="B1425" i="3"/>
  <c r="D1424" i="3"/>
  <c r="A1424" i="3" s="1"/>
  <c r="B1424" i="3"/>
  <c r="D1423" i="3"/>
  <c r="A1423" i="3" s="1"/>
  <c r="B1423" i="3"/>
  <c r="D1422" i="3"/>
  <c r="A1422" i="3" s="1"/>
  <c r="B1422" i="3"/>
  <c r="D1421" i="3"/>
  <c r="A1421" i="3" s="1"/>
  <c r="B1421" i="3"/>
  <c r="D1420" i="3"/>
  <c r="B1420" i="3"/>
  <c r="D1419" i="3"/>
  <c r="B1419" i="3"/>
  <c r="B1418" i="3"/>
  <c r="D1417" i="3"/>
  <c r="E1417" i="3" s="1"/>
  <c r="B1417" i="3"/>
  <c r="D1416" i="3"/>
  <c r="B1416" i="3"/>
  <c r="D1415" i="3"/>
  <c r="B1415" i="3"/>
  <c r="D1414" i="3"/>
  <c r="B1414" i="3"/>
  <c r="D1413" i="3"/>
  <c r="A1413" i="3" s="1"/>
  <c r="B1413" i="3"/>
  <c r="D1412" i="3"/>
  <c r="A1412" i="3" s="1"/>
  <c r="B1412" i="3"/>
  <c r="D1411" i="3"/>
  <c r="B1411" i="3"/>
  <c r="B1410" i="3"/>
  <c r="D1409" i="3"/>
  <c r="A1409" i="3" s="1"/>
  <c r="B1409" i="3"/>
  <c r="D1408" i="3"/>
  <c r="B1408" i="3"/>
  <c r="D1407" i="3"/>
  <c r="A1407" i="3" s="1"/>
  <c r="B1407" i="3"/>
  <c r="D1406" i="3"/>
  <c r="A1406" i="3" s="1"/>
  <c r="B1406" i="3"/>
  <c r="D1405" i="3"/>
  <c r="A1405" i="3" s="1"/>
  <c r="B1405" i="3"/>
  <c r="D1404" i="3"/>
  <c r="B1404" i="3"/>
  <c r="D1403" i="3"/>
  <c r="A1403" i="3" s="1"/>
  <c r="B1403" i="3"/>
  <c r="D1402" i="3"/>
  <c r="B1402" i="3"/>
  <c r="D1401" i="3"/>
  <c r="A1401" i="3" s="1"/>
  <c r="B1401" i="3"/>
  <c r="D1400" i="3"/>
  <c r="B1400" i="3"/>
  <c r="D1399" i="3"/>
  <c r="B1399" i="3"/>
  <c r="D1398" i="3"/>
  <c r="A1398" i="3" s="1"/>
  <c r="B1398" i="3"/>
  <c r="D1397" i="3"/>
  <c r="A1397" i="3" s="1"/>
  <c r="B1397" i="3"/>
  <c r="D1396" i="3"/>
  <c r="A1396" i="3" s="1"/>
  <c r="B1396" i="3"/>
  <c r="D1395" i="3"/>
  <c r="A1395" i="3" s="1"/>
  <c r="B1395" i="3"/>
  <c r="B1394" i="3"/>
  <c r="D1393" i="3"/>
  <c r="A1393" i="3" s="1"/>
  <c r="B1393" i="3"/>
  <c r="D1392" i="3"/>
  <c r="A1392" i="3" s="1"/>
  <c r="B1392" i="3"/>
  <c r="D1391" i="3"/>
  <c r="A1391" i="3" s="1"/>
  <c r="B1391" i="3"/>
  <c r="D1390" i="3"/>
  <c r="A1390" i="3" s="1"/>
  <c r="B1390" i="3"/>
  <c r="D1389" i="3"/>
  <c r="A1389" i="3" s="1"/>
  <c r="B1389" i="3"/>
  <c r="D1388" i="3"/>
  <c r="B1388" i="3"/>
  <c r="D1387" i="3"/>
  <c r="A1387" i="3" s="1"/>
  <c r="B1387" i="3"/>
  <c r="D1386" i="3"/>
  <c r="A1386" i="3" s="1"/>
  <c r="B1386" i="3"/>
  <c r="D1385" i="3"/>
  <c r="A1385" i="3" s="1"/>
  <c r="B1385" i="3"/>
  <c r="D1384" i="3"/>
  <c r="B1384" i="3"/>
  <c r="D1383" i="3"/>
  <c r="B1383" i="3"/>
  <c r="D1382" i="3"/>
  <c r="B1382" i="3"/>
  <c r="D1381" i="3"/>
  <c r="A1381" i="3" s="1"/>
  <c r="B1381" i="3"/>
  <c r="D1380" i="3"/>
  <c r="A1380" i="3" s="1"/>
  <c r="B1380" i="3"/>
  <c r="D1379" i="3"/>
  <c r="B1379" i="3"/>
  <c r="D1378" i="3"/>
  <c r="A1378" i="3" s="1"/>
  <c r="B1378" i="3"/>
  <c r="D1377" i="3"/>
  <c r="A1377" i="3" s="1"/>
  <c r="B1377" i="3"/>
  <c r="B1376" i="3"/>
  <c r="D1375" i="3"/>
  <c r="B1375" i="3"/>
  <c r="A1375" i="3"/>
  <c r="D1374" i="3"/>
  <c r="B1374" i="3"/>
  <c r="D1373" i="3"/>
  <c r="A1373" i="3" s="1"/>
  <c r="B1373" i="3"/>
  <c r="D1372" i="3"/>
  <c r="A1372" i="3" s="1"/>
  <c r="B1372" i="3"/>
  <c r="D1371" i="3"/>
  <c r="A1371" i="3" s="1"/>
  <c r="B1371" i="3"/>
  <c r="B1370" i="3"/>
  <c r="D1369" i="3"/>
  <c r="B1369" i="3"/>
  <c r="D1368" i="3"/>
  <c r="B1368" i="3"/>
  <c r="D1367" i="3"/>
  <c r="B1367" i="3"/>
  <c r="D1366" i="3"/>
  <c r="A1366" i="3" s="1"/>
  <c r="B1366" i="3"/>
  <c r="D1365" i="3"/>
  <c r="A1365" i="3" s="1"/>
  <c r="B1365" i="3"/>
  <c r="D1364" i="3"/>
  <c r="B1364" i="3"/>
  <c r="D1363" i="3"/>
  <c r="A1363" i="3" s="1"/>
  <c r="B1363" i="3"/>
  <c r="D1362" i="3"/>
  <c r="B1362" i="3"/>
  <c r="D1361" i="3"/>
  <c r="A1361" i="3" s="1"/>
  <c r="B1361" i="3"/>
  <c r="D1360" i="3"/>
  <c r="A1360" i="3" s="1"/>
  <c r="B1360" i="3"/>
  <c r="D1359" i="3"/>
  <c r="B1359" i="3"/>
  <c r="D1358" i="3"/>
  <c r="B1358" i="3"/>
  <c r="D1357" i="3"/>
  <c r="B1357" i="3"/>
  <c r="D1356" i="3"/>
  <c r="B1356" i="3"/>
  <c r="D1355" i="3"/>
  <c r="A1355" i="3" s="1"/>
  <c r="B1355" i="3"/>
  <c r="D1354" i="3"/>
  <c r="A1354" i="3" s="1"/>
  <c r="B1354" i="3"/>
  <c r="D1353" i="3"/>
  <c r="B1353" i="3"/>
  <c r="B1352" i="3"/>
  <c r="D1351" i="3"/>
  <c r="A1351" i="3" s="1"/>
  <c r="B1351" i="3"/>
  <c r="D1350" i="3"/>
  <c r="A1350" i="3" s="1"/>
  <c r="B1350" i="3"/>
  <c r="D1349" i="3"/>
  <c r="A1349" i="3" s="1"/>
  <c r="B1349" i="3"/>
  <c r="D1348" i="3"/>
  <c r="A1348" i="3" s="1"/>
  <c r="B1348" i="3"/>
  <c r="D1347" i="3"/>
  <c r="A1347" i="3" s="1"/>
  <c r="B1347" i="3"/>
  <c r="B1346" i="3"/>
  <c r="D1345" i="3"/>
  <c r="A1345" i="3" s="1"/>
  <c r="B1345" i="3"/>
  <c r="D1344" i="3"/>
  <c r="A1344" i="3" s="1"/>
  <c r="B1344" i="3"/>
  <c r="D1343" i="3"/>
  <c r="A1343" i="3" s="1"/>
  <c r="B1343" i="3"/>
  <c r="D1342" i="3"/>
  <c r="A1342" i="3" s="1"/>
  <c r="B1342" i="3"/>
  <c r="D1341" i="3"/>
  <c r="A1341" i="3" s="1"/>
  <c r="B1341" i="3"/>
  <c r="D1340" i="3"/>
  <c r="A1340" i="3" s="1"/>
  <c r="B1340" i="3"/>
  <c r="D1339" i="3"/>
  <c r="A1339" i="3" s="1"/>
  <c r="B1339" i="3"/>
  <c r="D1338" i="3"/>
  <c r="A1338" i="3" s="1"/>
  <c r="B1338" i="3"/>
  <c r="D1337" i="3"/>
  <c r="A1337" i="3" s="1"/>
  <c r="B1337" i="3"/>
  <c r="D1336" i="3"/>
  <c r="A1336" i="3" s="1"/>
  <c r="B1336" i="3"/>
  <c r="D1335" i="3"/>
  <c r="A1335" i="3" s="1"/>
  <c r="B1335" i="3"/>
  <c r="B1334" i="3"/>
  <c r="D1333" i="3"/>
  <c r="A1333" i="3" s="1"/>
  <c r="B1333" i="3"/>
  <c r="D1332" i="3"/>
  <c r="A1332" i="3" s="1"/>
  <c r="B1332" i="3"/>
  <c r="D1331" i="3"/>
  <c r="A1331" i="3" s="1"/>
  <c r="B1331" i="3"/>
  <c r="D1330" i="3"/>
  <c r="A1330" i="3" s="1"/>
  <c r="B1330" i="3"/>
  <c r="D1329" i="3"/>
  <c r="A1329" i="3" s="1"/>
  <c r="B1329" i="3"/>
  <c r="D1328" i="3"/>
  <c r="A1328" i="3" s="1"/>
  <c r="B1328" i="3"/>
  <c r="D1327" i="3"/>
  <c r="A1327" i="3" s="1"/>
  <c r="B1327" i="3"/>
  <c r="D1326" i="3"/>
  <c r="A1326" i="3" s="1"/>
  <c r="B1326" i="3"/>
  <c r="D1325" i="3"/>
  <c r="A1325" i="3" s="1"/>
  <c r="B1325" i="3"/>
  <c r="D1324" i="3"/>
  <c r="A1324" i="3" s="1"/>
  <c r="B1324" i="3"/>
  <c r="D1323" i="3"/>
  <c r="A1323" i="3" s="1"/>
  <c r="B1323" i="3"/>
  <c r="B1322" i="3"/>
  <c r="D1321" i="3"/>
  <c r="A1321" i="3" s="1"/>
  <c r="B1321" i="3"/>
  <c r="D1320" i="3"/>
  <c r="A1320" i="3" s="1"/>
  <c r="B1320" i="3"/>
  <c r="D1319" i="3"/>
  <c r="A1319" i="3" s="1"/>
  <c r="B1319" i="3"/>
  <c r="D1318" i="3"/>
  <c r="A1318" i="3" s="1"/>
  <c r="B1318" i="3"/>
  <c r="D1317" i="3"/>
  <c r="A1317" i="3" s="1"/>
  <c r="B1317" i="3"/>
  <c r="D1316" i="3"/>
  <c r="B1316" i="3"/>
  <c r="D1315" i="3"/>
  <c r="A1315" i="3" s="1"/>
  <c r="B1315" i="3"/>
  <c r="D1314" i="3"/>
  <c r="A1314" i="3" s="1"/>
  <c r="B1314" i="3"/>
  <c r="D1313" i="3"/>
  <c r="A1313" i="3" s="1"/>
  <c r="B1313" i="3"/>
  <c r="D1312" i="3"/>
  <c r="A1312" i="3" s="1"/>
  <c r="B1312" i="3"/>
  <c r="D1311" i="3"/>
  <c r="A1311" i="3" s="1"/>
  <c r="B1311" i="3"/>
  <c r="B1310" i="3"/>
  <c r="D1309" i="3"/>
  <c r="A1309" i="3" s="1"/>
  <c r="B1309" i="3"/>
  <c r="D1308" i="3"/>
  <c r="A1308" i="3" s="1"/>
  <c r="B1308" i="3"/>
  <c r="D1307" i="3"/>
  <c r="A1307" i="3" s="1"/>
  <c r="B1307" i="3"/>
  <c r="D1306" i="3"/>
  <c r="A1306" i="3" s="1"/>
  <c r="B1306" i="3"/>
  <c r="D1305" i="3"/>
  <c r="A1305" i="3" s="1"/>
  <c r="B1305" i="3"/>
  <c r="D1304" i="3"/>
  <c r="A1304" i="3" s="1"/>
  <c r="B1304" i="3"/>
  <c r="D1303" i="3"/>
  <c r="A1303" i="3" s="1"/>
  <c r="B1303" i="3"/>
  <c r="D1302" i="3"/>
  <c r="A1302" i="3" s="1"/>
  <c r="B1302" i="3"/>
  <c r="D1301" i="3"/>
  <c r="A1301" i="3" s="1"/>
  <c r="B1301" i="3"/>
  <c r="D1300" i="3"/>
  <c r="A1300" i="3" s="1"/>
  <c r="B1300" i="3"/>
  <c r="D1299" i="3"/>
  <c r="A1299" i="3" s="1"/>
  <c r="B1299" i="3"/>
  <c r="B1298" i="3"/>
  <c r="D1297" i="3"/>
  <c r="A1297" i="3" s="1"/>
  <c r="B1297" i="3"/>
  <c r="D1296" i="3"/>
  <c r="A1296" i="3" s="1"/>
  <c r="B1296" i="3"/>
  <c r="D1295" i="3"/>
  <c r="A1295" i="3" s="1"/>
  <c r="B1295" i="3"/>
  <c r="D1294" i="3"/>
  <c r="A1294" i="3" s="1"/>
  <c r="B1294" i="3"/>
  <c r="D1293" i="3"/>
  <c r="A1293" i="3" s="1"/>
  <c r="B1293" i="3"/>
  <c r="D1292" i="3"/>
  <c r="B1292" i="3"/>
  <c r="D1291" i="3"/>
  <c r="A1291" i="3" s="1"/>
  <c r="B1291" i="3"/>
  <c r="D1290" i="3"/>
  <c r="A1290" i="3" s="1"/>
  <c r="B1290" i="3"/>
  <c r="D1289" i="3"/>
  <c r="A1289" i="3" s="1"/>
  <c r="B1289" i="3"/>
  <c r="D1288" i="3"/>
  <c r="A1288" i="3" s="1"/>
  <c r="B1288" i="3"/>
  <c r="D1287" i="3"/>
  <c r="A1287" i="3" s="1"/>
  <c r="B1287" i="3"/>
  <c r="B1286" i="3"/>
  <c r="D1285" i="3"/>
  <c r="A1285" i="3" s="1"/>
  <c r="B1285" i="3"/>
  <c r="D1284" i="3"/>
  <c r="A1284" i="3" s="1"/>
  <c r="B1284" i="3"/>
  <c r="D1283" i="3"/>
  <c r="A1283" i="3" s="1"/>
  <c r="B1283" i="3"/>
  <c r="D1282" i="3"/>
  <c r="A1282" i="3" s="1"/>
  <c r="B1282" i="3"/>
  <c r="D1281" i="3"/>
  <c r="A1281" i="3" s="1"/>
  <c r="B1281" i="3"/>
  <c r="D1280" i="3"/>
  <c r="A1280" i="3" s="1"/>
  <c r="B1280" i="3"/>
  <c r="D1279" i="3"/>
  <c r="A1279" i="3" s="1"/>
  <c r="B1279" i="3"/>
  <c r="D1278" i="3"/>
  <c r="A1278" i="3" s="1"/>
  <c r="B1278" i="3"/>
  <c r="D1277" i="3"/>
  <c r="A1277" i="3" s="1"/>
  <c r="B1277" i="3"/>
  <c r="D1276" i="3"/>
  <c r="B1276" i="3"/>
  <c r="D1275" i="3"/>
  <c r="A1275" i="3" s="1"/>
  <c r="B1275" i="3"/>
  <c r="D1274" i="3"/>
  <c r="B1274" i="3"/>
  <c r="D1273" i="3"/>
  <c r="A1273" i="3" s="1"/>
  <c r="B1273" i="3"/>
  <c r="D1272" i="3"/>
  <c r="A1272" i="3" s="1"/>
  <c r="B1272" i="3"/>
  <c r="D1271" i="3"/>
  <c r="A1271" i="3" s="1"/>
  <c r="B1271" i="3"/>
  <c r="D1270" i="3"/>
  <c r="A1270" i="3" s="1"/>
  <c r="B1270" i="3"/>
  <c r="D1269" i="3"/>
  <c r="A1269" i="3" s="1"/>
  <c r="B1269" i="3"/>
  <c r="D1268" i="3"/>
  <c r="A1268" i="3" s="1"/>
  <c r="B1268" i="3"/>
  <c r="D1267" i="3"/>
  <c r="A1267" i="3" s="1"/>
  <c r="B1267" i="3"/>
  <c r="D1266" i="3"/>
  <c r="B1266" i="3"/>
  <c r="D1265" i="3"/>
  <c r="A1265" i="3" s="1"/>
  <c r="B1265" i="3"/>
  <c r="D1264" i="3"/>
  <c r="A1264" i="3" s="1"/>
  <c r="B1264" i="3"/>
  <c r="D1263" i="3"/>
  <c r="A1263" i="3" s="1"/>
  <c r="B1263" i="3"/>
  <c r="D1262" i="3"/>
  <c r="A1262" i="3" s="1"/>
  <c r="B1262" i="3"/>
  <c r="D1261" i="3"/>
  <c r="A1261" i="3" s="1"/>
  <c r="B1261" i="3"/>
  <c r="D1260" i="3"/>
  <c r="A1260" i="3" s="1"/>
  <c r="B1260" i="3"/>
  <c r="D1259" i="3"/>
  <c r="A1259" i="3" s="1"/>
  <c r="B1259" i="3"/>
  <c r="D1258" i="3"/>
  <c r="A1258" i="3" s="1"/>
  <c r="B1258" i="3"/>
  <c r="D1257" i="3"/>
  <c r="A1257" i="3" s="1"/>
  <c r="B1257" i="3"/>
  <c r="D1256" i="3"/>
  <c r="B1256" i="3"/>
  <c r="D1255" i="3"/>
  <c r="A1255" i="3" s="1"/>
  <c r="B1255" i="3"/>
  <c r="D1254" i="3"/>
  <c r="A1254" i="3" s="1"/>
  <c r="B1254" i="3"/>
  <c r="D1253" i="3"/>
  <c r="A1253" i="3" s="1"/>
  <c r="B1253" i="3"/>
  <c r="D1252" i="3"/>
  <c r="A1252" i="3" s="1"/>
  <c r="B1252" i="3"/>
  <c r="D1251" i="3"/>
  <c r="A1251" i="3" s="1"/>
  <c r="B1251" i="3"/>
  <c r="B1250" i="3"/>
  <c r="D1249" i="3"/>
  <c r="A1249" i="3" s="1"/>
  <c r="B1249" i="3"/>
  <c r="D1248" i="3"/>
  <c r="A1248" i="3" s="1"/>
  <c r="B1248" i="3"/>
  <c r="D1247" i="3"/>
  <c r="A1247" i="3" s="1"/>
  <c r="B1247" i="3"/>
  <c r="D1246" i="3"/>
  <c r="A1246" i="3" s="1"/>
  <c r="B1246" i="3"/>
  <c r="D1245" i="3"/>
  <c r="A1245" i="3" s="1"/>
  <c r="B1245" i="3"/>
  <c r="D1244" i="3"/>
  <c r="A1244" i="3" s="1"/>
  <c r="B1244" i="3"/>
  <c r="D1243" i="3"/>
  <c r="A1243" i="3" s="1"/>
  <c r="B1243" i="3"/>
  <c r="D1242" i="3"/>
  <c r="A1242" i="3" s="1"/>
  <c r="B1242" i="3"/>
  <c r="D1241" i="3"/>
  <c r="A1241" i="3" s="1"/>
  <c r="B1241" i="3"/>
  <c r="D1240" i="3"/>
  <c r="A1240" i="3" s="1"/>
  <c r="B1240" i="3"/>
  <c r="D1239" i="3"/>
  <c r="A1239" i="3" s="1"/>
  <c r="B1239" i="3"/>
  <c r="D1238" i="3"/>
  <c r="B1238" i="3"/>
  <c r="D1237" i="3"/>
  <c r="A1237" i="3" s="1"/>
  <c r="B1237" i="3"/>
  <c r="D1236" i="3"/>
  <c r="A1236" i="3" s="1"/>
  <c r="B1236" i="3"/>
  <c r="D1235" i="3"/>
  <c r="A1235" i="3" s="1"/>
  <c r="B1235" i="3"/>
  <c r="D1234" i="3"/>
  <c r="A1234" i="3" s="1"/>
  <c r="B1234" i="3"/>
  <c r="D1233" i="3"/>
  <c r="A1233" i="3" s="1"/>
  <c r="B1233" i="3"/>
  <c r="D1232" i="3"/>
  <c r="A1232" i="3" s="1"/>
  <c r="B1232" i="3"/>
  <c r="D1231" i="3"/>
  <c r="A1231" i="3" s="1"/>
  <c r="B1231" i="3"/>
  <c r="D1230" i="3"/>
  <c r="A1230" i="3" s="1"/>
  <c r="B1230" i="3"/>
  <c r="D1229" i="3"/>
  <c r="A1229" i="3" s="1"/>
  <c r="B1229" i="3"/>
  <c r="D1228" i="3"/>
  <c r="B1228" i="3"/>
  <c r="D1227" i="3"/>
  <c r="A1227" i="3" s="1"/>
  <c r="B1227" i="3"/>
  <c r="D1226" i="3"/>
  <c r="A1226" i="3" s="1"/>
  <c r="B1226" i="3"/>
  <c r="D1225" i="3"/>
  <c r="A1225" i="3" s="1"/>
  <c r="B1225" i="3"/>
  <c r="D1224" i="3"/>
  <c r="A1224" i="3" s="1"/>
  <c r="B1224" i="3"/>
  <c r="D1223" i="3"/>
  <c r="A1223" i="3" s="1"/>
  <c r="B1223" i="3"/>
  <c r="D1222" i="3"/>
  <c r="A1222" i="3" s="1"/>
  <c r="B1222" i="3"/>
  <c r="D1221" i="3"/>
  <c r="A1221" i="3" s="1"/>
  <c r="B1221" i="3"/>
  <c r="D1220" i="3"/>
  <c r="A1220" i="3" s="1"/>
  <c r="B1220" i="3"/>
  <c r="D1219" i="3"/>
  <c r="A1219" i="3" s="1"/>
  <c r="B1219" i="3"/>
  <c r="D1218" i="3"/>
  <c r="A1218" i="3" s="1"/>
  <c r="B1218" i="3"/>
  <c r="D1217" i="3"/>
  <c r="A1217" i="3" s="1"/>
  <c r="B1217" i="3"/>
  <c r="D1216" i="3"/>
  <c r="B1216" i="3"/>
  <c r="D1215" i="3"/>
  <c r="A1215" i="3" s="1"/>
  <c r="B1215" i="3"/>
  <c r="D1214" i="3"/>
  <c r="A1214" i="3" s="1"/>
  <c r="B1214" i="3"/>
  <c r="D1213" i="3"/>
  <c r="A1213" i="3" s="1"/>
  <c r="B1213" i="3"/>
  <c r="D1212" i="3"/>
  <c r="A1212" i="3" s="1"/>
  <c r="B1212" i="3"/>
  <c r="D1211" i="3"/>
  <c r="A1211" i="3" s="1"/>
  <c r="B1211" i="3"/>
  <c r="B1210" i="3"/>
  <c r="D1209" i="3"/>
  <c r="A1209" i="3" s="1"/>
  <c r="B1209" i="3"/>
  <c r="D1208" i="3"/>
  <c r="A1208" i="3" s="1"/>
  <c r="B1208" i="3"/>
  <c r="D1207" i="3"/>
  <c r="A1207" i="3" s="1"/>
  <c r="B1207" i="3"/>
  <c r="D1206" i="3"/>
  <c r="A1206" i="3" s="1"/>
  <c r="B1206" i="3"/>
  <c r="D1205" i="3"/>
  <c r="A1205" i="3" s="1"/>
  <c r="B1205" i="3"/>
  <c r="D1204" i="3"/>
  <c r="A1204" i="3" s="1"/>
  <c r="B1204" i="3"/>
  <c r="D1203" i="3"/>
  <c r="A1203" i="3" s="1"/>
  <c r="B1203" i="3"/>
  <c r="D1202" i="3"/>
  <c r="A1202" i="3" s="1"/>
  <c r="B1202" i="3"/>
  <c r="D1201" i="3"/>
  <c r="A1201" i="3" s="1"/>
  <c r="B1201" i="3"/>
  <c r="D1200" i="3"/>
  <c r="A1200" i="3" s="1"/>
  <c r="B1200" i="3"/>
  <c r="D1199" i="3"/>
  <c r="A1199" i="3" s="1"/>
  <c r="B1199" i="3"/>
  <c r="D1198" i="3"/>
  <c r="B1198" i="3"/>
  <c r="D1197" i="3"/>
  <c r="A1197" i="3" s="1"/>
  <c r="B1197" i="3"/>
  <c r="D1196" i="3"/>
  <c r="A1196" i="3" s="1"/>
  <c r="B1196" i="3"/>
  <c r="D1195" i="3"/>
  <c r="A1195" i="3" s="1"/>
  <c r="B1195" i="3"/>
  <c r="D1194" i="3"/>
  <c r="A1194" i="3" s="1"/>
  <c r="B1194" i="3"/>
  <c r="D1193" i="3"/>
  <c r="A1193" i="3" s="1"/>
  <c r="B1193" i="3"/>
  <c r="D1192" i="3"/>
  <c r="A1192" i="3" s="1"/>
  <c r="B1192" i="3"/>
  <c r="D1191" i="3"/>
  <c r="A1191" i="3" s="1"/>
  <c r="B1191" i="3"/>
  <c r="D1190" i="3"/>
  <c r="A1190" i="3" s="1"/>
  <c r="B1190" i="3"/>
  <c r="D1189" i="3"/>
  <c r="A1189" i="3" s="1"/>
  <c r="B1189" i="3"/>
  <c r="D1188" i="3"/>
  <c r="A1188" i="3" s="1"/>
  <c r="B1188" i="3"/>
  <c r="D1187" i="3"/>
  <c r="A1187" i="3" s="1"/>
  <c r="B1187" i="3"/>
  <c r="D1186" i="3"/>
  <c r="B1186" i="3"/>
  <c r="D1185" i="3"/>
  <c r="A1185" i="3" s="1"/>
  <c r="B1185" i="3"/>
  <c r="D1184" i="3"/>
  <c r="A1184" i="3" s="1"/>
  <c r="B1184" i="3"/>
  <c r="D1183" i="3"/>
  <c r="A1183" i="3" s="1"/>
  <c r="B1183" i="3"/>
  <c r="D1182" i="3"/>
  <c r="A1182" i="3" s="1"/>
  <c r="B1182" i="3"/>
  <c r="D1181" i="3"/>
  <c r="A1181" i="3" s="1"/>
  <c r="B1181" i="3"/>
  <c r="D1180" i="3"/>
  <c r="A1180" i="3" s="1"/>
  <c r="B1180" i="3"/>
  <c r="D1179" i="3"/>
  <c r="A1179" i="3" s="1"/>
  <c r="B1179" i="3"/>
  <c r="D1178" i="3"/>
  <c r="B1178" i="3"/>
  <c r="D1177" i="3"/>
  <c r="A1177" i="3" s="1"/>
  <c r="B1177" i="3"/>
  <c r="D1176" i="3"/>
  <c r="A1176" i="3" s="1"/>
  <c r="B1176" i="3"/>
  <c r="D1175" i="3"/>
  <c r="A1175" i="3" s="1"/>
  <c r="B1175" i="3"/>
  <c r="D1174" i="3"/>
  <c r="A1174" i="3" s="1"/>
  <c r="B1174" i="3"/>
  <c r="D1173" i="3"/>
  <c r="A1173" i="3" s="1"/>
  <c r="B1173" i="3"/>
  <c r="D1172" i="3"/>
  <c r="A1172" i="3" s="1"/>
  <c r="B1172" i="3"/>
  <c r="D1171" i="3"/>
  <c r="A1171" i="3" s="1"/>
  <c r="B1171" i="3"/>
  <c r="D1170" i="3"/>
  <c r="B1170" i="3"/>
  <c r="D1169" i="3"/>
  <c r="A1169" i="3" s="1"/>
  <c r="B1169" i="3"/>
  <c r="D1168" i="3"/>
  <c r="A1168" i="3" s="1"/>
  <c r="B1168" i="3"/>
  <c r="D1167" i="3"/>
  <c r="A1167" i="3" s="1"/>
  <c r="B1167" i="3"/>
  <c r="B1166" i="3"/>
  <c r="D1165" i="3"/>
  <c r="A1165" i="3" s="1"/>
  <c r="B1165" i="3"/>
  <c r="D1164" i="3"/>
  <c r="A1164" i="3" s="1"/>
  <c r="B1164" i="3"/>
  <c r="D1163" i="3"/>
  <c r="A1163" i="3" s="1"/>
  <c r="B1163" i="3"/>
  <c r="D1162" i="3"/>
  <c r="A1162" i="3" s="1"/>
  <c r="B1162" i="3"/>
  <c r="D1161" i="3"/>
  <c r="A1161" i="3" s="1"/>
  <c r="B1161" i="3"/>
  <c r="D1160" i="3"/>
  <c r="A1160" i="3" s="1"/>
  <c r="B1160" i="3"/>
  <c r="D1159" i="3"/>
  <c r="A1159" i="3" s="1"/>
  <c r="B1159" i="3"/>
  <c r="D1158" i="3"/>
  <c r="A1158" i="3" s="1"/>
  <c r="B1158" i="3"/>
  <c r="D1157" i="3"/>
  <c r="A1157" i="3" s="1"/>
  <c r="B1157" i="3"/>
  <c r="D1156" i="3"/>
  <c r="A1156" i="3" s="1"/>
  <c r="B1156" i="3"/>
  <c r="D1155" i="3"/>
  <c r="A1155" i="3" s="1"/>
  <c r="B1155" i="3"/>
  <c r="B1154" i="3"/>
  <c r="D1153" i="3"/>
  <c r="A1153" i="3" s="1"/>
  <c r="B1153" i="3"/>
  <c r="D1152" i="3"/>
  <c r="A1152" i="3" s="1"/>
  <c r="B1152" i="3"/>
  <c r="D1151" i="3"/>
  <c r="A1151" i="3" s="1"/>
  <c r="B1151" i="3"/>
  <c r="D1150" i="3"/>
  <c r="B1150" i="3"/>
  <c r="A1150" i="3"/>
  <c r="D1149" i="3"/>
  <c r="A1149" i="3" s="1"/>
  <c r="B1149" i="3"/>
  <c r="D1148" i="3"/>
  <c r="A1148" i="3" s="1"/>
  <c r="B1148" i="3"/>
  <c r="D1147" i="3"/>
  <c r="A1147" i="3" s="1"/>
  <c r="B1147" i="3"/>
  <c r="D1146" i="3"/>
  <c r="A1146" i="3" s="1"/>
  <c r="B1146" i="3"/>
  <c r="D1145" i="3"/>
  <c r="A1145" i="3" s="1"/>
  <c r="B1145" i="3"/>
  <c r="D1144" i="3"/>
  <c r="A1144" i="3" s="1"/>
  <c r="B1144" i="3"/>
  <c r="D1143" i="3"/>
  <c r="A1143" i="3" s="1"/>
  <c r="B1143" i="3"/>
  <c r="B1142" i="3"/>
  <c r="D1141" i="3"/>
  <c r="A1141" i="3" s="1"/>
  <c r="B1141" i="3"/>
  <c r="D1140" i="3"/>
  <c r="A1140" i="3" s="1"/>
  <c r="B1140" i="3"/>
  <c r="D1139" i="3"/>
  <c r="A1139" i="3" s="1"/>
  <c r="B1139" i="3"/>
  <c r="B1138" i="3"/>
  <c r="D1137" i="3"/>
  <c r="A1137" i="3" s="1"/>
  <c r="B1137" i="3"/>
  <c r="D1136" i="3"/>
  <c r="A1136" i="3" s="1"/>
  <c r="B1136" i="3"/>
  <c r="D1135" i="3"/>
  <c r="A1135" i="3" s="1"/>
  <c r="B1135" i="3"/>
  <c r="D1134" i="3"/>
  <c r="A1134" i="3" s="1"/>
  <c r="B1134" i="3"/>
  <c r="D1133" i="3"/>
  <c r="A1133" i="3" s="1"/>
  <c r="B1133" i="3"/>
  <c r="D1132" i="3"/>
  <c r="A1132" i="3" s="1"/>
  <c r="B1132" i="3"/>
  <c r="D1131" i="3"/>
  <c r="A1131" i="3" s="1"/>
  <c r="B1131" i="3"/>
  <c r="B1130" i="3"/>
  <c r="D1129" i="3"/>
  <c r="A1129" i="3" s="1"/>
  <c r="B1129" i="3"/>
  <c r="D1128" i="3"/>
  <c r="A1128" i="3" s="1"/>
  <c r="B1128" i="3"/>
  <c r="D1127" i="3"/>
  <c r="A1127" i="3" s="1"/>
  <c r="B1127" i="3"/>
  <c r="D1126" i="3"/>
  <c r="A1126" i="3" s="1"/>
  <c r="B1126" i="3"/>
  <c r="D1125" i="3"/>
  <c r="A1125" i="3" s="1"/>
  <c r="B1125" i="3"/>
  <c r="D1124" i="3"/>
  <c r="A1124" i="3" s="1"/>
  <c r="B1124" i="3"/>
  <c r="D1123" i="3"/>
  <c r="B1123" i="3"/>
  <c r="B1122" i="3"/>
  <c r="D1121" i="3"/>
  <c r="B1121" i="3"/>
  <c r="D1120" i="3"/>
  <c r="A1120" i="3" s="1"/>
  <c r="B1120" i="3"/>
  <c r="D1119" i="3"/>
  <c r="A1119" i="3" s="1"/>
  <c r="B1119" i="3"/>
  <c r="D1118" i="3"/>
  <c r="B1118" i="3"/>
  <c r="D1117" i="3"/>
  <c r="A1117" i="3" s="1"/>
  <c r="B1117" i="3"/>
  <c r="D1116" i="3"/>
  <c r="A1116" i="3" s="1"/>
  <c r="B1116" i="3"/>
  <c r="D1115" i="3"/>
  <c r="F1115" i="3" s="1"/>
  <c r="B1115" i="3"/>
  <c r="D1114" i="3"/>
  <c r="B1114" i="3"/>
  <c r="D1113" i="3"/>
  <c r="A1113" i="3" s="1"/>
  <c r="B1113" i="3"/>
  <c r="D1112" i="3"/>
  <c r="B1112" i="3"/>
  <c r="D1111" i="3"/>
  <c r="B1111" i="3"/>
  <c r="D1110" i="3"/>
  <c r="A1110" i="3" s="1"/>
  <c r="B1110" i="3"/>
  <c r="D1109" i="3"/>
  <c r="B1109" i="3"/>
  <c r="D1108" i="3"/>
  <c r="A1108" i="3" s="1"/>
  <c r="B1108" i="3"/>
  <c r="D1107" i="3"/>
  <c r="A1107" i="3" s="1"/>
  <c r="B1107" i="3"/>
  <c r="B1106" i="3"/>
  <c r="D1105" i="3"/>
  <c r="A1105" i="3" s="1"/>
  <c r="B1105" i="3"/>
  <c r="D1104" i="3"/>
  <c r="A1104" i="3" s="1"/>
  <c r="B1104" i="3"/>
  <c r="D1103" i="3"/>
  <c r="A1103" i="3" s="1"/>
  <c r="B1103" i="3"/>
  <c r="D1102" i="3"/>
  <c r="B1102" i="3"/>
  <c r="D1101" i="3"/>
  <c r="A1101" i="3" s="1"/>
  <c r="B1101" i="3"/>
  <c r="D1100" i="3"/>
  <c r="A1100" i="3" s="1"/>
  <c r="B1100" i="3"/>
  <c r="D1099" i="3"/>
  <c r="A1099" i="3" s="1"/>
  <c r="B1099" i="3"/>
  <c r="D1098" i="3"/>
  <c r="A1098" i="3" s="1"/>
  <c r="B1098" i="3"/>
  <c r="D1097" i="3"/>
  <c r="A1097" i="3" s="1"/>
  <c r="B1097" i="3"/>
  <c r="D1096" i="3"/>
  <c r="A1096" i="3" s="1"/>
  <c r="B1096" i="3"/>
  <c r="D1095" i="3"/>
  <c r="A1095" i="3" s="1"/>
  <c r="B1095" i="3"/>
  <c r="D1094" i="3"/>
  <c r="B1094" i="3"/>
  <c r="D1093" i="3"/>
  <c r="A1093" i="3" s="1"/>
  <c r="B1093" i="3"/>
  <c r="D1092" i="3"/>
  <c r="A1092" i="3" s="1"/>
  <c r="B1092" i="3"/>
  <c r="D1091" i="3"/>
  <c r="A1091" i="3" s="1"/>
  <c r="B1091" i="3"/>
  <c r="D1090" i="3"/>
  <c r="A1090" i="3" s="1"/>
  <c r="B1090" i="3"/>
  <c r="D1089" i="3"/>
  <c r="A1089" i="3" s="1"/>
  <c r="B1089" i="3"/>
  <c r="D1088" i="3"/>
  <c r="B1088" i="3"/>
  <c r="D1087" i="3"/>
  <c r="A1087" i="3" s="1"/>
  <c r="B1087" i="3"/>
  <c r="D1086" i="3"/>
  <c r="A1086" i="3" s="1"/>
  <c r="B1086" i="3"/>
  <c r="D1085" i="3"/>
  <c r="A1085" i="3" s="1"/>
  <c r="B1085" i="3"/>
  <c r="D1084" i="3"/>
  <c r="A1084" i="3" s="1"/>
  <c r="B1084" i="3"/>
  <c r="D1083" i="3"/>
  <c r="A1083" i="3" s="1"/>
  <c r="B1083" i="3"/>
  <c r="B1082" i="3"/>
  <c r="D1081" i="3"/>
  <c r="A1081" i="3" s="1"/>
  <c r="B1081" i="3"/>
  <c r="D1080" i="3"/>
  <c r="A1080" i="3" s="1"/>
  <c r="B1080" i="3"/>
  <c r="D1079" i="3"/>
  <c r="A1079" i="3" s="1"/>
  <c r="B1079" i="3"/>
  <c r="D1078" i="3"/>
  <c r="A1078" i="3" s="1"/>
  <c r="B1078" i="3"/>
  <c r="D1077" i="3"/>
  <c r="A1077" i="3" s="1"/>
  <c r="B1077" i="3"/>
  <c r="D1076" i="3"/>
  <c r="A1076" i="3" s="1"/>
  <c r="B1076" i="3"/>
  <c r="D1075" i="3"/>
  <c r="A1075" i="3" s="1"/>
  <c r="B1075" i="3"/>
  <c r="D1074" i="3"/>
  <c r="A1074" i="3" s="1"/>
  <c r="B1074" i="3"/>
  <c r="D1073" i="3"/>
  <c r="A1073" i="3" s="1"/>
  <c r="B1073" i="3"/>
  <c r="D1072" i="3"/>
  <c r="A1072" i="3" s="1"/>
  <c r="B1072" i="3"/>
  <c r="D1071" i="3"/>
  <c r="A1071" i="3" s="1"/>
  <c r="B1071" i="3"/>
  <c r="D1070" i="3"/>
  <c r="B1070" i="3"/>
  <c r="D1069" i="3"/>
  <c r="A1069" i="3" s="1"/>
  <c r="B1069" i="3"/>
  <c r="D1068" i="3"/>
  <c r="A1068" i="3" s="1"/>
  <c r="B1068" i="3"/>
  <c r="D1067" i="3"/>
  <c r="A1067" i="3" s="1"/>
  <c r="B1067" i="3"/>
  <c r="D1066" i="3"/>
  <c r="A1066" i="3" s="1"/>
  <c r="B1066" i="3"/>
  <c r="D1065" i="3"/>
  <c r="A1065" i="3" s="1"/>
  <c r="B1065" i="3"/>
  <c r="B1064" i="3"/>
  <c r="D1063" i="3"/>
  <c r="A1063" i="3" s="1"/>
  <c r="B1063" i="3"/>
  <c r="D1062" i="3"/>
  <c r="A1062" i="3" s="1"/>
  <c r="B1062" i="3"/>
  <c r="D1061" i="3"/>
  <c r="A1061" i="3" s="1"/>
  <c r="B1061" i="3"/>
  <c r="D1060" i="3"/>
  <c r="A1060" i="3" s="1"/>
  <c r="B1060" i="3"/>
  <c r="D1059" i="3"/>
  <c r="A1059" i="3" s="1"/>
  <c r="B1059" i="3"/>
  <c r="B1058" i="3"/>
  <c r="D1057" i="3"/>
  <c r="A1057" i="3" s="1"/>
  <c r="B1057" i="3"/>
  <c r="D1056" i="3"/>
  <c r="A1056" i="3" s="1"/>
  <c r="B1056" i="3"/>
  <c r="D1055" i="3"/>
  <c r="A1055" i="3" s="1"/>
  <c r="B1055" i="3"/>
  <c r="D1054" i="3"/>
  <c r="A1054" i="3" s="1"/>
  <c r="B1054" i="3"/>
  <c r="D1053" i="3"/>
  <c r="A1053" i="3" s="1"/>
  <c r="B1053" i="3"/>
  <c r="D1052" i="3"/>
  <c r="A1052" i="3" s="1"/>
  <c r="B1052" i="3"/>
  <c r="D1051" i="3"/>
  <c r="A1051" i="3" s="1"/>
  <c r="B1051" i="3"/>
  <c r="D1050" i="3"/>
  <c r="A1050" i="3" s="1"/>
  <c r="B1050" i="3"/>
  <c r="D1049" i="3"/>
  <c r="A1049" i="3" s="1"/>
  <c r="B1049" i="3"/>
  <c r="D1048" i="3"/>
  <c r="A1048" i="3" s="1"/>
  <c r="B1048" i="3"/>
  <c r="D1047" i="3"/>
  <c r="A1047" i="3" s="1"/>
  <c r="B1047" i="3"/>
  <c r="B1046" i="3"/>
  <c r="D1045" i="3"/>
  <c r="A1045" i="3" s="1"/>
  <c r="B1045" i="3"/>
  <c r="D1044" i="3"/>
  <c r="A1044" i="3" s="1"/>
  <c r="B1044" i="3"/>
  <c r="D1043" i="3"/>
  <c r="A1043" i="3" s="1"/>
  <c r="B1043" i="3"/>
  <c r="D1042" i="3"/>
  <c r="A1042" i="3" s="1"/>
  <c r="B1042" i="3"/>
  <c r="D1041" i="3"/>
  <c r="A1041" i="3" s="1"/>
  <c r="B1041" i="3"/>
  <c r="D1040" i="3"/>
  <c r="B1040" i="3"/>
  <c r="D1039" i="3"/>
  <c r="A1039" i="3" s="1"/>
  <c r="B1039" i="3"/>
  <c r="D1038" i="3"/>
  <c r="A1038" i="3" s="1"/>
  <c r="B1038" i="3"/>
  <c r="D1037" i="3"/>
  <c r="A1037" i="3" s="1"/>
  <c r="B1037" i="3"/>
  <c r="D1036" i="3"/>
  <c r="A1036" i="3" s="1"/>
  <c r="B1036" i="3"/>
  <c r="D1035" i="3"/>
  <c r="A1035" i="3" s="1"/>
  <c r="B1035" i="3"/>
  <c r="B1034" i="3"/>
  <c r="D1033" i="3"/>
  <c r="A1033" i="3" s="1"/>
  <c r="B1033" i="3"/>
  <c r="D1032" i="3"/>
  <c r="A1032" i="3" s="1"/>
  <c r="B1032" i="3"/>
  <c r="D1031" i="3"/>
  <c r="A1031" i="3" s="1"/>
  <c r="B1031" i="3"/>
  <c r="D1030" i="3"/>
  <c r="A1030" i="3" s="1"/>
  <c r="B1030" i="3"/>
  <c r="D1029" i="3"/>
  <c r="A1029" i="3" s="1"/>
  <c r="B1029" i="3"/>
  <c r="B1028" i="3"/>
  <c r="D1027" i="3"/>
  <c r="A1027" i="3" s="1"/>
  <c r="B1027" i="3"/>
  <c r="D1026" i="3"/>
  <c r="A1026" i="3" s="1"/>
  <c r="B1026" i="3"/>
  <c r="D1025" i="3"/>
  <c r="A1025" i="3" s="1"/>
  <c r="B1025" i="3"/>
  <c r="D1024" i="3"/>
  <c r="A1024" i="3" s="1"/>
  <c r="B1024" i="3"/>
  <c r="D1023" i="3"/>
  <c r="A1023" i="3" s="1"/>
  <c r="B1023" i="3"/>
  <c r="B1022" i="3"/>
  <c r="D1021" i="3"/>
  <c r="A1021" i="3" s="1"/>
  <c r="B1021" i="3"/>
  <c r="D1020" i="3"/>
  <c r="A1020" i="3" s="1"/>
  <c r="B1020" i="3"/>
  <c r="D1019" i="3"/>
  <c r="A1019" i="3" s="1"/>
  <c r="B1019" i="3"/>
  <c r="D1018" i="3"/>
  <c r="B1018" i="3"/>
  <c r="D1017" i="3"/>
  <c r="A1017" i="3" s="1"/>
  <c r="B1017" i="3"/>
  <c r="D1016" i="3"/>
  <c r="A1016" i="3" s="1"/>
  <c r="B1016" i="3"/>
  <c r="D1015" i="3"/>
  <c r="A1015" i="3" s="1"/>
  <c r="B1015" i="3"/>
  <c r="D1014" i="3"/>
  <c r="A1014" i="3" s="1"/>
  <c r="B1014" i="3"/>
  <c r="D1013" i="3"/>
  <c r="A1013" i="3" s="1"/>
  <c r="B1013" i="3"/>
  <c r="D1012" i="3"/>
  <c r="A1012" i="3" s="1"/>
  <c r="B1012" i="3"/>
  <c r="D1011" i="3"/>
  <c r="A1011" i="3" s="1"/>
  <c r="B1011" i="3"/>
  <c r="B1010" i="3"/>
  <c r="D1009" i="3"/>
  <c r="A1009" i="3" s="1"/>
  <c r="B1009" i="3"/>
  <c r="D1008" i="3"/>
  <c r="A1008" i="3" s="1"/>
  <c r="B1008" i="3"/>
  <c r="D1007" i="3"/>
  <c r="A1007" i="3" s="1"/>
  <c r="B1007" i="3"/>
  <c r="D1006" i="3"/>
  <c r="A1006" i="3" s="1"/>
  <c r="B1006" i="3"/>
  <c r="D1005" i="3"/>
  <c r="B1005" i="3"/>
  <c r="D1004" i="3"/>
  <c r="B1004" i="3"/>
  <c r="D1003" i="3"/>
  <c r="B1003" i="3"/>
  <c r="D1002" i="3"/>
  <c r="A1002" i="3" s="1"/>
  <c r="B1002" i="3"/>
  <c r="D1001" i="3"/>
  <c r="A1001" i="3" s="1"/>
  <c r="B1001" i="3"/>
  <c r="D1000" i="3"/>
  <c r="A1000" i="3" s="1"/>
  <c r="B1000" i="3"/>
  <c r="D999" i="3"/>
  <c r="A999" i="3" s="1"/>
  <c r="B999" i="3"/>
  <c r="B998" i="3"/>
  <c r="D997" i="3"/>
  <c r="A997" i="3" s="1"/>
  <c r="B997" i="3"/>
  <c r="D996" i="3"/>
  <c r="B996" i="3"/>
  <c r="D995" i="3"/>
  <c r="A995" i="3" s="1"/>
  <c r="B995" i="3"/>
  <c r="D994" i="3"/>
  <c r="A994" i="3" s="1"/>
  <c r="B994" i="3"/>
  <c r="D993" i="3"/>
  <c r="A993" i="3" s="1"/>
  <c r="B993" i="3"/>
  <c r="D992" i="3"/>
  <c r="A992" i="3" s="1"/>
  <c r="B992" i="3"/>
  <c r="D991" i="3"/>
  <c r="B991" i="3"/>
  <c r="D990" i="3"/>
  <c r="A990" i="3" s="1"/>
  <c r="B990" i="3"/>
  <c r="D989" i="3"/>
  <c r="A989" i="3" s="1"/>
  <c r="B989" i="3"/>
  <c r="D988" i="3"/>
  <c r="B988" i="3"/>
  <c r="D987" i="3"/>
  <c r="A987" i="3" s="1"/>
  <c r="B987" i="3"/>
  <c r="D986" i="3"/>
  <c r="B986" i="3"/>
  <c r="D985" i="3"/>
  <c r="A985" i="3" s="1"/>
  <c r="B985" i="3"/>
  <c r="D984" i="3"/>
  <c r="B984" i="3"/>
  <c r="D983" i="3"/>
  <c r="A983" i="3" s="1"/>
  <c r="B983" i="3"/>
  <c r="D982" i="3"/>
  <c r="A982" i="3" s="1"/>
  <c r="B982" i="3"/>
  <c r="D981" i="3"/>
  <c r="A981" i="3" s="1"/>
  <c r="B981" i="3"/>
  <c r="D980" i="3"/>
  <c r="A980" i="3" s="1"/>
  <c r="B980" i="3"/>
  <c r="D979" i="3"/>
  <c r="A979" i="3" s="1"/>
  <c r="B979" i="3"/>
  <c r="D978" i="3"/>
  <c r="B978" i="3"/>
  <c r="D977" i="3"/>
  <c r="A977" i="3" s="1"/>
  <c r="B977" i="3"/>
  <c r="D976" i="3"/>
  <c r="A976" i="3" s="1"/>
  <c r="B976" i="3"/>
  <c r="D975" i="3"/>
  <c r="A975" i="3" s="1"/>
  <c r="B975" i="3"/>
  <c r="D974" i="3"/>
  <c r="A974" i="3" s="1"/>
  <c r="B974" i="3"/>
  <c r="D973" i="3"/>
  <c r="A973" i="3" s="1"/>
  <c r="B973" i="3"/>
  <c r="D972" i="3"/>
  <c r="A972" i="3" s="1"/>
  <c r="B972" i="3"/>
  <c r="D971" i="3"/>
  <c r="A971" i="3" s="1"/>
  <c r="B971" i="3"/>
  <c r="D970" i="3"/>
  <c r="A970" i="3" s="1"/>
  <c r="B970" i="3"/>
  <c r="D969" i="3"/>
  <c r="A969" i="3" s="1"/>
  <c r="B969" i="3"/>
  <c r="D968" i="3"/>
  <c r="B968" i="3"/>
  <c r="D967" i="3"/>
  <c r="A967" i="3" s="1"/>
  <c r="B967" i="3"/>
  <c r="D966" i="3"/>
  <c r="A966" i="3" s="1"/>
  <c r="B966" i="3"/>
  <c r="D965" i="3"/>
  <c r="A965" i="3" s="1"/>
  <c r="B965" i="3"/>
  <c r="D964" i="3"/>
  <c r="A964" i="3" s="1"/>
  <c r="B964" i="3"/>
  <c r="D963" i="3"/>
  <c r="A963" i="3" s="1"/>
  <c r="B963" i="3"/>
  <c r="B962" i="3"/>
  <c r="D961" i="3"/>
  <c r="A961" i="3" s="1"/>
  <c r="B961" i="3"/>
  <c r="D960" i="3"/>
  <c r="A960" i="3" s="1"/>
  <c r="B960" i="3"/>
  <c r="D959" i="3"/>
  <c r="A959" i="3" s="1"/>
  <c r="B959" i="3"/>
  <c r="D958" i="3"/>
  <c r="A958" i="3" s="1"/>
  <c r="B958" i="3"/>
  <c r="D957" i="3"/>
  <c r="A957" i="3" s="1"/>
  <c r="B957" i="3"/>
  <c r="D956" i="3"/>
  <c r="A956" i="3" s="1"/>
  <c r="B956" i="3"/>
  <c r="D955" i="3"/>
  <c r="A955" i="3" s="1"/>
  <c r="B955" i="3"/>
  <c r="D954" i="3"/>
  <c r="A954" i="3" s="1"/>
  <c r="B954" i="3"/>
  <c r="D953" i="3"/>
  <c r="A953" i="3" s="1"/>
  <c r="B953" i="3"/>
  <c r="D952" i="3"/>
  <c r="A952" i="3" s="1"/>
  <c r="B952" i="3"/>
  <c r="D951" i="3"/>
  <c r="A951" i="3" s="1"/>
  <c r="B951" i="3"/>
  <c r="D950" i="3"/>
  <c r="B950" i="3"/>
  <c r="D949" i="3"/>
  <c r="A949" i="3" s="1"/>
  <c r="B949" i="3"/>
  <c r="D948" i="3"/>
  <c r="A948" i="3" s="1"/>
  <c r="B948" i="3"/>
  <c r="D947" i="3"/>
  <c r="A947" i="3" s="1"/>
  <c r="B947" i="3"/>
  <c r="D946" i="3"/>
  <c r="A946" i="3" s="1"/>
  <c r="B946" i="3"/>
  <c r="D945" i="3"/>
  <c r="A945" i="3" s="1"/>
  <c r="B945" i="3"/>
  <c r="D944" i="3"/>
  <c r="A944" i="3" s="1"/>
  <c r="B944" i="3"/>
  <c r="D943" i="3"/>
  <c r="A943" i="3" s="1"/>
  <c r="B943" i="3"/>
  <c r="D942" i="3"/>
  <c r="A942" i="3" s="1"/>
  <c r="B942" i="3"/>
  <c r="D941" i="3"/>
  <c r="A941" i="3" s="1"/>
  <c r="B941" i="3"/>
  <c r="D940" i="3"/>
  <c r="B940" i="3"/>
  <c r="D939" i="3"/>
  <c r="A939" i="3" s="1"/>
  <c r="B939" i="3"/>
  <c r="D938" i="3"/>
  <c r="A938" i="3" s="1"/>
  <c r="B938" i="3"/>
  <c r="D937" i="3"/>
  <c r="A937" i="3" s="1"/>
  <c r="B937" i="3"/>
  <c r="D936" i="3"/>
  <c r="A936" i="3" s="1"/>
  <c r="B936" i="3"/>
  <c r="D935" i="3"/>
  <c r="A935" i="3" s="1"/>
  <c r="B935" i="3"/>
  <c r="D934" i="3"/>
  <c r="A934" i="3" s="1"/>
  <c r="B934" i="3"/>
  <c r="D933" i="3"/>
  <c r="A933" i="3" s="1"/>
  <c r="B933" i="3"/>
  <c r="D932" i="3"/>
  <c r="A932" i="3" s="1"/>
  <c r="B932" i="3"/>
  <c r="D931" i="3"/>
  <c r="A931" i="3" s="1"/>
  <c r="B931" i="3"/>
  <c r="D930" i="3"/>
  <c r="A930" i="3" s="1"/>
  <c r="B930" i="3"/>
  <c r="D929" i="3"/>
  <c r="A929" i="3" s="1"/>
  <c r="B929" i="3"/>
  <c r="D928" i="3"/>
  <c r="B928" i="3"/>
  <c r="D927" i="3"/>
  <c r="A927" i="3" s="1"/>
  <c r="B927" i="3"/>
  <c r="D926" i="3"/>
  <c r="A926" i="3" s="1"/>
  <c r="B926" i="3"/>
  <c r="D925" i="3"/>
  <c r="A925" i="3" s="1"/>
  <c r="B925" i="3"/>
  <c r="D924" i="3"/>
  <c r="A924" i="3" s="1"/>
  <c r="B924" i="3"/>
  <c r="D923" i="3"/>
  <c r="A923" i="3" s="1"/>
  <c r="B923" i="3"/>
  <c r="B922" i="3"/>
  <c r="D921" i="3"/>
  <c r="A921" i="3" s="1"/>
  <c r="B921" i="3"/>
  <c r="D920" i="3"/>
  <c r="A920" i="3" s="1"/>
  <c r="B920" i="3"/>
  <c r="D919" i="3"/>
  <c r="A919" i="3" s="1"/>
  <c r="B919" i="3"/>
  <c r="D918" i="3"/>
  <c r="A918" i="3" s="1"/>
  <c r="B918" i="3"/>
  <c r="D917" i="3"/>
  <c r="A917" i="3" s="1"/>
  <c r="B917" i="3"/>
  <c r="D916" i="3"/>
  <c r="A916" i="3" s="1"/>
  <c r="B916" i="3"/>
  <c r="D915" i="3"/>
  <c r="A915" i="3" s="1"/>
  <c r="B915" i="3"/>
  <c r="D914" i="3"/>
  <c r="A914" i="3" s="1"/>
  <c r="B914" i="3"/>
  <c r="D913" i="3"/>
  <c r="A913" i="3" s="1"/>
  <c r="B913" i="3"/>
  <c r="D912" i="3"/>
  <c r="A912" i="3" s="1"/>
  <c r="B912" i="3"/>
  <c r="D911" i="3"/>
  <c r="A911" i="3" s="1"/>
  <c r="B911" i="3"/>
  <c r="D910" i="3"/>
  <c r="B910" i="3"/>
  <c r="D909" i="3"/>
  <c r="A909" i="3" s="1"/>
  <c r="B909" i="3"/>
  <c r="D908" i="3"/>
  <c r="A908" i="3" s="1"/>
  <c r="B908" i="3"/>
  <c r="D907" i="3"/>
  <c r="A907" i="3" s="1"/>
  <c r="B907" i="3"/>
  <c r="D906" i="3"/>
  <c r="A906" i="3" s="1"/>
  <c r="B906" i="3"/>
  <c r="D905" i="3"/>
  <c r="A905" i="3" s="1"/>
  <c r="B905" i="3"/>
  <c r="D904" i="3"/>
  <c r="A904" i="3" s="1"/>
  <c r="B904" i="3"/>
  <c r="D903" i="3"/>
  <c r="A903" i="3" s="1"/>
  <c r="B903" i="3"/>
  <c r="D902" i="3"/>
  <c r="A902" i="3" s="1"/>
  <c r="B902" i="3"/>
  <c r="D901" i="3"/>
  <c r="A901" i="3" s="1"/>
  <c r="B901" i="3"/>
  <c r="D900" i="3"/>
  <c r="A900" i="3" s="1"/>
  <c r="B900" i="3"/>
  <c r="D899" i="3"/>
  <c r="A899" i="3" s="1"/>
  <c r="B899" i="3"/>
  <c r="D898" i="3"/>
  <c r="B898" i="3"/>
  <c r="D897" i="3"/>
  <c r="A897" i="3" s="1"/>
  <c r="B897" i="3"/>
  <c r="D896" i="3"/>
  <c r="A896" i="3" s="1"/>
  <c r="B896" i="3"/>
  <c r="D895" i="3"/>
  <c r="A895" i="3" s="1"/>
  <c r="B895" i="3"/>
  <c r="D894" i="3"/>
  <c r="A894" i="3" s="1"/>
  <c r="B894" i="3"/>
  <c r="D893" i="3"/>
  <c r="A893" i="3" s="1"/>
  <c r="B893" i="3"/>
  <c r="D892" i="3"/>
  <c r="A892" i="3" s="1"/>
  <c r="B892" i="3"/>
  <c r="D891" i="3"/>
  <c r="A891" i="3" s="1"/>
  <c r="B891" i="3"/>
  <c r="D890" i="3"/>
  <c r="B890" i="3"/>
  <c r="D889" i="3"/>
  <c r="A889" i="3" s="1"/>
  <c r="B889" i="3"/>
  <c r="D888" i="3"/>
  <c r="A888" i="3" s="1"/>
  <c r="B888" i="3"/>
  <c r="D887" i="3"/>
  <c r="A887" i="3" s="1"/>
  <c r="B887" i="3"/>
  <c r="D886" i="3"/>
  <c r="A886" i="3" s="1"/>
  <c r="B886" i="3"/>
  <c r="D885" i="3"/>
  <c r="A885" i="3" s="1"/>
  <c r="B885" i="3"/>
  <c r="D884" i="3"/>
  <c r="A884" i="3" s="1"/>
  <c r="B884" i="3"/>
  <c r="D883" i="3"/>
  <c r="A883" i="3" s="1"/>
  <c r="B883" i="3"/>
  <c r="D882" i="3"/>
  <c r="B882" i="3"/>
  <c r="D881" i="3"/>
  <c r="A881" i="3" s="1"/>
  <c r="B881" i="3"/>
  <c r="D880" i="3"/>
  <c r="A880" i="3" s="1"/>
  <c r="B880" i="3"/>
  <c r="D879" i="3"/>
  <c r="A879" i="3" s="1"/>
  <c r="B879" i="3"/>
  <c r="B878" i="3"/>
  <c r="D877" i="3"/>
  <c r="A877" i="3" s="1"/>
  <c r="B877" i="3"/>
  <c r="D876" i="3"/>
  <c r="A876" i="3" s="1"/>
  <c r="B876" i="3"/>
  <c r="D875" i="3"/>
  <c r="A875" i="3" s="1"/>
  <c r="B875" i="3"/>
  <c r="D874" i="3"/>
  <c r="A874" i="3" s="1"/>
  <c r="B874" i="3"/>
  <c r="D873" i="3"/>
  <c r="A873" i="3" s="1"/>
  <c r="B873" i="3"/>
  <c r="D872" i="3"/>
  <c r="A872" i="3" s="1"/>
  <c r="B872" i="3"/>
  <c r="D871" i="3"/>
  <c r="A871" i="3" s="1"/>
  <c r="B871" i="3"/>
  <c r="D870" i="3"/>
  <c r="A870" i="3" s="1"/>
  <c r="B870" i="3"/>
  <c r="D869" i="3"/>
  <c r="A869" i="3" s="1"/>
  <c r="B869" i="3"/>
  <c r="D868" i="3"/>
  <c r="A868" i="3" s="1"/>
  <c r="B868" i="3"/>
  <c r="D867" i="3"/>
  <c r="A867" i="3" s="1"/>
  <c r="B867" i="3"/>
  <c r="B866" i="3"/>
  <c r="D865" i="3"/>
  <c r="A865" i="3" s="1"/>
  <c r="B865" i="3"/>
  <c r="D864" i="3"/>
  <c r="A864" i="3" s="1"/>
  <c r="B864" i="3"/>
  <c r="D863" i="3"/>
  <c r="A863" i="3" s="1"/>
  <c r="B863" i="3"/>
  <c r="D862" i="3"/>
  <c r="A862" i="3" s="1"/>
  <c r="B862" i="3"/>
  <c r="D861" i="3"/>
  <c r="A861" i="3" s="1"/>
  <c r="B861" i="3"/>
  <c r="D860" i="3"/>
  <c r="A860" i="3" s="1"/>
  <c r="B860" i="3"/>
  <c r="D859" i="3"/>
  <c r="A859" i="3" s="1"/>
  <c r="B859" i="3"/>
  <c r="D858" i="3"/>
  <c r="A858" i="3" s="1"/>
  <c r="B858" i="3"/>
  <c r="D857" i="3"/>
  <c r="A857" i="3" s="1"/>
  <c r="B857" i="3"/>
  <c r="D856" i="3"/>
  <c r="A856" i="3" s="1"/>
  <c r="B856" i="3"/>
  <c r="D855" i="3"/>
  <c r="A855" i="3" s="1"/>
  <c r="B855" i="3"/>
  <c r="B854" i="3"/>
  <c r="D853" i="3"/>
  <c r="A853" i="3" s="1"/>
  <c r="B853" i="3"/>
  <c r="D852" i="3"/>
  <c r="A852" i="3" s="1"/>
  <c r="B852" i="3"/>
  <c r="D851" i="3"/>
  <c r="A851" i="3" s="1"/>
  <c r="B851" i="3"/>
  <c r="B850" i="3"/>
  <c r="D849" i="3"/>
  <c r="B849" i="3"/>
  <c r="D848" i="3"/>
  <c r="A848" i="3" s="1"/>
  <c r="B848" i="3"/>
  <c r="D847" i="3"/>
  <c r="A847" i="3" s="1"/>
  <c r="B847" i="3"/>
  <c r="D846" i="3"/>
  <c r="A846" i="3" s="1"/>
  <c r="B846" i="3"/>
  <c r="D845" i="3"/>
  <c r="A845" i="3" s="1"/>
  <c r="B845" i="3"/>
  <c r="D844" i="3"/>
  <c r="A844" i="3" s="1"/>
  <c r="B844" i="3"/>
  <c r="D843" i="3"/>
  <c r="A843" i="3" s="1"/>
  <c r="B843" i="3"/>
  <c r="B842" i="3"/>
  <c r="D841" i="3"/>
  <c r="A841" i="3" s="1"/>
  <c r="B841" i="3"/>
  <c r="D840" i="3"/>
  <c r="A840" i="3" s="1"/>
  <c r="B840" i="3"/>
  <c r="D839" i="3"/>
  <c r="A839" i="3" s="1"/>
  <c r="B839" i="3"/>
  <c r="D838" i="3"/>
  <c r="A838" i="3" s="1"/>
  <c r="B838" i="3"/>
  <c r="D837" i="3"/>
  <c r="A837" i="3" s="1"/>
  <c r="B837" i="3"/>
  <c r="D836" i="3"/>
  <c r="A836" i="3" s="1"/>
  <c r="B836" i="3"/>
  <c r="D835" i="3"/>
  <c r="A835" i="3" s="1"/>
  <c r="B835" i="3"/>
  <c r="B834" i="3"/>
  <c r="D833" i="3"/>
  <c r="A833" i="3" s="1"/>
  <c r="B833" i="3"/>
  <c r="D832" i="3"/>
  <c r="A832" i="3" s="1"/>
  <c r="B832" i="3"/>
  <c r="D831" i="3"/>
  <c r="A831" i="3" s="1"/>
  <c r="B831" i="3"/>
  <c r="D830" i="3"/>
  <c r="A830" i="3" s="1"/>
  <c r="B830" i="3"/>
  <c r="D829" i="3"/>
  <c r="A829" i="3" s="1"/>
  <c r="B829" i="3"/>
  <c r="D828" i="3"/>
  <c r="A828" i="3" s="1"/>
  <c r="B828" i="3"/>
  <c r="D827" i="3"/>
  <c r="A827" i="3" s="1"/>
  <c r="B827" i="3"/>
  <c r="D826" i="3"/>
  <c r="A826" i="3" s="1"/>
  <c r="B826" i="3"/>
  <c r="D825" i="3"/>
  <c r="A825" i="3" s="1"/>
  <c r="B825" i="3"/>
  <c r="D824" i="3"/>
  <c r="B824" i="3"/>
  <c r="D823" i="3"/>
  <c r="A823" i="3" s="1"/>
  <c r="B823" i="3"/>
  <c r="D822" i="3"/>
  <c r="A822" i="3" s="1"/>
  <c r="B822" i="3"/>
  <c r="D821" i="3"/>
  <c r="A821" i="3" s="1"/>
  <c r="B821" i="3"/>
  <c r="D820" i="3"/>
  <c r="A820" i="3" s="1"/>
  <c r="B820" i="3"/>
  <c r="D819" i="3"/>
  <c r="A819" i="3" s="1"/>
  <c r="B819" i="3"/>
  <c r="B818" i="3"/>
  <c r="D817" i="3"/>
  <c r="A817" i="3" s="1"/>
  <c r="B817" i="3"/>
  <c r="D816" i="3"/>
  <c r="A816" i="3" s="1"/>
  <c r="B816" i="3"/>
  <c r="D815" i="3"/>
  <c r="A815" i="3" s="1"/>
  <c r="B815" i="3"/>
  <c r="D814" i="3"/>
  <c r="A814" i="3" s="1"/>
  <c r="B814" i="3"/>
  <c r="D813" i="3"/>
  <c r="A813" i="3" s="1"/>
  <c r="B813" i="3"/>
  <c r="D812" i="3"/>
  <c r="A812" i="3" s="1"/>
  <c r="B812" i="3"/>
  <c r="D811" i="3"/>
  <c r="A811" i="3" s="1"/>
  <c r="B811" i="3"/>
  <c r="D810" i="3"/>
  <c r="A810" i="3" s="1"/>
  <c r="B810" i="3"/>
  <c r="D809" i="3"/>
  <c r="A809" i="3" s="1"/>
  <c r="B809" i="3"/>
  <c r="D808" i="3"/>
  <c r="A808" i="3" s="1"/>
  <c r="B808" i="3"/>
  <c r="D807" i="3"/>
  <c r="A807" i="3" s="1"/>
  <c r="B807" i="3"/>
  <c r="D806" i="3"/>
  <c r="B806" i="3"/>
  <c r="D805" i="3"/>
  <c r="A805" i="3" s="1"/>
  <c r="B805" i="3"/>
  <c r="D804" i="3"/>
  <c r="A804" i="3" s="1"/>
  <c r="B804" i="3"/>
  <c r="D803" i="3"/>
  <c r="A803" i="3" s="1"/>
  <c r="B803" i="3"/>
  <c r="D802" i="3"/>
  <c r="A802" i="3" s="1"/>
  <c r="B802" i="3"/>
  <c r="D801" i="3"/>
  <c r="A801" i="3" s="1"/>
  <c r="B801" i="3"/>
  <c r="D800" i="3"/>
  <c r="B800" i="3"/>
  <c r="D799" i="3"/>
  <c r="A799" i="3" s="1"/>
  <c r="B799" i="3"/>
  <c r="D798" i="3"/>
  <c r="A798" i="3" s="1"/>
  <c r="B798" i="3"/>
  <c r="D797" i="3"/>
  <c r="A797" i="3" s="1"/>
  <c r="B797" i="3"/>
  <c r="D796" i="3"/>
  <c r="A796" i="3" s="1"/>
  <c r="B796" i="3"/>
  <c r="D795" i="3"/>
  <c r="A795" i="3" s="1"/>
  <c r="B795" i="3"/>
  <c r="B794" i="3"/>
  <c r="D793" i="3"/>
  <c r="A793" i="3" s="1"/>
  <c r="B793" i="3"/>
  <c r="D792" i="3"/>
  <c r="A792" i="3" s="1"/>
  <c r="B792" i="3"/>
  <c r="D791" i="3"/>
  <c r="A791" i="3" s="1"/>
  <c r="B791" i="3"/>
  <c r="D790" i="3"/>
  <c r="A790" i="3" s="1"/>
  <c r="B790" i="3"/>
  <c r="D789" i="3"/>
  <c r="A789" i="3" s="1"/>
  <c r="B789" i="3"/>
  <c r="D788" i="3"/>
  <c r="A788" i="3" s="1"/>
  <c r="B788" i="3"/>
  <c r="D787" i="3"/>
  <c r="A787" i="3" s="1"/>
  <c r="B787" i="3"/>
  <c r="D786" i="3"/>
  <c r="A786" i="3" s="1"/>
  <c r="B786" i="3"/>
  <c r="D785" i="3"/>
  <c r="A785" i="3" s="1"/>
  <c r="B785" i="3"/>
  <c r="D784" i="3"/>
  <c r="A784" i="3" s="1"/>
  <c r="B784" i="3"/>
  <c r="D783" i="3"/>
  <c r="A783" i="3" s="1"/>
  <c r="B783" i="3"/>
  <c r="D782" i="3"/>
  <c r="B782" i="3"/>
  <c r="D781" i="3"/>
  <c r="A781" i="3" s="1"/>
  <c r="B781" i="3"/>
  <c r="D780" i="3"/>
  <c r="A780" i="3" s="1"/>
  <c r="B780" i="3"/>
  <c r="D779" i="3"/>
  <c r="A779" i="3" s="1"/>
  <c r="B779" i="3"/>
  <c r="D778" i="3"/>
  <c r="A778" i="3" s="1"/>
  <c r="B778" i="3"/>
  <c r="D777" i="3"/>
  <c r="A777" i="3" s="1"/>
  <c r="B777" i="3"/>
  <c r="D776" i="3"/>
  <c r="B776" i="3"/>
  <c r="D775" i="3"/>
  <c r="A775" i="3" s="1"/>
  <c r="B775" i="3"/>
  <c r="D774" i="3"/>
  <c r="A774" i="3" s="1"/>
  <c r="B774" i="3"/>
  <c r="D773" i="3"/>
  <c r="A773" i="3" s="1"/>
  <c r="B773" i="3"/>
  <c r="D772" i="3"/>
  <c r="A772" i="3" s="1"/>
  <c r="B772" i="3"/>
  <c r="D771" i="3"/>
  <c r="A771" i="3" s="1"/>
  <c r="B771" i="3"/>
  <c r="D770" i="3"/>
  <c r="B770" i="3"/>
  <c r="D769" i="3"/>
  <c r="A769" i="3" s="1"/>
  <c r="B769" i="3"/>
  <c r="D768" i="3"/>
  <c r="A768" i="3" s="1"/>
  <c r="B768" i="3"/>
  <c r="D767" i="3"/>
  <c r="A767" i="3" s="1"/>
  <c r="B767" i="3"/>
  <c r="D766" i="3"/>
  <c r="A766" i="3" s="1"/>
  <c r="B766" i="3"/>
  <c r="D765" i="3"/>
  <c r="A765" i="3" s="1"/>
  <c r="B765" i="3"/>
  <c r="D764" i="3"/>
  <c r="A764" i="3" s="1"/>
  <c r="B764" i="3"/>
  <c r="D763" i="3"/>
  <c r="A763" i="3" s="1"/>
  <c r="B763" i="3"/>
  <c r="D762" i="3"/>
  <c r="A762" i="3" s="1"/>
  <c r="B762" i="3"/>
  <c r="D761" i="3"/>
  <c r="A761" i="3" s="1"/>
  <c r="B761" i="3"/>
  <c r="D760" i="3"/>
  <c r="A760" i="3" s="1"/>
  <c r="B760" i="3"/>
  <c r="D759" i="3"/>
  <c r="A759" i="3" s="1"/>
  <c r="B759" i="3"/>
  <c r="B758" i="3"/>
  <c r="D757" i="3"/>
  <c r="A757" i="3" s="1"/>
  <c r="B757" i="3"/>
  <c r="D756" i="3"/>
  <c r="A756" i="3" s="1"/>
  <c r="B756" i="3"/>
  <c r="D755" i="3"/>
  <c r="A755" i="3" s="1"/>
  <c r="B755" i="3"/>
  <c r="D754" i="3"/>
  <c r="A754" i="3" s="1"/>
  <c r="B754" i="3"/>
  <c r="D753" i="3"/>
  <c r="A753" i="3" s="1"/>
  <c r="B753" i="3"/>
  <c r="D752" i="3"/>
  <c r="B752" i="3"/>
  <c r="D751" i="3"/>
  <c r="A751" i="3" s="1"/>
  <c r="B751" i="3"/>
  <c r="D750" i="3"/>
  <c r="A750" i="3" s="1"/>
  <c r="B750" i="3"/>
  <c r="D749" i="3"/>
  <c r="A749" i="3" s="1"/>
  <c r="B749" i="3"/>
  <c r="D748" i="3"/>
  <c r="A748" i="3" s="1"/>
  <c r="B748" i="3"/>
  <c r="D747" i="3"/>
  <c r="A747" i="3" s="1"/>
  <c r="B747" i="3"/>
  <c r="B746" i="3"/>
  <c r="D745" i="3"/>
  <c r="A745" i="3" s="1"/>
  <c r="B745" i="3"/>
  <c r="D744" i="3"/>
  <c r="A744" i="3" s="1"/>
  <c r="B744" i="3"/>
  <c r="D743" i="3"/>
  <c r="A743" i="3" s="1"/>
  <c r="B743" i="3"/>
  <c r="D742" i="3"/>
  <c r="A742" i="3" s="1"/>
  <c r="B742" i="3"/>
  <c r="D741" i="3"/>
  <c r="A741" i="3" s="1"/>
  <c r="B741" i="3"/>
  <c r="B740" i="3"/>
  <c r="D739" i="3"/>
  <c r="A739" i="3" s="1"/>
  <c r="B739" i="3"/>
  <c r="D738" i="3"/>
  <c r="A738" i="3" s="1"/>
  <c r="B738" i="3"/>
  <c r="D737" i="3"/>
  <c r="A737" i="3" s="1"/>
  <c r="B737" i="3"/>
  <c r="D736" i="3"/>
  <c r="A736" i="3" s="1"/>
  <c r="B736" i="3"/>
  <c r="D735" i="3"/>
  <c r="A735" i="3" s="1"/>
  <c r="B735" i="3"/>
  <c r="B734" i="3"/>
  <c r="D733" i="3"/>
  <c r="A733" i="3" s="1"/>
  <c r="B733" i="3"/>
  <c r="D732" i="3"/>
  <c r="A732" i="3" s="1"/>
  <c r="B732" i="3"/>
  <c r="D731" i="3"/>
  <c r="A731" i="3" s="1"/>
  <c r="B731" i="3"/>
  <c r="D730" i="3"/>
  <c r="A730" i="3" s="1"/>
  <c r="B730" i="3"/>
  <c r="D729" i="3"/>
  <c r="A729" i="3" s="1"/>
  <c r="B729" i="3"/>
  <c r="D728" i="3"/>
  <c r="A728" i="3" s="1"/>
  <c r="B728" i="3"/>
  <c r="D727" i="3"/>
  <c r="A727" i="3" s="1"/>
  <c r="B727" i="3"/>
  <c r="D726" i="3"/>
  <c r="A726" i="3" s="1"/>
  <c r="B726" i="3"/>
  <c r="D725" i="3"/>
  <c r="A725" i="3" s="1"/>
  <c r="B725" i="3"/>
  <c r="D724" i="3"/>
  <c r="A724" i="3" s="1"/>
  <c r="B724" i="3"/>
  <c r="D723" i="3"/>
  <c r="A723" i="3" s="1"/>
  <c r="B723" i="3"/>
  <c r="B722" i="3"/>
  <c r="D721" i="3"/>
  <c r="A721" i="3" s="1"/>
  <c r="B721" i="3"/>
  <c r="D720" i="3"/>
  <c r="A720" i="3" s="1"/>
  <c r="B720" i="3"/>
  <c r="D719" i="3"/>
  <c r="A719" i="3" s="1"/>
  <c r="B719" i="3"/>
  <c r="D718" i="3"/>
  <c r="A718" i="3" s="1"/>
  <c r="B718" i="3"/>
  <c r="D717" i="3"/>
  <c r="A717" i="3" s="1"/>
  <c r="B717" i="3"/>
  <c r="D716" i="3"/>
  <c r="B716" i="3"/>
  <c r="D715" i="3"/>
  <c r="A715" i="3" s="1"/>
  <c r="B715" i="3"/>
  <c r="D714" i="3"/>
  <c r="A714" i="3" s="1"/>
  <c r="B714" i="3"/>
  <c r="D713" i="3"/>
  <c r="A713" i="3" s="1"/>
  <c r="B713" i="3"/>
  <c r="D712" i="3"/>
  <c r="A712" i="3" s="1"/>
  <c r="B712" i="3"/>
  <c r="D711" i="3"/>
  <c r="A711" i="3" s="1"/>
  <c r="B711" i="3"/>
  <c r="B710" i="3"/>
  <c r="D709" i="3"/>
  <c r="A709" i="3" s="1"/>
  <c r="B709" i="3"/>
  <c r="D708" i="3"/>
  <c r="A708" i="3" s="1"/>
  <c r="B708" i="3"/>
  <c r="D707" i="3"/>
  <c r="A707" i="3" s="1"/>
  <c r="B707" i="3"/>
  <c r="D706" i="3"/>
  <c r="A706" i="3" s="1"/>
  <c r="B706" i="3"/>
  <c r="D705" i="3"/>
  <c r="A705" i="3" s="1"/>
  <c r="B705" i="3"/>
  <c r="D704" i="3"/>
  <c r="A704" i="3" s="1"/>
  <c r="B704" i="3"/>
  <c r="D703" i="3"/>
  <c r="A703" i="3" s="1"/>
  <c r="B703" i="3"/>
  <c r="D702" i="3"/>
  <c r="A702" i="3" s="1"/>
  <c r="B702" i="3"/>
  <c r="D701" i="3"/>
  <c r="A701" i="3" s="1"/>
  <c r="B701" i="3"/>
  <c r="D700" i="3"/>
  <c r="B700" i="3"/>
  <c r="D699" i="3"/>
  <c r="A699" i="3" s="1"/>
  <c r="B699" i="3"/>
  <c r="B698" i="3"/>
  <c r="D697" i="3"/>
  <c r="A697" i="3" s="1"/>
  <c r="B697" i="3"/>
  <c r="D696" i="3"/>
  <c r="A696" i="3" s="1"/>
  <c r="B696" i="3"/>
  <c r="D695" i="3"/>
  <c r="A695" i="3" s="1"/>
  <c r="B695" i="3"/>
  <c r="D694" i="3"/>
  <c r="A694" i="3" s="1"/>
  <c r="B694" i="3"/>
  <c r="D693" i="3"/>
  <c r="A693" i="3" s="1"/>
  <c r="B693" i="3"/>
  <c r="D692" i="3"/>
  <c r="A692" i="3" s="1"/>
  <c r="B692" i="3"/>
  <c r="D691" i="3"/>
  <c r="A691" i="3" s="1"/>
  <c r="B691" i="3"/>
  <c r="D690" i="3"/>
  <c r="B690" i="3"/>
  <c r="D689" i="3"/>
  <c r="A689" i="3" s="1"/>
  <c r="B689" i="3"/>
  <c r="D688" i="3"/>
  <c r="A688" i="3" s="1"/>
  <c r="B688" i="3"/>
  <c r="D687" i="3"/>
  <c r="A687" i="3" s="1"/>
  <c r="B687" i="3"/>
  <c r="D686" i="3"/>
  <c r="A686" i="3" s="1"/>
  <c r="B686" i="3"/>
  <c r="D685" i="3"/>
  <c r="A685" i="3" s="1"/>
  <c r="B685" i="3"/>
  <c r="D684" i="3"/>
  <c r="A684" i="3" s="1"/>
  <c r="B684" i="3"/>
  <c r="D683" i="3"/>
  <c r="A683" i="3" s="1"/>
  <c r="B683" i="3"/>
  <c r="D682" i="3"/>
  <c r="A682" i="3" s="1"/>
  <c r="B682" i="3"/>
  <c r="D681" i="3"/>
  <c r="A681" i="3" s="1"/>
  <c r="B681" i="3"/>
  <c r="D680" i="3"/>
  <c r="B680" i="3"/>
  <c r="D679" i="3"/>
  <c r="A679" i="3" s="1"/>
  <c r="B679" i="3"/>
  <c r="D678" i="3"/>
  <c r="A678" i="3" s="1"/>
  <c r="B678" i="3"/>
  <c r="D677" i="3"/>
  <c r="A677" i="3" s="1"/>
  <c r="B677" i="3"/>
  <c r="D676" i="3"/>
  <c r="A676" i="3" s="1"/>
  <c r="B676" i="3"/>
  <c r="D675" i="3"/>
  <c r="A675" i="3" s="1"/>
  <c r="B675" i="3"/>
  <c r="D674" i="3"/>
  <c r="B674" i="3"/>
  <c r="D673" i="3"/>
  <c r="A673" i="3" s="1"/>
  <c r="B673" i="3"/>
  <c r="D672" i="3"/>
  <c r="A672" i="3" s="1"/>
  <c r="B672" i="3"/>
  <c r="D671" i="3"/>
  <c r="A671" i="3" s="1"/>
  <c r="B671" i="3"/>
  <c r="D670" i="3"/>
  <c r="A670" i="3" s="1"/>
  <c r="B670" i="3"/>
  <c r="D669" i="3"/>
  <c r="A669" i="3" s="1"/>
  <c r="B669" i="3"/>
  <c r="D668" i="3"/>
  <c r="A668" i="3" s="1"/>
  <c r="B668" i="3"/>
  <c r="D667" i="3"/>
  <c r="A667" i="3" s="1"/>
  <c r="B667" i="3"/>
  <c r="D666" i="3"/>
  <c r="A666" i="3" s="1"/>
  <c r="B666" i="3"/>
  <c r="D665" i="3"/>
  <c r="A665" i="3" s="1"/>
  <c r="B665" i="3"/>
  <c r="D664" i="3"/>
  <c r="A664" i="3" s="1"/>
  <c r="B664" i="3"/>
  <c r="D663" i="3"/>
  <c r="A663" i="3" s="1"/>
  <c r="B663" i="3"/>
  <c r="D662" i="3"/>
  <c r="B662" i="3"/>
  <c r="D661" i="3"/>
  <c r="A661" i="3" s="1"/>
  <c r="B661" i="3"/>
  <c r="D660" i="3"/>
  <c r="A660" i="3" s="1"/>
  <c r="B660" i="3"/>
  <c r="D659" i="3"/>
  <c r="A659" i="3" s="1"/>
  <c r="B659" i="3"/>
  <c r="D658" i="3"/>
  <c r="A658" i="3" s="1"/>
  <c r="B658" i="3"/>
  <c r="D657" i="3"/>
  <c r="A657" i="3" s="1"/>
  <c r="B657" i="3"/>
  <c r="D656" i="3"/>
  <c r="A656" i="3" s="1"/>
  <c r="B656" i="3"/>
  <c r="D655" i="3"/>
  <c r="A655" i="3" s="1"/>
  <c r="B655" i="3"/>
  <c r="D654" i="3"/>
  <c r="A654" i="3" s="1"/>
  <c r="B654" i="3"/>
  <c r="D653" i="3"/>
  <c r="A653" i="3" s="1"/>
  <c r="B653" i="3"/>
  <c r="B652" i="3"/>
  <c r="D651" i="3"/>
  <c r="A651" i="3" s="1"/>
  <c r="B651" i="3"/>
  <c r="D650" i="3"/>
  <c r="A650" i="3" s="1"/>
  <c r="B650" i="3"/>
  <c r="D649" i="3"/>
  <c r="A649" i="3" s="1"/>
  <c r="B649" i="3"/>
  <c r="D648" i="3"/>
  <c r="A648" i="3" s="1"/>
  <c r="B648" i="3"/>
  <c r="D647" i="3"/>
  <c r="A647" i="3" s="1"/>
  <c r="B647" i="3"/>
  <c r="D646" i="3"/>
  <c r="A646" i="3" s="1"/>
  <c r="B646" i="3"/>
  <c r="D645" i="3"/>
  <c r="A645" i="3" s="1"/>
  <c r="B645" i="3"/>
  <c r="D644" i="3"/>
  <c r="A644" i="3" s="1"/>
  <c r="B644" i="3"/>
  <c r="D643" i="3"/>
  <c r="A643" i="3" s="1"/>
  <c r="B643" i="3"/>
  <c r="D642" i="3"/>
  <c r="A642" i="3" s="1"/>
  <c r="B642" i="3"/>
  <c r="D641" i="3"/>
  <c r="A641" i="3" s="1"/>
  <c r="B641" i="3"/>
  <c r="D640" i="3"/>
  <c r="B640" i="3"/>
  <c r="D639" i="3"/>
  <c r="A639" i="3" s="1"/>
  <c r="B639" i="3"/>
  <c r="D638" i="3"/>
  <c r="A638" i="3" s="1"/>
  <c r="B638" i="3"/>
  <c r="D637" i="3"/>
  <c r="A637" i="3" s="1"/>
  <c r="B637" i="3"/>
  <c r="D636" i="3"/>
  <c r="A636" i="3" s="1"/>
  <c r="B636" i="3"/>
  <c r="D635" i="3"/>
  <c r="A635" i="3" s="1"/>
  <c r="B635" i="3"/>
  <c r="B634" i="3"/>
  <c r="D633" i="3"/>
  <c r="A633" i="3" s="1"/>
  <c r="B633" i="3"/>
  <c r="D632" i="3"/>
  <c r="A632" i="3" s="1"/>
  <c r="B632" i="3"/>
  <c r="D631" i="3"/>
  <c r="A631" i="3" s="1"/>
  <c r="B631" i="3"/>
  <c r="D630" i="3"/>
  <c r="A630" i="3" s="1"/>
  <c r="B630" i="3"/>
  <c r="D629" i="3"/>
  <c r="A629" i="3" s="1"/>
  <c r="B629" i="3"/>
  <c r="D628" i="3"/>
  <c r="A628" i="3" s="1"/>
  <c r="B628" i="3"/>
  <c r="D627" i="3"/>
  <c r="A627" i="3" s="1"/>
  <c r="B627" i="3"/>
  <c r="D626" i="3"/>
  <c r="A626" i="3" s="1"/>
  <c r="B626" i="3"/>
  <c r="D625" i="3"/>
  <c r="A625" i="3" s="1"/>
  <c r="B625" i="3"/>
  <c r="D624" i="3"/>
  <c r="A624" i="3" s="1"/>
  <c r="B624" i="3"/>
  <c r="D623" i="3"/>
  <c r="A623" i="3" s="1"/>
  <c r="B623" i="3"/>
  <c r="D622" i="3"/>
  <c r="B622" i="3"/>
  <c r="D621" i="3"/>
  <c r="A621" i="3" s="1"/>
  <c r="B621" i="3"/>
  <c r="D620" i="3"/>
  <c r="A620" i="3" s="1"/>
  <c r="B620" i="3"/>
  <c r="D619" i="3"/>
  <c r="A619" i="3" s="1"/>
  <c r="B619" i="3"/>
  <c r="D618" i="3"/>
  <c r="A618" i="3" s="1"/>
  <c r="B618" i="3"/>
  <c r="D617" i="3"/>
  <c r="A617" i="3" s="1"/>
  <c r="B617" i="3"/>
  <c r="D616" i="3"/>
  <c r="A616" i="3" s="1"/>
  <c r="B616" i="3"/>
  <c r="D615" i="3"/>
  <c r="A615" i="3" s="1"/>
  <c r="B615" i="3"/>
  <c r="D614" i="3"/>
  <c r="A614" i="3" s="1"/>
  <c r="B614" i="3"/>
  <c r="D613" i="3"/>
  <c r="A613" i="3" s="1"/>
  <c r="B613" i="3"/>
  <c r="D612" i="3"/>
  <c r="A612" i="3" s="1"/>
  <c r="B612" i="3"/>
  <c r="D611" i="3"/>
  <c r="A611" i="3" s="1"/>
  <c r="B611" i="3"/>
  <c r="D610" i="3"/>
  <c r="B610" i="3"/>
  <c r="D609" i="3"/>
  <c r="A609" i="3" s="1"/>
  <c r="B609" i="3"/>
  <c r="D608" i="3"/>
  <c r="A608" i="3" s="1"/>
  <c r="B608" i="3"/>
  <c r="D607" i="3"/>
  <c r="A607" i="3" s="1"/>
  <c r="B607" i="3"/>
  <c r="D606" i="3"/>
  <c r="A606" i="3" s="1"/>
  <c r="B606" i="3"/>
  <c r="D605" i="3"/>
  <c r="A605" i="3" s="1"/>
  <c r="B605" i="3"/>
  <c r="D604" i="3"/>
  <c r="A604" i="3" s="1"/>
  <c r="B604" i="3"/>
  <c r="D603" i="3"/>
  <c r="A603" i="3" s="1"/>
  <c r="B603" i="3"/>
  <c r="D602" i="3"/>
  <c r="B602" i="3"/>
  <c r="D601" i="3"/>
  <c r="A601" i="3" s="1"/>
  <c r="B601" i="3"/>
  <c r="D600" i="3"/>
  <c r="A600" i="3" s="1"/>
  <c r="B600" i="3"/>
  <c r="D599" i="3"/>
  <c r="A599" i="3" s="1"/>
  <c r="B599" i="3"/>
  <c r="D598" i="3"/>
  <c r="A598" i="3" s="1"/>
  <c r="B598" i="3"/>
  <c r="D597" i="3"/>
  <c r="A597" i="3" s="1"/>
  <c r="B597" i="3"/>
  <c r="D596" i="3"/>
  <c r="A596" i="3" s="1"/>
  <c r="B596" i="3"/>
  <c r="D595" i="3"/>
  <c r="A595" i="3" s="1"/>
  <c r="B595" i="3"/>
  <c r="D594" i="3"/>
  <c r="B594" i="3"/>
  <c r="D593" i="3"/>
  <c r="A593" i="3" s="1"/>
  <c r="B593" i="3"/>
  <c r="D592" i="3"/>
  <c r="A592" i="3" s="1"/>
  <c r="B592" i="3"/>
  <c r="D591" i="3"/>
  <c r="A591" i="3" s="1"/>
  <c r="B591" i="3"/>
  <c r="B590" i="3"/>
  <c r="D589" i="3"/>
  <c r="A589" i="3" s="1"/>
  <c r="B589" i="3"/>
  <c r="D588" i="3"/>
  <c r="A588" i="3" s="1"/>
  <c r="B588" i="3"/>
  <c r="D587" i="3"/>
  <c r="A587" i="3" s="1"/>
  <c r="B587" i="3"/>
  <c r="D586" i="3"/>
  <c r="A586" i="3" s="1"/>
  <c r="B586" i="3"/>
  <c r="D585" i="3"/>
  <c r="A585" i="3" s="1"/>
  <c r="B585" i="3"/>
  <c r="D584" i="3"/>
  <c r="A584" i="3" s="1"/>
  <c r="B584" i="3"/>
  <c r="D583" i="3"/>
  <c r="A583" i="3" s="1"/>
  <c r="B583" i="3"/>
  <c r="D582" i="3"/>
  <c r="A582" i="3" s="1"/>
  <c r="B582" i="3"/>
  <c r="D581" i="3"/>
  <c r="A581" i="3" s="1"/>
  <c r="B581" i="3"/>
  <c r="D580" i="3"/>
  <c r="A580" i="3" s="1"/>
  <c r="B580" i="3"/>
  <c r="D579" i="3"/>
  <c r="A579" i="3" s="1"/>
  <c r="B579" i="3"/>
  <c r="B578" i="3"/>
  <c r="D577" i="3"/>
  <c r="A577" i="3" s="1"/>
  <c r="B577" i="3"/>
  <c r="D576" i="3"/>
  <c r="A576" i="3" s="1"/>
  <c r="B576" i="3"/>
  <c r="D575" i="3"/>
  <c r="A575" i="3" s="1"/>
  <c r="B575" i="3"/>
  <c r="D574" i="3"/>
  <c r="A574" i="3" s="1"/>
  <c r="B574" i="3"/>
  <c r="D573" i="3"/>
  <c r="A573" i="3" s="1"/>
  <c r="B573" i="3"/>
  <c r="D572" i="3"/>
  <c r="A572" i="3" s="1"/>
  <c r="B572" i="3"/>
  <c r="D571" i="3"/>
  <c r="A571" i="3" s="1"/>
  <c r="B571" i="3"/>
  <c r="D570" i="3"/>
  <c r="A570" i="3" s="1"/>
  <c r="B570" i="3"/>
  <c r="D569" i="3"/>
  <c r="A569" i="3" s="1"/>
  <c r="B569" i="3"/>
  <c r="D568" i="3"/>
  <c r="A568" i="3" s="1"/>
  <c r="B568" i="3"/>
  <c r="D567" i="3"/>
  <c r="A567" i="3" s="1"/>
  <c r="B567" i="3"/>
  <c r="B566" i="3"/>
  <c r="D565" i="3"/>
  <c r="A565" i="3" s="1"/>
  <c r="B565" i="3"/>
  <c r="D564" i="3"/>
  <c r="A564" i="3" s="1"/>
  <c r="B564" i="3"/>
  <c r="D563" i="3"/>
  <c r="A563" i="3" s="1"/>
  <c r="B563" i="3"/>
  <c r="B562" i="3"/>
  <c r="D561" i="3"/>
  <c r="A561" i="3" s="1"/>
  <c r="B561" i="3"/>
  <c r="D560" i="3"/>
  <c r="A560" i="3" s="1"/>
  <c r="B560" i="3"/>
  <c r="D559" i="3"/>
  <c r="A559" i="3" s="1"/>
  <c r="B559" i="3"/>
  <c r="D558" i="3"/>
  <c r="A558" i="3" s="1"/>
  <c r="B558" i="3"/>
  <c r="D557" i="3"/>
  <c r="A557" i="3" s="1"/>
  <c r="B557" i="3"/>
  <c r="D556" i="3"/>
  <c r="A556" i="3" s="1"/>
  <c r="B556" i="3"/>
  <c r="D555" i="3"/>
  <c r="A555" i="3" s="1"/>
  <c r="B555" i="3"/>
  <c r="B554" i="3"/>
  <c r="D553" i="3"/>
  <c r="A553" i="3" s="1"/>
  <c r="B553" i="3"/>
  <c r="D552" i="3"/>
  <c r="A552" i="3" s="1"/>
  <c r="B552" i="3"/>
  <c r="D551" i="3"/>
  <c r="A551" i="3" s="1"/>
  <c r="B551" i="3"/>
  <c r="D550" i="3"/>
  <c r="A550" i="3" s="1"/>
  <c r="B550" i="3"/>
  <c r="D549" i="3"/>
  <c r="A549" i="3" s="1"/>
  <c r="B549" i="3"/>
  <c r="D548" i="3"/>
  <c r="A548" i="3" s="1"/>
  <c r="B548" i="3"/>
  <c r="D547" i="3"/>
  <c r="A547" i="3" s="1"/>
  <c r="B547" i="3"/>
  <c r="B546" i="3"/>
  <c r="D545" i="3"/>
  <c r="A545" i="3" s="1"/>
  <c r="B545" i="3"/>
  <c r="D544" i="3"/>
  <c r="A544" i="3" s="1"/>
  <c r="B544" i="3"/>
  <c r="D543" i="3"/>
  <c r="A543" i="3" s="1"/>
  <c r="B543" i="3"/>
  <c r="D542" i="3"/>
  <c r="A542" i="3" s="1"/>
  <c r="B542" i="3"/>
  <c r="D541" i="3"/>
  <c r="A541" i="3" s="1"/>
  <c r="B541" i="3"/>
  <c r="D540" i="3"/>
  <c r="A540" i="3" s="1"/>
  <c r="B540" i="3"/>
  <c r="D539" i="3"/>
  <c r="A539" i="3" s="1"/>
  <c r="B539" i="3"/>
  <c r="D538" i="3"/>
  <c r="A538" i="3" s="1"/>
  <c r="B538" i="3"/>
  <c r="D537" i="3"/>
  <c r="A537" i="3" s="1"/>
  <c r="B537" i="3"/>
  <c r="D536" i="3"/>
  <c r="B536" i="3"/>
  <c r="D535" i="3"/>
  <c r="A535" i="3" s="1"/>
  <c r="B535" i="3"/>
  <c r="D534" i="3"/>
  <c r="A534" i="3" s="1"/>
  <c r="B534" i="3"/>
  <c r="D533" i="3"/>
  <c r="A533" i="3" s="1"/>
  <c r="B533" i="3"/>
  <c r="D532" i="3"/>
  <c r="A532" i="3" s="1"/>
  <c r="B532" i="3"/>
  <c r="D531" i="3"/>
  <c r="A531" i="3" s="1"/>
  <c r="B531" i="3"/>
  <c r="B530" i="3"/>
  <c r="D529" i="3"/>
  <c r="A529" i="3" s="1"/>
  <c r="B529" i="3"/>
  <c r="D528" i="3"/>
  <c r="A528" i="3" s="1"/>
  <c r="B528" i="3"/>
  <c r="D527" i="3"/>
  <c r="A527" i="3" s="1"/>
  <c r="B527" i="3"/>
  <c r="D526" i="3"/>
  <c r="A526" i="3" s="1"/>
  <c r="B526" i="3"/>
  <c r="D525" i="3"/>
  <c r="A525" i="3" s="1"/>
  <c r="B525" i="3"/>
  <c r="D524" i="3"/>
  <c r="A524" i="3" s="1"/>
  <c r="B524" i="3"/>
  <c r="D523" i="3"/>
  <c r="A523" i="3" s="1"/>
  <c r="B523" i="3"/>
  <c r="D522" i="3"/>
  <c r="A522" i="3" s="1"/>
  <c r="B522" i="3"/>
  <c r="D521" i="3"/>
  <c r="A521" i="3" s="1"/>
  <c r="B521" i="3"/>
  <c r="D520" i="3"/>
  <c r="A520" i="3" s="1"/>
  <c r="B520" i="3"/>
  <c r="D519" i="3"/>
  <c r="A519" i="3" s="1"/>
  <c r="B519" i="3"/>
  <c r="D518" i="3"/>
  <c r="B518" i="3"/>
  <c r="D517" i="3"/>
  <c r="A517" i="3" s="1"/>
  <c r="B517" i="3"/>
  <c r="D516" i="3"/>
  <c r="A516" i="3" s="1"/>
  <c r="B516" i="3"/>
  <c r="D515" i="3"/>
  <c r="A515" i="3" s="1"/>
  <c r="B515" i="3"/>
  <c r="D514" i="3"/>
  <c r="A514" i="3" s="1"/>
  <c r="B514" i="3"/>
  <c r="D513" i="3"/>
  <c r="A513" i="3" s="1"/>
  <c r="B513" i="3"/>
  <c r="D512" i="3"/>
  <c r="B512" i="3"/>
  <c r="D511" i="3"/>
  <c r="A511" i="3" s="1"/>
  <c r="B511" i="3"/>
  <c r="D510" i="3"/>
  <c r="A510" i="3" s="1"/>
  <c r="B510" i="3"/>
  <c r="D509" i="3"/>
  <c r="A509" i="3" s="1"/>
  <c r="B509" i="3"/>
  <c r="D508" i="3"/>
  <c r="A508" i="3" s="1"/>
  <c r="B508" i="3"/>
  <c r="D507" i="3"/>
  <c r="A507" i="3" s="1"/>
  <c r="B507" i="3"/>
  <c r="B506" i="3"/>
  <c r="D505" i="3"/>
  <c r="A505" i="3" s="1"/>
  <c r="B505" i="3"/>
  <c r="D504" i="3"/>
  <c r="A504" i="3" s="1"/>
  <c r="B504" i="3"/>
  <c r="D503" i="3"/>
  <c r="A503" i="3" s="1"/>
  <c r="B503" i="3"/>
  <c r="D502" i="3"/>
  <c r="A502" i="3" s="1"/>
  <c r="B502" i="3"/>
  <c r="D501" i="3"/>
  <c r="A501" i="3" s="1"/>
  <c r="B501" i="3"/>
  <c r="D500" i="3"/>
  <c r="A500" i="3" s="1"/>
  <c r="B500" i="3"/>
  <c r="D499" i="3"/>
  <c r="A499" i="3" s="1"/>
  <c r="B499" i="3"/>
  <c r="D498" i="3"/>
  <c r="A498" i="3" s="1"/>
  <c r="B498" i="3"/>
  <c r="D497" i="3"/>
  <c r="A497" i="3" s="1"/>
  <c r="B497" i="3"/>
  <c r="D496" i="3"/>
  <c r="A496" i="3" s="1"/>
  <c r="B496" i="3"/>
  <c r="D495" i="3"/>
  <c r="A495" i="3" s="1"/>
  <c r="B495" i="3"/>
  <c r="D494" i="3"/>
  <c r="B494" i="3"/>
  <c r="D493" i="3"/>
  <c r="A493" i="3" s="1"/>
  <c r="B493" i="3"/>
  <c r="D492" i="3"/>
  <c r="A492" i="3" s="1"/>
  <c r="B492" i="3"/>
  <c r="D491" i="3"/>
  <c r="A491" i="3" s="1"/>
  <c r="B491" i="3"/>
  <c r="D490" i="3"/>
  <c r="A490" i="3" s="1"/>
  <c r="B490" i="3"/>
  <c r="D489" i="3"/>
  <c r="A489" i="3" s="1"/>
  <c r="B489" i="3"/>
  <c r="D488" i="3"/>
  <c r="B488" i="3"/>
  <c r="D487" i="3"/>
  <c r="A487" i="3" s="1"/>
  <c r="B487" i="3"/>
  <c r="D486" i="3"/>
  <c r="A486" i="3" s="1"/>
  <c r="B486" i="3"/>
  <c r="D485" i="3"/>
  <c r="A485" i="3" s="1"/>
  <c r="B485" i="3"/>
  <c r="D484" i="3"/>
  <c r="A484" i="3" s="1"/>
  <c r="B484" i="3"/>
  <c r="D483" i="3"/>
  <c r="A483" i="3" s="1"/>
  <c r="B483" i="3"/>
  <c r="B482" i="3"/>
  <c r="D481" i="3"/>
  <c r="A481" i="3" s="1"/>
  <c r="B481" i="3"/>
  <c r="D480" i="3"/>
  <c r="A480" i="3" s="1"/>
  <c r="B480" i="3"/>
  <c r="D479" i="3"/>
  <c r="A479" i="3" s="1"/>
  <c r="B479" i="3"/>
  <c r="D478" i="3"/>
  <c r="A478" i="3" s="1"/>
  <c r="B478" i="3"/>
  <c r="D477" i="3"/>
  <c r="A477" i="3" s="1"/>
  <c r="B477" i="3"/>
  <c r="D476" i="3"/>
  <c r="A476" i="3" s="1"/>
  <c r="B476" i="3"/>
  <c r="D475" i="3"/>
  <c r="A475" i="3" s="1"/>
  <c r="B475" i="3"/>
  <c r="D474" i="3"/>
  <c r="A474" i="3" s="1"/>
  <c r="B474" i="3"/>
  <c r="D473" i="3"/>
  <c r="A473" i="3" s="1"/>
  <c r="B473" i="3"/>
  <c r="D472" i="3"/>
  <c r="B472" i="3"/>
  <c r="D471" i="3"/>
  <c r="A471" i="3" s="1"/>
  <c r="B471" i="3"/>
  <c r="B470" i="3"/>
  <c r="D469" i="3"/>
  <c r="A469" i="3" s="1"/>
  <c r="B469" i="3"/>
  <c r="D468" i="3"/>
  <c r="A468" i="3" s="1"/>
  <c r="B468" i="3"/>
  <c r="D467" i="3"/>
  <c r="A467" i="3" s="1"/>
  <c r="B467" i="3"/>
  <c r="D466" i="3"/>
  <c r="A466" i="3" s="1"/>
  <c r="B466" i="3"/>
  <c r="D465" i="3"/>
  <c r="A465" i="3" s="1"/>
  <c r="B465" i="3"/>
  <c r="D464" i="3"/>
  <c r="B464" i="3"/>
  <c r="D463" i="3"/>
  <c r="A463" i="3" s="1"/>
  <c r="B463" i="3"/>
  <c r="D462" i="3"/>
  <c r="A462" i="3" s="1"/>
  <c r="B462" i="3"/>
  <c r="D461" i="3"/>
  <c r="A461" i="3" s="1"/>
  <c r="B461" i="3"/>
  <c r="D460" i="3"/>
  <c r="A460" i="3" s="1"/>
  <c r="B460" i="3"/>
  <c r="D459" i="3"/>
  <c r="A459" i="3" s="1"/>
  <c r="B459" i="3"/>
  <c r="B458" i="3"/>
  <c r="D457" i="3"/>
  <c r="A457" i="3" s="1"/>
  <c r="B457" i="3"/>
  <c r="D456" i="3"/>
  <c r="A456" i="3" s="1"/>
  <c r="B456" i="3"/>
  <c r="D455" i="3"/>
  <c r="A455" i="3" s="1"/>
  <c r="B455" i="3"/>
  <c r="D454" i="3"/>
  <c r="A454" i="3" s="1"/>
  <c r="B454" i="3"/>
  <c r="D453" i="3"/>
  <c r="A453" i="3" s="1"/>
  <c r="B453" i="3"/>
  <c r="B452" i="3"/>
  <c r="D451" i="3"/>
  <c r="A451" i="3" s="1"/>
  <c r="B451" i="3"/>
  <c r="D450" i="3"/>
  <c r="A450" i="3" s="1"/>
  <c r="B450" i="3"/>
  <c r="D449" i="3"/>
  <c r="A449" i="3" s="1"/>
  <c r="B449" i="3"/>
  <c r="D448" i="3"/>
  <c r="A448" i="3" s="1"/>
  <c r="B448" i="3"/>
  <c r="D447" i="3"/>
  <c r="A447" i="3" s="1"/>
  <c r="B447" i="3"/>
  <c r="B446" i="3"/>
  <c r="D445" i="3"/>
  <c r="A445" i="3" s="1"/>
  <c r="B445" i="3"/>
  <c r="D444" i="3"/>
  <c r="A444" i="3" s="1"/>
  <c r="B444" i="3"/>
  <c r="D443" i="3"/>
  <c r="A443" i="3" s="1"/>
  <c r="B443" i="3"/>
  <c r="D442" i="3"/>
  <c r="A442" i="3" s="1"/>
  <c r="B442" i="3"/>
  <c r="D441" i="3"/>
  <c r="A441" i="3" s="1"/>
  <c r="B441" i="3"/>
  <c r="D440" i="3"/>
  <c r="A440" i="3" s="1"/>
  <c r="B440" i="3"/>
  <c r="D439" i="3"/>
  <c r="A439" i="3" s="1"/>
  <c r="B439" i="3"/>
  <c r="D438" i="3"/>
  <c r="A438" i="3" s="1"/>
  <c r="B438" i="3"/>
  <c r="D437" i="3"/>
  <c r="A437" i="3" s="1"/>
  <c r="B437" i="3"/>
  <c r="D436" i="3"/>
  <c r="A436" i="3" s="1"/>
  <c r="B436" i="3"/>
  <c r="D435" i="3"/>
  <c r="A435" i="3" s="1"/>
  <c r="B435" i="3"/>
  <c r="D434" i="3"/>
  <c r="B434" i="3"/>
  <c r="D433" i="3"/>
  <c r="A433" i="3" s="1"/>
  <c r="B433" i="3"/>
  <c r="D432" i="3"/>
  <c r="A432" i="3" s="1"/>
  <c r="B432" i="3"/>
  <c r="D431" i="3"/>
  <c r="A431" i="3" s="1"/>
  <c r="B431" i="3"/>
  <c r="D430" i="3"/>
  <c r="A430" i="3" s="1"/>
  <c r="B430" i="3"/>
  <c r="D429" i="3"/>
  <c r="A429" i="3" s="1"/>
  <c r="B429" i="3"/>
  <c r="D428" i="3"/>
  <c r="B428" i="3"/>
  <c r="D427" i="3"/>
  <c r="A427" i="3" s="1"/>
  <c r="B427" i="3"/>
  <c r="D426" i="3"/>
  <c r="A426" i="3" s="1"/>
  <c r="B426" i="3"/>
  <c r="D425" i="3"/>
  <c r="A425" i="3" s="1"/>
  <c r="B425" i="3"/>
  <c r="D424" i="3"/>
  <c r="A424" i="3" s="1"/>
  <c r="B424" i="3"/>
  <c r="D423" i="3"/>
  <c r="A423" i="3" s="1"/>
  <c r="B423" i="3"/>
  <c r="B422" i="3"/>
  <c r="D421" i="3"/>
  <c r="A421" i="3" s="1"/>
  <c r="B421" i="3"/>
  <c r="D420" i="3"/>
  <c r="A420" i="3" s="1"/>
  <c r="B420" i="3"/>
  <c r="D419" i="3"/>
  <c r="A419" i="3" s="1"/>
  <c r="B419" i="3"/>
  <c r="D418" i="3"/>
  <c r="A418" i="3" s="1"/>
  <c r="B418" i="3"/>
  <c r="D417" i="3"/>
  <c r="A417" i="3" s="1"/>
  <c r="B417" i="3"/>
  <c r="D416" i="3"/>
  <c r="A416" i="3" s="1"/>
  <c r="B416" i="3"/>
  <c r="D415" i="3"/>
  <c r="A415" i="3" s="1"/>
  <c r="B415" i="3"/>
  <c r="D414" i="3"/>
  <c r="A414" i="3" s="1"/>
  <c r="B414" i="3"/>
  <c r="D413" i="3"/>
  <c r="A413" i="3" s="1"/>
  <c r="B413" i="3"/>
  <c r="D412" i="3"/>
  <c r="B412" i="3"/>
  <c r="D411" i="3"/>
  <c r="A411" i="3" s="1"/>
  <c r="B411" i="3"/>
  <c r="B410" i="3"/>
  <c r="D409" i="3"/>
  <c r="A409" i="3" s="1"/>
  <c r="B409" i="3"/>
  <c r="D408" i="3"/>
  <c r="B408" i="3"/>
  <c r="A408" i="3"/>
  <c r="D407" i="3"/>
  <c r="A407" i="3" s="1"/>
  <c r="B407" i="3"/>
  <c r="D406" i="3"/>
  <c r="A406" i="3" s="1"/>
  <c r="B406" i="3"/>
  <c r="D405" i="3"/>
  <c r="A405" i="3" s="1"/>
  <c r="B405" i="3"/>
  <c r="D404" i="3"/>
  <c r="A404" i="3" s="1"/>
  <c r="B404" i="3"/>
  <c r="D403" i="3"/>
  <c r="A403" i="3" s="1"/>
  <c r="B403" i="3"/>
  <c r="D402" i="3"/>
  <c r="B402" i="3"/>
  <c r="D401" i="3"/>
  <c r="A401" i="3" s="1"/>
  <c r="B401" i="3"/>
  <c r="D400" i="3"/>
  <c r="A400" i="3" s="1"/>
  <c r="B400" i="3"/>
  <c r="D399" i="3"/>
  <c r="A399" i="3" s="1"/>
  <c r="B399" i="3"/>
  <c r="D398" i="3"/>
  <c r="A398" i="3" s="1"/>
  <c r="B398" i="3"/>
  <c r="D397" i="3"/>
  <c r="A397" i="3" s="1"/>
  <c r="B397" i="3"/>
  <c r="D396" i="3"/>
  <c r="A396" i="3" s="1"/>
  <c r="B396" i="3"/>
  <c r="D395" i="3"/>
  <c r="A395" i="3" s="1"/>
  <c r="B395" i="3"/>
  <c r="D394" i="3"/>
  <c r="A394" i="3" s="1"/>
  <c r="B394" i="3"/>
  <c r="D393" i="3"/>
  <c r="A393" i="3" s="1"/>
  <c r="B393" i="3"/>
  <c r="D392" i="3"/>
  <c r="B392" i="3"/>
  <c r="D391" i="3"/>
  <c r="A391" i="3" s="1"/>
  <c r="B391" i="3"/>
  <c r="D390" i="3"/>
  <c r="A390" i="3" s="1"/>
  <c r="B390" i="3"/>
  <c r="D389" i="3"/>
  <c r="A389" i="3" s="1"/>
  <c r="B389" i="3"/>
  <c r="D388" i="3"/>
  <c r="B388" i="3"/>
  <c r="D387" i="3"/>
  <c r="A387" i="3" s="1"/>
  <c r="B387" i="3"/>
  <c r="B386" i="3"/>
  <c r="D385" i="3"/>
  <c r="B385" i="3"/>
  <c r="D384" i="3"/>
  <c r="A384" i="3" s="1"/>
  <c r="B384" i="3"/>
  <c r="D383" i="3"/>
  <c r="A383" i="3" s="1"/>
  <c r="B383" i="3"/>
  <c r="D382" i="3"/>
  <c r="B382" i="3"/>
  <c r="D381" i="3"/>
  <c r="A381" i="3" s="1"/>
  <c r="B381" i="3"/>
  <c r="D380" i="3"/>
  <c r="A380" i="3" s="1"/>
  <c r="B380" i="3"/>
  <c r="D379" i="3"/>
  <c r="A379" i="3" s="1"/>
  <c r="B379" i="3"/>
  <c r="D378" i="3"/>
  <c r="A378" i="3" s="1"/>
  <c r="B378" i="3"/>
  <c r="D377" i="3"/>
  <c r="A377" i="3" s="1"/>
  <c r="B377" i="3"/>
  <c r="D376" i="3"/>
  <c r="A376" i="3" s="1"/>
  <c r="B376" i="3"/>
  <c r="D375" i="3"/>
  <c r="A375" i="3" s="1"/>
  <c r="B375" i="3"/>
  <c r="D374" i="3"/>
  <c r="B374" i="3"/>
  <c r="D373" i="3"/>
  <c r="A373" i="3" s="1"/>
  <c r="B373" i="3"/>
  <c r="D372" i="3"/>
  <c r="B372" i="3"/>
  <c r="D371" i="3"/>
  <c r="A371" i="3" s="1"/>
  <c r="B371" i="3"/>
  <c r="D370" i="3"/>
  <c r="A370" i="3" s="1"/>
  <c r="B370" i="3"/>
  <c r="D369" i="3"/>
  <c r="A369" i="3" s="1"/>
  <c r="B369" i="3"/>
  <c r="D368" i="3"/>
  <c r="A368" i="3" s="1"/>
  <c r="B368" i="3"/>
  <c r="D367" i="3"/>
  <c r="A367" i="3" s="1"/>
  <c r="B367" i="3"/>
  <c r="D366" i="3"/>
  <c r="A366" i="3" s="1"/>
  <c r="B366" i="3"/>
  <c r="D365" i="3"/>
  <c r="A365" i="3" s="1"/>
  <c r="B365" i="3"/>
  <c r="D364" i="3"/>
  <c r="B364" i="3"/>
  <c r="D363" i="3"/>
  <c r="B363" i="3"/>
  <c r="D362" i="3"/>
  <c r="A362" i="3" s="1"/>
  <c r="B362" i="3"/>
  <c r="D361" i="3"/>
  <c r="A361" i="3" s="1"/>
  <c r="B361" i="3"/>
  <c r="D360" i="3"/>
  <c r="A360" i="3" s="1"/>
  <c r="B360" i="3"/>
  <c r="D359" i="3"/>
  <c r="A359" i="3" s="1"/>
  <c r="B359" i="3"/>
  <c r="D358" i="3"/>
  <c r="B358" i="3"/>
  <c r="D357" i="3"/>
  <c r="B357" i="3"/>
  <c r="D356" i="3"/>
  <c r="A356" i="3" s="1"/>
  <c r="B356" i="3"/>
  <c r="D355" i="3"/>
  <c r="A355" i="3" s="1"/>
  <c r="B355" i="3"/>
  <c r="D354" i="3"/>
  <c r="A354" i="3" s="1"/>
  <c r="B354" i="3"/>
  <c r="D353" i="3"/>
  <c r="A353" i="3" s="1"/>
  <c r="B353" i="3"/>
  <c r="D352" i="3"/>
  <c r="B352" i="3"/>
  <c r="D351" i="3"/>
  <c r="A351" i="3" s="1"/>
  <c r="B351" i="3"/>
  <c r="D350" i="3"/>
  <c r="A350" i="3" s="1"/>
  <c r="B350" i="3"/>
  <c r="D349" i="3"/>
  <c r="A349" i="3" s="1"/>
  <c r="B349" i="3"/>
  <c r="D348" i="3"/>
  <c r="B348" i="3"/>
  <c r="D347" i="3"/>
  <c r="B347" i="3"/>
  <c r="B346" i="3"/>
  <c r="D345" i="3"/>
  <c r="A345" i="3" s="1"/>
  <c r="B345" i="3"/>
  <c r="D344" i="3"/>
  <c r="A344" i="3" s="1"/>
  <c r="B344" i="3"/>
  <c r="D343" i="3"/>
  <c r="A343" i="3" s="1"/>
  <c r="B343" i="3"/>
  <c r="D342" i="3"/>
  <c r="A342" i="3" s="1"/>
  <c r="B342" i="3"/>
  <c r="D341" i="3"/>
  <c r="A341" i="3" s="1"/>
  <c r="B341" i="3"/>
  <c r="D340" i="3"/>
  <c r="A340" i="3" s="1"/>
  <c r="B340" i="3"/>
  <c r="D339" i="3"/>
  <c r="A339" i="3" s="1"/>
  <c r="B339" i="3"/>
  <c r="D338" i="3"/>
  <c r="A338" i="3" s="1"/>
  <c r="B338" i="3"/>
  <c r="D337" i="3"/>
  <c r="A337" i="3" s="1"/>
  <c r="B337" i="3"/>
  <c r="D336" i="3"/>
  <c r="A336" i="3" s="1"/>
  <c r="B336" i="3"/>
  <c r="D335" i="3"/>
  <c r="A335" i="3" s="1"/>
  <c r="B335" i="3"/>
  <c r="D334" i="3"/>
  <c r="B334" i="3"/>
  <c r="D333" i="3"/>
  <c r="A333" i="3" s="1"/>
  <c r="B333" i="3"/>
  <c r="D332" i="3"/>
  <c r="A332" i="3" s="1"/>
  <c r="B332" i="3"/>
  <c r="D331" i="3"/>
  <c r="A331" i="3" s="1"/>
  <c r="B331" i="3"/>
  <c r="D330" i="3"/>
  <c r="A330" i="3" s="1"/>
  <c r="B330" i="3"/>
  <c r="D329" i="3"/>
  <c r="A329" i="3" s="1"/>
  <c r="B329" i="3"/>
  <c r="D328" i="3"/>
  <c r="B328" i="3"/>
  <c r="A328" i="3"/>
  <c r="D327" i="3"/>
  <c r="A327" i="3" s="1"/>
  <c r="B327" i="3"/>
  <c r="D326" i="3"/>
  <c r="A326" i="3" s="1"/>
  <c r="B326" i="3"/>
  <c r="D325" i="3"/>
  <c r="A325" i="3" s="1"/>
  <c r="B325" i="3"/>
  <c r="D324" i="3"/>
  <c r="A324" i="3" s="1"/>
  <c r="B324" i="3"/>
  <c r="D323" i="3"/>
  <c r="A323" i="3" s="1"/>
  <c r="B323" i="3"/>
  <c r="D322" i="3"/>
  <c r="B322" i="3"/>
  <c r="D321" i="3"/>
  <c r="A321" i="3" s="1"/>
  <c r="B321" i="3"/>
  <c r="D320" i="3"/>
  <c r="A320" i="3" s="1"/>
  <c r="B320" i="3"/>
  <c r="D319" i="3"/>
  <c r="A319" i="3" s="1"/>
  <c r="B319" i="3"/>
  <c r="D318" i="3"/>
  <c r="A318" i="3" s="1"/>
  <c r="B318" i="3"/>
  <c r="D317" i="3"/>
  <c r="A317" i="3" s="1"/>
  <c r="B317" i="3"/>
  <c r="D316" i="3"/>
  <c r="A316" i="3" s="1"/>
  <c r="B316" i="3"/>
  <c r="D315" i="3"/>
  <c r="A315" i="3" s="1"/>
  <c r="B315" i="3"/>
  <c r="D314" i="3"/>
  <c r="B314" i="3"/>
  <c r="D313" i="3"/>
  <c r="A313" i="3" s="1"/>
  <c r="B313" i="3"/>
  <c r="D312" i="3"/>
  <c r="A312" i="3" s="1"/>
  <c r="B312" i="3"/>
  <c r="D311" i="3"/>
  <c r="A311" i="3" s="1"/>
  <c r="B311" i="3"/>
  <c r="D310" i="3"/>
  <c r="A310" i="3" s="1"/>
  <c r="B310" i="3"/>
  <c r="D309" i="3"/>
  <c r="A309" i="3" s="1"/>
  <c r="B309" i="3"/>
  <c r="D308" i="3"/>
  <c r="A308" i="3" s="1"/>
  <c r="B308" i="3"/>
  <c r="D307" i="3"/>
  <c r="A307" i="3" s="1"/>
  <c r="B307" i="3"/>
  <c r="D306" i="3"/>
  <c r="B306" i="3"/>
  <c r="D305" i="3"/>
  <c r="A305" i="3" s="1"/>
  <c r="B305" i="3"/>
  <c r="D304" i="3"/>
  <c r="A304" i="3" s="1"/>
  <c r="B304" i="3"/>
  <c r="D303" i="3"/>
  <c r="A303" i="3" s="1"/>
  <c r="B303" i="3"/>
  <c r="B302" i="3"/>
  <c r="D301" i="3"/>
  <c r="A301" i="3" s="1"/>
  <c r="B301" i="3"/>
  <c r="D300" i="3"/>
  <c r="A300" i="3" s="1"/>
  <c r="B300" i="3"/>
  <c r="D299" i="3"/>
  <c r="A299" i="3" s="1"/>
  <c r="B299" i="3"/>
  <c r="D298" i="3"/>
  <c r="A298" i="3" s="1"/>
  <c r="B298" i="3"/>
  <c r="D297" i="3"/>
  <c r="A297" i="3" s="1"/>
  <c r="B297" i="3"/>
  <c r="D296" i="3"/>
  <c r="A296" i="3" s="1"/>
  <c r="B296" i="3"/>
  <c r="D295" i="3"/>
  <c r="A295" i="3" s="1"/>
  <c r="B295" i="3"/>
  <c r="D294" i="3"/>
  <c r="A294" i="3" s="1"/>
  <c r="B294" i="3"/>
  <c r="D293" i="3"/>
  <c r="A293" i="3" s="1"/>
  <c r="B293" i="3"/>
  <c r="D292" i="3"/>
  <c r="A292" i="3" s="1"/>
  <c r="B292" i="3"/>
  <c r="D291" i="3"/>
  <c r="A291" i="3" s="1"/>
  <c r="B291" i="3"/>
  <c r="B290" i="3"/>
  <c r="D289" i="3"/>
  <c r="A289" i="3" s="1"/>
  <c r="B289" i="3"/>
  <c r="D288" i="3"/>
  <c r="A288" i="3" s="1"/>
  <c r="B288" i="3"/>
  <c r="D287" i="3"/>
  <c r="A287" i="3" s="1"/>
  <c r="B287" i="3"/>
  <c r="D286" i="3"/>
  <c r="A286" i="3" s="1"/>
  <c r="B286" i="3"/>
  <c r="D285" i="3"/>
  <c r="A285" i="3" s="1"/>
  <c r="B285" i="3"/>
  <c r="D284" i="3"/>
  <c r="A284" i="3" s="1"/>
  <c r="B284" i="3"/>
  <c r="D283" i="3"/>
  <c r="A283" i="3" s="1"/>
  <c r="B283" i="3"/>
  <c r="D282" i="3"/>
  <c r="A282" i="3" s="1"/>
  <c r="B282" i="3"/>
  <c r="D281" i="3"/>
  <c r="A281" i="3" s="1"/>
  <c r="B281" i="3"/>
  <c r="D280" i="3"/>
  <c r="A280" i="3" s="1"/>
  <c r="B280" i="3"/>
  <c r="D279" i="3"/>
  <c r="A279" i="3" s="1"/>
  <c r="B279" i="3"/>
  <c r="B278" i="3"/>
  <c r="D277" i="3"/>
  <c r="A277" i="3" s="1"/>
  <c r="B277" i="3"/>
  <c r="D276" i="3"/>
  <c r="A276" i="3" s="1"/>
  <c r="B276" i="3"/>
  <c r="D275" i="3"/>
  <c r="A275" i="3" s="1"/>
  <c r="B275" i="3"/>
  <c r="B274" i="3"/>
  <c r="D273" i="3"/>
  <c r="A273" i="3" s="1"/>
  <c r="B273" i="3"/>
  <c r="D272" i="3"/>
  <c r="A272" i="3" s="1"/>
  <c r="B272" i="3"/>
  <c r="D271" i="3"/>
  <c r="A271" i="3" s="1"/>
  <c r="B271" i="3"/>
  <c r="D270" i="3"/>
  <c r="A270" i="3" s="1"/>
  <c r="B270" i="3"/>
  <c r="D269" i="3"/>
  <c r="F269" i="3" s="1"/>
  <c r="B269" i="3"/>
  <c r="D268" i="3"/>
  <c r="A268" i="3" s="1"/>
  <c r="B268" i="3"/>
  <c r="D267" i="3"/>
  <c r="B267" i="3"/>
  <c r="B266" i="3"/>
  <c r="D265" i="3"/>
  <c r="A265" i="3" s="1"/>
  <c r="B265" i="3"/>
  <c r="D264" i="3"/>
  <c r="A264" i="3" s="1"/>
  <c r="B264" i="3"/>
  <c r="D263" i="3"/>
  <c r="A263" i="3" s="1"/>
  <c r="B263" i="3"/>
  <c r="D262" i="3"/>
  <c r="A262" i="3" s="1"/>
  <c r="B262" i="3"/>
  <c r="D261" i="3"/>
  <c r="A261" i="3" s="1"/>
  <c r="B261" i="3"/>
  <c r="D260" i="3"/>
  <c r="A260" i="3" s="1"/>
  <c r="B260" i="3"/>
  <c r="D259" i="3"/>
  <c r="A259" i="3" s="1"/>
  <c r="B259" i="3"/>
  <c r="B258" i="3"/>
  <c r="D257" i="3"/>
  <c r="A257" i="3" s="1"/>
  <c r="B257" i="3"/>
  <c r="D256" i="3"/>
  <c r="A256" i="3" s="1"/>
  <c r="B256" i="3"/>
  <c r="D255" i="3"/>
  <c r="A255" i="3" s="1"/>
  <c r="B255" i="3"/>
  <c r="D254" i="3"/>
  <c r="A254" i="3" s="1"/>
  <c r="B254" i="3"/>
  <c r="D253" i="3"/>
  <c r="A253" i="3" s="1"/>
  <c r="B253" i="3"/>
  <c r="D252" i="3"/>
  <c r="A252" i="3" s="1"/>
  <c r="B252" i="3"/>
  <c r="D251" i="3"/>
  <c r="A251" i="3" s="1"/>
  <c r="B251" i="3"/>
  <c r="D250" i="3"/>
  <c r="A250" i="3" s="1"/>
  <c r="B250" i="3"/>
  <c r="D249" i="3"/>
  <c r="A249" i="3" s="1"/>
  <c r="B249" i="3"/>
  <c r="D248" i="3"/>
  <c r="B248" i="3"/>
  <c r="D247" i="3"/>
  <c r="A247" i="3" s="1"/>
  <c r="B247" i="3"/>
  <c r="D246" i="3"/>
  <c r="A246" i="3" s="1"/>
  <c r="B246" i="3"/>
  <c r="D245" i="3"/>
  <c r="A245" i="3" s="1"/>
  <c r="B245" i="3"/>
  <c r="D244" i="3"/>
  <c r="A244" i="3" s="1"/>
  <c r="B244" i="3"/>
  <c r="D243" i="3"/>
  <c r="A243" i="3" s="1"/>
  <c r="B243" i="3"/>
  <c r="D242" i="3"/>
  <c r="B242" i="3"/>
  <c r="D241" i="3"/>
  <c r="A241" i="3" s="1"/>
  <c r="B241" i="3"/>
  <c r="D240" i="3"/>
  <c r="A240" i="3" s="1"/>
  <c r="B240" i="3"/>
  <c r="D239" i="3"/>
  <c r="A239" i="3" s="1"/>
  <c r="B239" i="3"/>
  <c r="D238" i="3"/>
  <c r="A238" i="3" s="1"/>
  <c r="B238" i="3"/>
  <c r="D237" i="3"/>
  <c r="A237" i="3" s="1"/>
  <c r="B237" i="3"/>
  <c r="D236" i="3"/>
  <c r="A236" i="3" s="1"/>
  <c r="B236" i="3"/>
  <c r="D235" i="3"/>
  <c r="A235" i="3" s="1"/>
  <c r="B235" i="3"/>
  <c r="D234" i="3"/>
  <c r="A234" i="3" s="1"/>
  <c r="B234" i="3"/>
  <c r="D233" i="3"/>
  <c r="A233" i="3" s="1"/>
  <c r="B233" i="3"/>
  <c r="D232" i="3"/>
  <c r="A232" i="3" s="1"/>
  <c r="B232" i="3"/>
  <c r="D231" i="3"/>
  <c r="A231" i="3" s="1"/>
  <c r="B231" i="3"/>
  <c r="D230" i="3"/>
  <c r="B230" i="3"/>
  <c r="D229" i="3"/>
  <c r="A229" i="3" s="1"/>
  <c r="B229" i="3"/>
  <c r="D228" i="3"/>
  <c r="A228" i="3" s="1"/>
  <c r="B228" i="3"/>
  <c r="D227" i="3"/>
  <c r="A227" i="3" s="1"/>
  <c r="B227" i="3"/>
  <c r="D226" i="3"/>
  <c r="A226" i="3" s="1"/>
  <c r="B226" i="3"/>
  <c r="D225" i="3"/>
  <c r="A225" i="3" s="1"/>
  <c r="B225" i="3"/>
  <c r="D224" i="3"/>
  <c r="B224" i="3"/>
  <c r="D223" i="3"/>
  <c r="A223" i="3" s="1"/>
  <c r="B223" i="3"/>
  <c r="D222" i="3"/>
  <c r="A222" i="3" s="1"/>
  <c r="B222" i="3"/>
  <c r="D221" i="3"/>
  <c r="A221" i="3" s="1"/>
  <c r="B221" i="3"/>
  <c r="D220" i="3"/>
  <c r="A220" i="3" s="1"/>
  <c r="B220" i="3"/>
  <c r="D219" i="3"/>
  <c r="A219" i="3" s="1"/>
  <c r="B219" i="3"/>
  <c r="B218" i="3"/>
  <c r="D217" i="3"/>
  <c r="A217" i="3" s="1"/>
  <c r="B217" i="3"/>
  <c r="D216" i="3"/>
  <c r="A216" i="3" s="1"/>
  <c r="B216" i="3"/>
  <c r="D215" i="3"/>
  <c r="A215" i="3" s="1"/>
  <c r="B215" i="3"/>
  <c r="D214" i="3"/>
  <c r="A214" i="3" s="1"/>
  <c r="B214" i="3"/>
  <c r="D213" i="3"/>
  <c r="A213" i="3" s="1"/>
  <c r="B213" i="3"/>
  <c r="D212" i="3"/>
  <c r="A212" i="3" s="1"/>
  <c r="B212" i="3"/>
  <c r="D211" i="3"/>
  <c r="A211" i="3" s="1"/>
  <c r="B211" i="3"/>
  <c r="D210" i="3"/>
  <c r="B210" i="3"/>
  <c r="D209" i="3"/>
  <c r="B209" i="3"/>
  <c r="D208" i="3"/>
  <c r="A208" i="3" s="1"/>
  <c r="B208" i="3"/>
  <c r="D207" i="3"/>
  <c r="A207" i="3" s="1"/>
  <c r="B207" i="3"/>
  <c r="D206" i="3"/>
  <c r="B206" i="3"/>
  <c r="D205" i="3"/>
  <c r="A205" i="3" s="1"/>
  <c r="B205" i="3"/>
  <c r="D204" i="3"/>
  <c r="A204" i="3" s="1"/>
  <c r="B204" i="3"/>
  <c r="D203" i="3"/>
  <c r="A203" i="3" s="1"/>
  <c r="B203" i="3"/>
  <c r="D202" i="3"/>
  <c r="A202" i="3" s="1"/>
  <c r="B202" i="3"/>
  <c r="D201" i="3"/>
  <c r="A201" i="3" s="1"/>
  <c r="B201" i="3"/>
  <c r="D200" i="3"/>
  <c r="B200" i="3"/>
  <c r="D199" i="3"/>
  <c r="A199" i="3" s="1"/>
  <c r="B199" i="3"/>
  <c r="D198" i="3"/>
  <c r="A198" i="3" s="1"/>
  <c r="B198" i="3"/>
  <c r="D197" i="3"/>
  <c r="A197" i="3" s="1"/>
  <c r="B197" i="3"/>
  <c r="D196" i="3"/>
  <c r="A196" i="3" s="1"/>
  <c r="B196" i="3"/>
  <c r="D195" i="3"/>
  <c r="A195" i="3" s="1"/>
  <c r="B195" i="3"/>
  <c r="D194" i="3"/>
  <c r="B194" i="3"/>
  <c r="D193" i="3"/>
  <c r="A193" i="3" s="1"/>
  <c r="B193" i="3"/>
  <c r="D192" i="3"/>
  <c r="A192" i="3" s="1"/>
  <c r="B192" i="3"/>
  <c r="D191" i="3"/>
  <c r="A191" i="3" s="1"/>
  <c r="B191" i="3"/>
  <c r="D190" i="3"/>
  <c r="A190" i="3" s="1"/>
  <c r="B190" i="3"/>
  <c r="D189" i="3"/>
  <c r="A189" i="3" s="1"/>
  <c r="B189" i="3"/>
  <c r="D188" i="3"/>
  <c r="A188" i="3" s="1"/>
  <c r="B188" i="3"/>
  <c r="D187" i="3"/>
  <c r="A187" i="3" s="1"/>
  <c r="B187" i="3"/>
  <c r="D186" i="3"/>
  <c r="A186" i="3" s="1"/>
  <c r="B186" i="3"/>
  <c r="D185" i="3"/>
  <c r="A185" i="3" s="1"/>
  <c r="B185" i="3"/>
  <c r="D184" i="3"/>
  <c r="A184" i="3" s="1"/>
  <c r="B184" i="3"/>
  <c r="D183" i="3"/>
  <c r="A183" i="3" s="1"/>
  <c r="B183" i="3"/>
  <c r="B182" i="3"/>
  <c r="D181" i="3"/>
  <c r="A181" i="3" s="1"/>
  <c r="B181" i="3"/>
  <c r="D180" i="3"/>
  <c r="A180" i="3" s="1"/>
  <c r="B180" i="3"/>
  <c r="D179" i="3"/>
  <c r="A179" i="3" s="1"/>
  <c r="B179" i="3"/>
  <c r="D178" i="3"/>
  <c r="A178" i="3" s="1"/>
  <c r="B178" i="3"/>
  <c r="D177" i="3"/>
  <c r="A177" i="3" s="1"/>
  <c r="B177" i="3"/>
  <c r="D176" i="3"/>
  <c r="B176" i="3"/>
  <c r="D175" i="3"/>
  <c r="A175" i="3" s="1"/>
  <c r="B175" i="3"/>
  <c r="D174" i="3"/>
  <c r="A174" i="3" s="1"/>
  <c r="B174" i="3"/>
  <c r="D173" i="3"/>
  <c r="A173" i="3" s="1"/>
  <c r="B173" i="3"/>
  <c r="D172" i="3"/>
  <c r="A172" i="3" s="1"/>
  <c r="B172" i="3"/>
  <c r="D171" i="3"/>
  <c r="A171" i="3" s="1"/>
  <c r="B171" i="3"/>
  <c r="B170" i="3"/>
  <c r="D169" i="3"/>
  <c r="A169" i="3" s="1"/>
  <c r="B169" i="3"/>
  <c r="D168" i="3"/>
  <c r="A168" i="3" s="1"/>
  <c r="B168" i="3"/>
  <c r="D167" i="3"/>
  <c r="A167" i="3" s="1"/>
  <c r="B167" i="3"/>
  <c r="D166" i="3"/>
  <c r="A166" i="3" s="1"/>
  <c r="B166" i="3"/>
  <c r="D165" i="3"/>
  <c r="A165" i="3" s="1"/>
  <c r="B165" i="3"/>
  <c r="B164" i="3"/>
  <c r="D163" i="3"/>
  <c r="A163" i="3" s="1"/>
  <c r="B163" i="3"/>
  <c r="D162" i="3"/>
  <c r="A162" i="3" s="1"/>
  <c r="B162" i="3"/>
  <c r="D161" i="3"/>
  <c r="A161" i="3" s="1"/>
  <c r="B161" i="3"/>
  <c r="D160" i="3"/>
  <c r="A160" i="3" s="1"/>
  <c r="B160" i="3"/>
  <c r="D159" i="3"/>
  <c r="A159" i="3" s="1"/>
  <c r="B159" i="3"/>
  <c r="B158" i="3"/>
  <c r="D157" i="3"/>
  <c r="A157" i="3" s="1"/>
  <c r="B157" i="3"/>
  <c r="D156" i="3"/>
  <c r="A156" i="3" s="1"/>
  <c r="B156" i="3"/>
  <c r="D155" i="3"/>
  <c r="A155" i="3" s="1"/>
  <c r="B155" i="3"/>
  <c r="D154" i="3"/>
  <c r="A154" i="3" s="1"/>
  <c r="B154" i="3"/>
  <c r="D153" i="3"/>
  <c r="A153" i="3" s="1"/>
  <c r="B153" i="3"/>
  <c r="D152" i="3"/>
  <c r="A152" i="3" s="1"/>
  <c r="B152" i="3"/>
  <c r="D151" i="3"/>
  <c r="A151" i="3" s="1"/>
  <c r="B151" i="3"/>
  <c r="D150" i="3"/>
  <c r="A150" i="3" s="1"/>
  <c r="B150" i="3"/>
  <c r="D149" i="3"/>
  <c r="A149" i="3" s="1"/>
  <c r="B149" i="3"/>
  <c r="D148" i="3"/>
  <c r="A148" i="3" s="1"/>
  <c r="B148" i="3"/>
  <c r="D147" i="3"/>
  <c r="A147" i="3" s="1"/>
  <c r="B147" i="3"/>
  <c r="D146" i="3"/>
  <c r="B146" i="3"/>
  <c r="D145" i="3"/>
  <c r="A145" i="3" s="1"/>
  <c r="B145" i="3"/>
  <c r="D144" i="3"/>
  <c r="A144" i="3" s="1"/>
  <c r="B144" i="3"/>
  <c r="D143" i="3"/>
  <c r="A143" i="3" s="1"/>
  <c r="B143" i="3"/>
  <c r="D142" i="3"/>
  <c r="A142" i="3" s="1"/>
  <c r="B142" i="3"/>
  <c r="D141" i="3"/>
  <c r="A141" i="3" s="1"/>
  <c r="B141" i="3"/>
  <c r="D140" i="3"/>
  <c r="B140" i="3"/>
  <c r="D139" i="3"/>
  <c r="A139" i="3" s="1"/>
  <c r="B139" i="3"/>
  <c r="D138" i="3"/>
  <c r="A138" i="3" s="1"/>
  <c r="B138" i="3"/>
  <c r="D137" i="3"/>
  <c r="A137" i="3" s="1"/>
  <c r="B137" i="3"/>
  <c r="D136" i="3"/>
  <c r="A136" i="3" s="1"/>
  <c r="B136" i="3"/>
  <c r="D135" i="3"/>
  <c r="A135" i="3" s="1"/>
  <c r="B135" i="3"/>
  <c r="D134" i="3"/>
  <c r="B134" i="3"/>
  <c r="D133" i="3"/>
  <c r="A133" i="3" s="1"/>
  <c r="B133" i="3"/>
  <c r="D132" i="3"/>
  <c r="A132" i="3" s="1"/>
  <c r="B132" i="3"/>
  <c r="D131" i="3"/>
  <c r="A131" i="3" s="1"/>
  <c r="B131" i="3"/>
  <c r="D130" i="3"/>
  <c r="A130" i="3" s="1"/>
  <c r="B130" i="3"/>
  <c r="D129" i="3"/>
  <c r="A129" i="3" s="1"/>
  <c r="B129" i="3"/>
  <c r="D128" i="3"/>
  <c r="A128" i="3" s="1"/>
  <c r="B128" i="3"/>
  <c r="D127" i="3"/>
  <c r="A127" i="3" s="1"/>
  <c r="B127" i="3"/>
  <c r="D126" i="3"/>
  <c r="A126" i="3" s="1"/>
  <c r="B126" i="3"/>
  <c r="D125" i="3"/>
  <c r="A125" i="3" s="1"/>
  <c r="B125" i="3"/>
  <c r="D124" i="3"/>
  <c r="B124" i="3"/>
  <c r="D123" i="3"/>
  <c r="A123" i="3" s="1"/>
  <c r="B123" i="3"/>
  <c r="B122" i="3"/>
  <c r="D121" i="3"/>
  <c r="A121" i="3" s="1"/>
  <c r="B121" i="3"/>
  <c r="D120" i="3"/>
  <c r="A120" i="3" s="1"/>
  <c r="B120" i="3"/>
  <c r="D119" i="3"/>
  <c r="A119" i="3" s="1"/>
  <c r="B119" i="3"/>
  <c r="D118" i="3"/>
  <c r="A118" i="3" s="1"/>
  <c r="B118" i="3"/>
  <c r="D117" i="3"/>
  <c r="A117" i="3" s="1"/>
  <c r="B117" i="3"/>
  <c r="D116" i="3"/>
  <c r="A116" i="3" s="1"/>
  <c r="B116" i="3"/>
  <c r="D115" i="3"/>
  <c r="A115" i="3" s="1"/>
  <c r="B115" i="3"/>
  <c r="D114" i="3"/>
  <c r="B114" i="3"/>
  <c r="D113" i="3"/>
  <c r="A113" i="3" s="1"/>
  <c r="B113" i="3"/>
  <c r="D112" i="3"/>
  <c r="A112" i="3" s="1"/>
  <c r="B112" i="3"/>
  <c r="D111" i="3"/>
  <c r="A111" i="3" s="1"/>
  <c r="B111" i="3"/>
  <c r="D110" i="3"/>
  <c r="A110" i="3" s="1"/>
  <c r="B110" i="3"/>
  <c r="D109" i="3"/>
  <c r="A109" i="3" s="1"/>
  <c r="B109" i="3"/>
  <c r="D108" i="3"/>
  <c r="A108" i="3" s="1"/>
  <c r="B108" i="3"/>
  <c r="D107" i="3"/>
  <c r="A107" i="3" s="1"/>
  <c r="B107" i="3"/>
  <c r="D106" i="3"/>
  <c r="A106" i="3" s="1"/>
  <c r="B106" i="3"/>
  <c r="D105" i="3"/>
  <c r="A105" i="3" s="1"/>
  <c r="B105" i="3"/>
  <c r="D104" i="3"/>
  <c r="B104" i="3"/>
  <c r="D103" i="3"/>
  <c r="A103" i="3" s="1"/>
  <c r="B103" i="3"/>
  <c r="D102" i="3"/>
  <c r="A102" i="3" s="1"/>
  <c r="B102" i="3"/>
  <c r="D101" i="3"/>
  <c r="A101" i="3" s="1"/>
  <c r="B101" i="3"/>
  <c r="D100" i="3"/>
  <c r="A100" i="3" s="1"/>
  <c r="B100" i="3"/>
  <c r="D99" i="3"/>
  <c r="A99" i="3" s="1"/>
  <c r="B99" i="3"/>
  <c r="D98" i="3"/>
  <c r="B98" i="3"/>
  <c r="D97" i="3"/>
  <c r="A97" i="3" s="1"/>
  <c r="B97" i="3"/>
  <c r="D96" i="3"/>
  <c r="A96" i="3" s="1"/>
  <c r="B96" i="3"/>
  <c r="D95" i="3"/>
  <c r="A95" i="3" s="1"/>
  <c r="B95" i="3"/>
  <c r="D94" i="3"/>
  <c r="A94" i="3" s="1"/>
  <c r="B94" i="3"/>
  <c r="D93" i="3"/>
  <c r="A93" i="3" s="1"/>
  <c r="B93" i="3"/>
  <c r="D92" i="3"/>
  <c r="A92" i="3" s="1"/>
  <c r="B92" i="3"/>
  <c r="D91" i="3"/>
  <c r="A91" i="3" s="1"/>
  <c r="B91" i="3"/>
  <c r="D90" i="3"/>
  <c r="A90" i="3" s="1"/>
  <c r="B90" i="3"/>
  <c r="D89" i="3"/>
  <c r="A89" i="3" s="1"/>
  <c r="B89" i="3"/>
  <c r="D88" i="3"/>
  <c r="A88" i="3" s="1"/>
  <c r="B88" i="3"/>
  <c r="D87" i="3"/>
  <c r="A87" i="3" s="1"/>
  <c r="B87" i="3"/>
  <c r="D86" i="3"/>
  <c r="B86" i="3"/>
  <c r="D85" i="3"/>
  <c r="A85" i="3" s="1"/>
  <c r="B85" i="3"/>
  <c r="D84" i="3"/>
  <c r="A84" i="3" s="1"/>
  <c r="B84" i="3"/>
  <c r="D83" i="3"/>
  <c r="A83" i="3" s="1"/>
  <c r="B83" i="3"/>
  <c r="D82" i="3"/>
  <c r="B82" i="3"/>
  <c r="D81" i="3"/>
  <c r="A81" i="3" s="1"/>
  <c r="B81" i="3"/>
  <c r="D80" i="3"/>
  <c r="B80" i="3"/>
  <c r="D79" i="3"/>
  <c r="B79" i="3"/>
  <c r="D78" i="3"/>
  <c r="B78" i="3"/>
  <c r="D77" i="3"/>
  <c r="B77" i="3"/>
  <c r="D76" i="3"/>
  <c r="B76" i="3"/>
  <c r="D75" i="3"/>
  <c r="B75" i="3"/>
  <c r="D74" i="3"/>
  <c r="B74" i="3"/>
  <c r="D73" i="3"/>
  <c r="B73" i="3"/>
  <c r="D72" i="3"/>
  <c r="A72" i="3" s="1"/>
  <c r="B72" i="3"/>
  <c r="D71" i="3"/>
  <c r="A71" i="3" s="1"/>
  <c r="B71" i="3"/>
  <c r="D70" i="3"/>
  <c r="A70" i="3" s="1"/>
  <c r="B70" i="3"/>
  <c r="D69" i="3"/>
  <c r="A69" i="3" s="1"/>
  <c r="B69" i="3"/>
  <c r="D68" i="3"/>
  <c r="A68" i="3" s="1"/>
  <c r="B68" i="3"/>
  <c r="D67" i="3"/>
  <c r="A67" i="3" s="1"/>
  <c r="B67" i="3"/>
  <c r="D66" i="3"/>
  <c r="A66" i="3" s="1"/>
  <c r="B66" i="3"/>
  <c r="D65" i="3"/>
  <c r="A65" i="3" s="1"/>
  <c r="B65" i="3"/>
  <c r="D64" i="3"/>
  <c r="B64" i="3"/>
  <c r="D63" i="3"/>
  <c r="A63" i="3" s="1"/>
  <c r="B63" i="3"/>
  <c r="D62" i="3"/>
  <c r="A62" i="3" s="1"/>
  <c r="B62" i="3"/>
  <c r="D61" i="3"/>
  <c r="A61" i="3" s="1"/>
  <c r="B61" i="3"/>
  <c r="D60" i="3"/>
  <c r="A60" i="3" s="1"/>
  <c r="B60" i="3"/>
  <c r="D59" i="3"/>
  <c r="A59" i="3" s="1"/>
  <c r="B59" i="3"/>
  <c r="B58" i="3"/>
  <c r="D57" i="3"/>
  <c r="A57" i="3" s="1"/>
  <c r="B57" i="3"/>
  <c r="D56" i="3"/>
  <c r="A56" i="3" s="1"/>
  <c r="B56" i="3"/>
  <c r="D55" i="3"/>
  <c r="A55" i="3" s="1"/>
  <c r="B55" i="3"/>
  <c r="D54" i="3"/>
  <c r="A54" i="3" s="1"/>
  <c r="B54" i="3"/>
  <c r="D53" i="3"/>
  <c r="A53" i="3" s="1"/>
  <c r="B53" i="3"/>
  <c r="D52" i="3"/>
  <c r="A52" i="3" s="1"/>
  <c r="B52" i="3"/>
  <c r="D51" i="3"/>
  <c r="A51" i="3" s="1"/>
  <c r="B51" i="3"/>
  <c r="D50" i="3"/>
  <c r="A50" i="3" s="1"/>
  <c r="B50" i="3"/>
  <c r="D49" i="3"/>
  <c r="A49" i="3" s="1"/>
  <c r="B49" i="3"/>
  <c r="D48" i="3"/>
  <c r="A48" i="3" s="1"/>
  <c r="B48" i="3"/>
  <c r="D47" i="3"/>
  <c r="A47" i="3" s="1"/>
  <c r="B47" i="3"/>
  <c r="D46" i="3"/>
  <c r="B46" i="3"/>
  <c r="D45" i="3"/>
  <c r="A45" i="3" s="1"/>
  <c r="B45" i="3"/>
  <c r="D44" i="3"/>
  <c r="A44" i="3" s="1"/>
  <c r="B44" i="3"/>
  <c r="D43" i="3"/>
  <c r="A43" i="3" s="1"/>
  <c r="B43" i="3"/>
  <c r="D42" i="3"/>
  <c r="A42" i="3" s="1"/>
  <c r="B42" i="3"/>
  <c r="D41" i="3"/>
  <c r="A41" i="3" s="1"/>
  <c r="B41" i="3"/>
  <c r="D40" i="3"/>
  <c r="A40" i="3" s="1"/>
  <c r="B40" i="3"/>
  <c r="D39" i="3"/>
  <c r="A39" i="3" s="1"/>
  <c r="B39" i="3"/>
  <c r="D38" i="3"/>
  <c r="A38" i="3" s="1"/>
  <c r="B38" i="3"/>
  <c r="D37" i="3"/>
  <c r="A37" i="3" s="1"/>
  <c r="B37" i="3"/>
  <c r="D36" i="3"/>
  <c r="A36" i="3" s="1"/>
  <c r="B36" i="3"/>
  <c r="D35" i="3"/>
  <c r="A35" i="3" s="1"/>
  <c r="B35" i="3"/>
  <c r="D34" i="3"/>
  <c r="B34" i="3"/>
  <c r="D33" i="3"/>
  <c r="A33" i="3" s="1"/>
  <c r="B33" i="3"/>
  <c r="D32" i="3"/>
  <c r="A32" i="3" s="1"/>
  <c r="B32" i="3"/>
  <c r="D31" i="3"/>
  <c r="A31" i="3" s="1"/>
  <c r="B31" i="3"/>
  <c r="D30" i="3"/>
  <c r="A30" i="3" s="1"/>
  <c r="B30" i="3"/>
  <c r="D29" i="3"/>
  <c r="A29" i="3" s="1"/>
  <c r="B29" i="3"/>
  <c r="D28" i="3"/>
  <c r="A28" i="3" s="1"/>
  <c r="B28" i="3"/>
  <c r="D27" i="3"/>
  <c r="A27" i="3" s="1"/>
  <c r="B27" i="3"/>
  <c r="D26" i="3"/>
  <c r="B26" i="3"/>
  <c r="D25" i="3"/>
  <c r="A25" i="3" s="1"/>
  <c r="B25" i="3"/>
  <c r="D24" i="3"/>
  <c r="A24" i="3" s="1"/>
  <c r="B24" i="3"/>
  <c r="D23" i="3"/>
  <c r="A23" i="3" s="1"/>
  <c r="B23" i="3"/>
  <c r="D22" i="3"/>
  <c r="A22" i="3" s="1"/>
  <c r="B22" i="3"/>
  <c r="D21" i="3"/>
  <c r="A21" i="3" s="1"/>
  <c r="B21" i="3"/>
  <c r="D20" i="3"/>
  <c r="A20" i="3" s="1"/>
  <c r="B20" i="3"/>
  <c r="D19" i="3"/>
  <c r="A19" i="3" s="1"/>
  <c r="B19" i="3"/>
  <c r="D18" i="3"/>
  <c r="B18" i="3"/>
  <c r="D17" i="3"/>
  <c r="A17" i="3" s="1"/>
  <c r="B17" i="3"/>
  <c r="D16" i="3"/>
  <c r="A16" i="3" s="1"/>
  <c r="B16" i="3"/>
  <c r="D15" i="3"/>
  <c r="A15" i="3" s="1"/>
  <c r="B15" i="3"/>
  <c r="D14" i="3"/>
  <c r="B14" i="3"/>
  <c r="D13" i="3"/>
  <c r="A13" i="3" s="1"/>
  <c r="B13" i="3"/>
  <c r="D12" i="3"/>
  <c r="A12" i="3" s="1"/>
  <c r="B12" i="3"/>
  <c r="D11" i="3"/>
  <c r="A11" i="3" s="1"/>
  <c r="B11" i="3"/>
  <c r="D10" i="3"/>
  <c r="A10" i="3" s="1"/>
  <c r="B10" i="3"/>
  <c r="D9" i="3"/>
  <c r="A9" i="3" s="1"/>
  <c r="B9" i="3"/>
  <c r="D8" i="3"/>
  <c r="A8" i="3" s="1"/>
  <c r="B8" i="3"/>
  <c r="D7" i="3"/>
  <c r="A7" i="3" s="1"/>
  <c r="B7" i="3"/>
  <c r="D6" i="3"/>
  <c r="A6" i="3" s="1"/>
  <c r="B6" i="3"/>
  <c r="D5" i="3"/>
  <c r="A5" i="3" s="1"/>
  <c r="B5" i="3"/>
  <c r="D4" i="3"/>
  <c r="A4" i="3" s="1"/>
  <c r="B4" i="3"/>
  <c r="D3" i="3"/>
  <c r="A3" i="3" s="1"/>
  <c r="B3" i="3"/>
  <c r="B2" i="3"/>
  <c r="D2002" i="3"/>
  <c r="D1714" i="3"/>
  <c r="D1426" i="3"/>
  <c r="D1138" i="3"/>
  <c r="D1986" i="3"/>
  <c r="D1698" i="3"/>
  <c r="D1410" i="3"/>
  <c r="D1122" i="3"/>
  <c r="D746" i="3"/>
  <c r="D170" i="3"/>
  <c r="A1713" i="3" l="1"/>
  <c r="A2001" i="3"/>
  <c r="G196" i="1"/>
  <c r="H196" i="1" s="1"/>
  <c r="F60" i="1"/>
  <c r="D922" i="3" s="1"/>
  <c r="A922" i="3" s="1"/>
  <c r="E60" i="1"/>
  <c r="D634" i="3" s="1"/>
  <c r="D60" i="1"/>
  <c r="D346" i="3" s="1"/>
  <c r="G100" i="1"/>
  <c r="H100" i="1" s="1"/>
  <c r="I100" i="1" s="1"/>
  <c r="D962" i="3"/>
  <c r="I184" i="1"/>
  <c r="E184" i="1"/>
  <c r="G184" i="1" s="1"/>
  <c r="H184" i="1"/>
  <c r="I148" i="1"/>
  <c r="D446" i="3"/>
  <c r="F1356" i="3"/>
  <c r="A1356" i="3"/>
  <c r="A1742" i="3"/>
  <c r="A878" i="3"/>
  <c r="A302" i="3"/>
  <c r="A1754" i="3"/>
  <c r="A1466" i="3"/>
  <c r="A1454" i="3"/>
  <c r="A890" i="3"/>
  <c r="A602" i="3"/>
  <c r="A590" i="3"/>
  <c r="A1178" i="3"/>
  <c r="A1166" i="3"/>
  <c r="A314" i="3"/>
  <c r="A26" i="3"/>
  <c r="A14" i="3"/>
  <c r="D734" i="3"/>
  <c r="D482" i="3"/>
  <c r="E1359" i="3"/>
  <c r="A1359" i="3"/>
  <c r="A854" i="3"/>
  <c r="A842" i="3"/>
  <c r="A566" i="3"/>
  <c r="A554" i="3"/>
  <c r="A278" i="3"/>
  <c r="A266" i="3"/>
  <c r="D740" i="3"/>
  <c r="A740" i="3" s="1"/>
  <c r="D1028" i="3"/>
  <c r="F1436" i="3"/>
  <c r="A1436" i="3"/>
  <c r="E984" i="3"/>
  <c r="A984" i="3"/>
  <c r="G1427" i="3"/>
  <c r="A1427" i="3"/>
  <c r="E1419" i="3"/>
  <c r="A1419" i="3"/>
  <c r="H849" i="3"/>
  <c r="A849" i="3"/>
  <c r="G1114" i="3"/>
  <c r="A1114" i="3"/>
  <c r="F1018" i="3"/>
  <c r="A1018" i="3"/>
  <c r="D1586" i="3"/>
  <c r="D1010" i="3"/>
  <c r="A1198" i="3"/>
  <c r="A1418" i="3"/>
  <c r="A1228" i="3"/>
  <c r="A452" i="3"/>
  <c r="D1664" i="3"/>
  <c r="D1604" i="3"/>
  <c r="A1604" i="3" s="1"/>
  <c r="A410" i="3"/>
  <c r="A1316" i="3"/>
  <c r="A1292" i="3"/>
  <c r="A1994" i="3"/>
  <c r="A1458" i="3"/>
  <c r="A1430" i="3"/>
  <c r="A1274" i="3"/>
  <c r="A1216" i="3"/>
  <c r="A1142" i="3"/>
  <c r="A1130" i="3"/>
  <c r="A1112" i="3"/>
  <c r="A1094" i="3"/>
  <c r="A1088" i="3"/>
  <c r="A1028" i="3"/>
  <c r="A986" i="3"/>
  <c r="A2006" i="3"/>
  <c r="A1850" i="3"/>
  <c r="A1792" i="3"/>
  <c r="A1718" i="3"/>
  <c r="A1706" i="3"/>
  <c r="A1562" i="3"/>
  <c r="A698" i="3"/>
  <c r="A164" i="3"/>
  <c r="A122" i="3"/>
  <c r="A680" i="3"/>
  <c r="D1952" i="3"/>
  <c r="A1952" i="3" s="1"/>
  <c r="D1892" i="3"/>
  <c r="D1622" i="3"/>
  <c r="D1874" i="3"/>
  <c r="D1022" i="3"/>
  <c r="A1976" i="3"/>
  <c r="A1958" i="3"/>
  <c r="A1934" i="3"/>
  <c r="A1774" i="3"/>
  <c r="A1186" i="3"/>
  <c r="A950" i="3"/>
  <c r="A988" i="3"/>
  <c r="A968" i="3"/>
  <c r="A674" i="3"/>
  <c r="A1762" i="3"/>
  <c r="A1170" i="3"/>
  <c r="A1442" i="3"/>
  <c r="A898" i="3"/>
  <c r="A1868" i="3"/>
  <c r="A1070" i="3"/>
  <c r="A176" i="3"/>
  <c r="A194" i="3"/>
  <c r="A230" i="3"/>
  <c r="A716" i="3"/>
  <c r="A290" i="3"/>
  <c r="A824" i="3"/>
  <c r="A806" i="3"/>
  <c r="A446" i="3"/>
  <c r="A428" i="3"/>
  <c r="A434" i="3"/>
  <c r="A158" i="3"/>
  <c r="A546" i="3"/>
  <c r="A1682" i="3"/>
  <c r="A1154" i="3"/>
  <c r="A412" i="3"/>
  <c r="A1474" i="3"/>
  <c r="A464" i="3"/>
  <c r="A104" i="3"/>
  <c r="A86" i="3"/>
  <c r="A64" i="3"/>
  <c r="A2002" i="3"/>
  <c r="A746" i="3"/>
  <c r="A170" i="3"/>
  <c r="A652" i="3"/>
  <c r="A1486" i="3"/>
  <c r="A98" i="3"/>
  <c r="A782" i="3"/>
  <c r="A770" i="3"/>
  <c r="A1554" i="3"/>
  <c r="A1544" i="3"/>
  <c r="A1526" i="3"/>
  <c r="A1516" i="3"/>
  <c r="A1276" i="3"/>
  <c r="A1266" i="3"/>
  <c r="A1256" i="3"/>
  <c r="A940" i="3"/>
  <c r="A928" i="3"/>
  <c r="A512" i="3"/>
  <c r="A494" i="3"/>
  <c r="A1814" i="3"/>
  <c r="A594" i="3"/>
  <c r="A488" i="3"/>
  <c r="A146" i="3"/>
  <c r="A140" i="3"/>
  <c r="A134" i="3"/>
  <c r="A1928" i="3"/>
  <c r="A1010" i="3"/>
  <c r="A1504" i="3"/>
  <c r="A640" i="3"/>
  <c r="A850" i="3"/>
  <c r="A482" i="3"/>
  <c r="A1804" i="3"/>
  <c r="A962" i="3"/>
  <c r="A910" i="3"/>
  <c r="A536" i="3"/>
  <c r="A518" i="3"/>
  <c r="A402" i="3"/>
  <c r="A392" i="3"/>
  <c r="A248" i="3"/>
  <c r="A242" i="3"/>
  <c r="A2" i="3"/>
  <c r="A274" i="3"/>
  <c r="A258" i="3"/>
  <c r="A1842" i="3"/>
  <c r="A1688" i="3"/>
  <c r="A1574" i="3"/>
  <c r="A800" i="3"/>
  <c r="A700" i="3"/>
  <c r="A334" i="3"/>
  <c r="A322" i="3"/>
  <c r="A306" i="3"/>
  <c r="A46" i="3"/>
  <c r="A34" i="3"/>
  <c r="A18" i="3"/>
  <c r="A882" i="3"/>
  <c r="A866" i="3"/>
  <c r="A662" i="3"/>
  <c r="A578" i="3"/>
  <c r="A124" i="3"/>
  <c r="A114" i="3"/>
  <c r="A1832" i="3"/>
  <c r="A1586" i="3"/>
  <c r="A1580" i="3"/>
  <c r="A1238" i="3"/>
  <c r="A1040" i="3"/>
  <c r="A776" i="3"/>
  <c r="A752" i="3"/>
  <c r="A734" i="3"/>
  <c r="A690" i="3"/>
  <c r="A1138" i="3"/>
  <c r="E1016" i="3"/>
  <c r="F1016" i="3"/>
  <c r="E1982" i="3"/>
  <c r="H1982" i="3"/>
  <c r="G1982" i="3"/>
  <c r="F1982" i="3"/>
  <c r="G1856" i="3"/>
  <c r="H1856" i="3"/>
  <c r="A1730" i="3"/>
  <c r="H1730" i="3"/>
  <c r="G1414" i="3"/>
  <c r="E1414" i="3"/>
  <c r="E1227" i="3"/>
  <c r="G1227" i="3"/>
  <c r="F1227" i="3"/>
  <c r="H1227" i="3"/>
  <c r="E1101" i="3"/>
  <c r="H1101" i="3"/>
  <c r="F1101" i="3"/>
  <c r="G1101" i="3"/>
  <c r="G975" i="3"/>
  <c r="H975" i="3"/>
  <c r="F388" i="3"/>
  <c r="A388" i="3"/>
  <c r="E261" i="3"/>
  <c r="G261" i="3"/>
  <c r="F261" i="3"/>
  <c r="H261" i="3"/>
  <c r="G198" i="3"/>
  <c r="H198" i="3"/>
  <c r="D530" i="3"/>
  <c r="D1298" i="3"/>
  <c r="D1946" i="3"/>
  <c r="D1862" i="3"/>
  <c r="D1370" i="3"/>
  <c r="D1286" i="3"/>
  <c r="D1082" i="3"/>
  <c r="D998" i="3"/>
  <c r="D386" i="3"/>
  <c r="H2017" i="3"/>
  <c r="G2017" i="3"/>
  <c r="F2017" i="3"/>
  <c r="E2017" i="3"/>
  <c r="H2016" i="3"/>
  <c r="G2016" i="3"/>
  <c r="F2016" i="3"/>
  <c r="E2016" i="3"/>
  <c r="H2015" i="3"/>
  <c r="G2015" i="3"/>
  <c r="F2015" i="3"/>
  <c r="E2015" i="3"/>
  <c r="H2014" i="3"/>
  <c r="G2014" i="3"/>
  <c r="F2014" i="3"/>
  <c r="E2014" i="3"/>
  <c r="H2013" i="3"/>
  <c r="G2013" i="3"/>
  <c r="F2013" i="3"/>
  <c r="E2013" i="3"/>
  <c r="H2012" i="3"/>
  <c r="G2012" i="3"/>
  <c r="F2012" i="3"/>
  <c r="E2012" i="3"/>
  <c r="H2011" i="3"/>
  <c r="G2011" i="3"/>
  <c r="F2011" i="3"/>
  <c r="E2011" i="3"/>
  <c r="H2010" i="3"/>
  <c r="G2010" i="3"/>
  <c r="F2010" i="3"/>
  <c r="E2010" i="3"/>
  <c r="H2009" i="3"/>
  <c r="G2009" i="3"/>
  <c r="F2009" i="3"/>
  <c r="E2009" i="3"/>
  <c r="H2008" i="3"/>
  <c r="G2008" i="3"/>
  <c r="F2008" i="3"/>
  <c r="E2008" i="3"/>
  <c r="H2007" i="3"/>
  <c r="G2007" i="3"/>
  <c r="F2007" i="3"/>
  <c r="E2007" i="3"/>
  <c r="H2006" i="3"/>
  <c r="G2006" i="3"/>
  <c r="F2006" i="3"/>
  <c r="E2006" i="3"/>
  <c r="H2005" i="3"/>
  <c r="G2005" i="3"/>
  <c r="F2005" i="3"/>
  <c r="E2005" i="3"/>
  <c r="H2004" i="3"/>
  <c r="G2004" i="3"/>
  <c r="F2004" i="3"/>
  <c r="E2004" i="3"/>
  <c r="H2003" i="3"/>
  <c r="G2003" i="3"/>
  <c r="F2003" i="3"/>
  <c r="E2003" i="3"/>
  <c r="H2002" i="3"/>
  <c r="G2002" i="3"/>
  <c r="F2002" i="3"/>
  <c r="E2002" i="3"/>
  <c r="H2001" i="3"/>
  <c r="G2001" i="3"/>
  <c r="F2001" i="3"/>
  <c r="E2001" i="3"/>
  <c r="H2000" i="3"/>
  <c r="G2000" i="3"/>
  <c r="F2000" i="3"/>
  <c r="E2000" i="3"/>
  <c r="H1999" i="3"/>
  <c r="G1999" i="3"/>
  <c r="F1999" i="3"/>
  <c r="E1999" i="3"/>
  <c r="H1998" i="3"/>
  <c r="G1998" i="3"/>
  <c r="F1998" i="3"/>
  <c r="E1998" i="3"/>
  <c r="H1997" i="3"/>
  <c r="F1997" i="3"/>
  <c r="E1997" i="3"/>
  <c r="G1997" i="3"/>
  <c r="H1996" i="3"/>
  <c r="G1996" i="3"/>
  <c r="F1996" i="3"/>
  <c r="E1996" i="3"/>
  <c r="H1995" i="3"/>
  <c r="F1995" i="3"/>
  <c r="G1995" i="3"/>
  <c r="E1995" i="3"/>
  <c r="H1994" i="3"/>
  <c r="G1994" i="3"/>
  <c r="F1994" i="3"/>
  <c r="E1994" i="3"/>
  <c r="G1993" i="3"/>
  <c r="F1993" i="3"/>
  <c r="E1993" i="3"/>
  <c r="H1993" i="3"/>
  <c r="H1992" i="3"/>
  <c r="E1992" i="3"/>
  <c r="F1992" i="3"/>
  <c r="A1992" i="3"/>
  <c r="G1992" i="3"/>
  <c r="G1991" i="3"/>
  <c r="F1991" i="3"/>
  <c r="E1991" i="3"/>
  <c r="H1991" i="3"/>
  <c r="H1990" i="3"/>
  <c r="F1990" i="3"/>
  <c r="E1990" i="3"/>
  <c r="G1990" i="3"/>
  <c r="G1989" i="3"/>
  <c r="F1989" i="3"/>
  <c r="H1989" i="3"/>
  <c r="E1989" i="3"/>
  <c r="H1988" i="3"/>
  <c r="G1988" i="3"/>
  <c r="F1988" i="3"/>
  <c r="E1988" i="3"/>
  <c r="G1987" i="3"/>
  <c r="E1987" i="3"/>
  <c r="H1987" i="3"/>
  <c r="F1987" i="3"/>
  <c r="H1986" i="3"/>
  <c r="F1986" i="3"/>
  <c r="A1986" i="3"/>
  <c r="G1986" i="3"/>
  <c r="E1986" i="3"/>
  <c r="H1985" i="3"/>
  <c r="G1985" i="3"/>
  <c r="F1985" i="3"/>
  <c r="E1985" i="3"/>
  <c r="G1984" i="3"/>
  <c r="F1984" i="3"/>
  <c r="E1984" i="3"/>
  <c r="H1984" i="3"/>
  <c r="F1983" i="3"/>
  <c r="E1983" i="3"/>
  <c r="H1983" i="3"/>
  <c r="G1983" i="3"/>
  <c r="F1981" i="3"/>
  <c r="E1981" i="3"/>
  <c r="G1981" i="3"/>
  <c r="H1981" i="3"/>
  <c r="E1980" i="3"/>
  <c r="F1980" i="3"/>
  <c r="G1980" i="3"/>
  <c r="H1980" i="3"/>
  <c r="E1979" i="3"/>
  <c r="F1979" i="3"/>
  <c r="G1979" i="3"/>
  <c r="H1979" i="3"/>
  <c r="E1978" i="3"/>
  <c r="F1978" i="3"/>
  <c r="G1978" i="3"/>
  <c r="H1978" i="3"/>
  <c r="E1977" i="3"/>
  <c r="F1977" i="3"/>
  <c r="G1977" i="3"/>
  <c r="H1977" i="3"/>
  <c r="F1976" i="3"/>
  <c r="H1976" i="3"/>
  <c r="E1976" i="3"/>
  <c r="G1976" i="3"/>
  <c r="H1975" i="3"/>
  <c r="F1975" i="3"/>
  <c r="E1975" i="3"/>
  <c r="G1975" i="3"/>
  <c r="H1974" i="3"/>
  <c r="G1974" i="3"/>
  <c r="F1974" i="3"/>
  <c r="E1974" i="3"/>
  <c r="E1973" i="3"/>
  <c r="H1973" i="3"/>
  <c r="G1973" i="3"/>
  <c r="F1973" i="3"/>
  <c r="E1972" i="3"/>
  <c r="F1972" i="3"/>
  <c r="G1972" i="3"/>
  <c r="H1972" i="3"/>
  <c r="F1971" i="3"/>
  <c r="G1971" i="3"/>
  <c r="H1971" i="3"/>
  <c r="E1971" i="3"/>
  <c r="G1969" i="3"/>
  <c r="H1969" i="3"/>
  <c r="F1969" i="3"/>
  <c r="E1969" i="3"/>
  <c r="F1968" i="3"/>
  <c r="H1968" i="3"/>
  <c r="G1968" i="3"/>
  <c r="E1968" i="3"/>
  <c r="E1967" i="3"/>
  <c r="G1967" i="3"/>
  <c r="F1967" i="3"/>
  <c r="H1967" i="3"/>
  <c r="F1966" i="3"/>
  <c r="E1966" i="3"/>
  <c r="H1966" i="3"/>
  <c r="G1966" i="3"/>
  <c r="H1965" i="3"/>
  <c r="G1965" i="3"/>
  <c r="F1965" i="3"/>
  <c r="E1965" i="3"/>
  <c r="H1964" i="3"/>
  <c r="G1964" i="3"/>
  <c r="F1964" i="3"/>
  <c r="E1964" i="3"/>
  <c r="H1963" i="3"/>
  <c r="G1963" i="3"/>
  <c r="F1963" i="3"/>
  <c r="E1963" i="3"/>
  <c r="E1962" i="3"/>
  <c r="F1962" i="3"/>
  <c r="G1962" i="3"/>
  <c r="H1962" i="3"/>
  <c r="E1961" i="3"/>
  <c r="F1961" i="3"/>
  <c r="H1961" i="3"/>
  <c r="G1961" i="3"/>
  <c r="F1960" i="3"/>
  <c r="G1960" i="3"/>
  <c r="H1960" i="3"/>
  <c r="E1960" i="3"/>
  <c r="G1959" i="3"/>
  <c r="H1959" i="3"/>
  <c r="F1959" i="3"/>
  <c r="E1959" i="3"/>
  <c r="H1958" i="3"/>
  <c r="G1958" i="3"/>
  <c r="F1958" i="3"/>
  <c r="E1958" i="3"/>
  <c r="E1957" i="3"/>
  <c r="H1957" i="3"/>
  <c r="G1957" i="3"/>
  <c r="F1957" i="3"/>
  <c r="G1956" i="3"/>
  <c r="H1956" i="3"/>
  <c r="E1956" i="3"/>
  <c r="F1956" i="3"/>
  <c r="G1955" i="3"/>
  <c r="F1955" i="3"/>
  <c r="E1955" i="3"/>
  <c r="H1955" i="3"/>
  <c r="G1954" i="3"/>
  <c r="H1954" i="3"/>
  <c r="F1954" i="3"/>
  <c r="E1954" i="3"/>
  <c r="H1953" i="3"/>
  <c r="G1953" i="3"/>
  <c r="F1953" i="3"/>
  <c r="E1953" i="3"/>
  <c r="E1951" i="3"/>
  <c r="H1951" i="3"/>
  <c r="G1951" i="3"/>
  <c r="F1951" i="3"/>
  <c r="E1950" i="3"/>
  <c r="H1950" i="3"/>
  <c r="G1950" i="3"/>
  <c r="F1950" i="3"/>
  <c r="G1949" i="3"/>
  <c r="F1949" i="3"/>
  <c r="E1949" i="3"/>
  <c r="H1949" i="3"/>
  <c r="E1948" i="3"/>
  <c r="F1948" i="3"/>
  <c r="G1948" i="3"/>
  <c r="H1948" i="3"/>
  <c r="F1947" i="3"/>
  <c r="G1947" i="3"/>
  <c r="H1947" i="3"/>
  <c r="E1947" i="3"/>
  <c r="H1945" i="3"/>
  <c r="G1945" i="3"/>
  <c r="F1945" i="3"/>
  <c r="E1945" i="3"/>
  <c r="H1944" i="3"/>
  <c r="G1944" i="3"/>
  <c r="F1944" i="3"/>
  <c r="E1944" i="3"/>
  <c r="H1943" i="3"/>
  <c r="G1943" i="3"/>
  <c r="F1943" i="3"/>
  <c r="E1943" i="3"/>
  <c r="H1942" i="3"/>
  <c r="G1942" i="3"/>
  <c r="F1942" i="3"/>
  <c r="E1942" i="3"/>
  <c r="F1941" i="3"/>
  <c r="H1941" i="3"/>
  <c r="G1941" i="3"/>
  <c r="E1941" i="3"/>
  <c r="H1940" i="3"/>
  <c r="F1940" i="3"/>
  <c r="E1940" i="3"/>
  <c r="G1940" i="3"/>
  <c r="H1939" i="3"/>
  <c r="G1939" i="3"/>
  <c r="F1939" i="3"/>
  <c r="E1939" i="3"/>
  <c r="H1938" i="3"/>
  <c r="G1938" i="3"/>
  <c r="F1938" i="3"/>
  <c r="E1938" i="3"/>
  <c r="H1937" i="3"/>
  <c r="E1937" i="3"/>
  <c r="F1937" i="3"/>
  <c r="G1937" i="3"/>
  <c r="F1936" i="3"/>
  <c r="E1936" i="3"/>
  <c r="G1936" i="3"/>
  <c r="H1936" i="3"/>
  <c r="H1935" i="3"/>
  <c r="G1935" i="3"/>
  <c r="F1935" i="3"/>
  <c r="E1935" i="3"/>
  <c r="H1934" i="3"/>
  <c r="G1934" i="3"/>
  <c r="F1934" i="3"/>
  <c r="E1934" i="3"/>
  <c r="H1933" i="3"/>
  <c r="G1933" i="3"/>
  <c r="F1933" i="3"/>
  <c r="E1933" i="3"/>
  <c r="G1932" i="3"/>
  <c r="E1932" i="3"/>
  <c r="F1932" i="3"/>
  <c r="H1932" i="3"/>
  <c r="H1931" i="3"/>
  <c r="G1931" i="3"/>
  <c r="F1931" i="3"/>
  <c r="E1931" i="3"/>
  <c r="G1930" i="3"/>
  <c r="F1930" i="3"/>
  <c r="E1930" i="3"/>
  <c r="H1930" i="3"/>
  <c r="H1929" i="3"/>
  <c r="G1929" i="3"/>
  <c r="E1929" i="3"/>
  <c r="F1929" i="3"/>
  <c r="H1928" i="3"/>
  <c r="G1928" i="3"/>
  <c r="F1928" i="3"/>
  <c r="E1928" i="3"/>
  <c r="F1927" i="3"/>
  <c r="G1927" i="3"/>
  <c r="H1927" i="3"/>
  <c r="E1927" i="3"/>
  <c r="E1926" i="3"/>
  <c r="G1926" i="3"/>
  <c r="H1926" i="3"/>
  <c r="F1926" i="3"/>
  <c r="F1925" i="3"/>
  <c r="E1925" i="3"/>
  <c r="G1925" i="3"/>
  <c r="H1925" i="3"/>
  <c r="H1924" i="3"/>
  <c r="G1924" i="3"/>
  <c r="F1924" i="3"/>
  <c r="E1924" i="3"/>
  <c r="H1923" i="3"/>
  <c r="G1923" i="3"/>
  <c r="F1923" i="3"/>
  <c r="E1923" i="3"/>
  <c r="G1921" i="3"/>
  <c r="H1921" i="3"/>
  <c r="F1921" i="3"/>
  <c r="E1921" i="3"/>
  <c r="F1920" i="3"/>
  <c r="G1920" i="3"/>
  <c r="H1920" i="3"/>
  <c r="E1920" i="3"/>
  <c r="G1919" i="3"/>
  <c r="F1919" i="3"/>
  <c r="E1919" i="3"/>
  <c r="H1919" i="3"/>
  <c r="H1918" i="3"/>
  <c r="G1918" i="3"/>
  <c r="E1918" i="3"/>
  <c r="F1918" i="3"/>
  <c r="H1917" i="3"/>
  <c r="G1917" i="3"/>
  <c r="F1917" i="3"/>
  <c r="E1917" i="3"/>
  <c r="G1916" i="3"/>
  <c r="F1916" i="3"/>
  <c r="E1916" i="3"/>
  <c r="H1916" i="3"/>
  <c r="E1915" i="3"/>
  <c r="F1915" i="3"/>
  <c r="H1915" i="3"/>
  <c r="G1915" i="3"/>
  <c r="H1914" i="3"/>
  <c r="G1914" i="3"/>
  <c r="F1914" i="3"/>
  <c r="E1914" i="3"/>
  <c r="G1913" i="3"/>
  <c r="F1913" i="3"/>
  <c r="E1913" i="3"/>
  <c r="H1913" i="3"/>
  <c r="H1912" i="3"/>
  <c r="G1912" i="3"/>
  <c r="F1912" i="3"/>
  <c r="E1912" i="3"/>
  <c r="H1911" i="3"/>
  <c r="F1911" i="3"/>
  <c r="E1911" i="3"/>
  <c r="G1911" i="3"/>
  <c r="E1909" i="3"/>
  <c r="G1909" i="3"/>
  <c r="H1909" i="3"/>
  <c r="F1909" i="3"/>
  <c r="E1908" i="3"/>
  <c r="F1908" i="3"/>
  <c r="G1908" i="3"/>
  <c r="H1908" i="3"/>
  <c r="F1907" i="3"/>
  <c r="G1907" i="3"/>
  <c r="H1907" i="3"/>
  <c r="E1907" i="3"/>
  <c r="E1906" i="3"/>
  <c r="H1906" i="3"/>
  <c r="G1906" i="3"/>
  <c r="F1906" i="3"/>
  <c r="G1905" i="3"/>
  <c r="F1905" i="3"/>
  <c r="E1905" i="3"/>
  <c r="H1905" i="3"/>
  <c r="H1904" i="3"/>
  <c r="G1904" i="3"/>
  <c r="F1904" i="3"/>
  <c r="E1904" i="3"/>
  <c r="H1903" i="3"/>
  <c r="G1903" i="3"/>
  <c r="F1903" i="3"/>
  <c r="E1903" i="3"/>
  <c r="E1902" i="3"/>
  <c r="H1902" i="3"/>
  <c r="G1902" i="3"/>
  <c r="F1902" i="3"/>
  <c r="G1901" i="3"/>
  <c r="F1901" i="3"/>
  <c r="E1901" i="3"/>
  <c r="H1901" i="3"/>
  <c r="H1900" i="3"/>
  <c r="G1900" i="3"/>
  <c r="F1900" i="3"/>
  <c r="E1900" i="3"/>
  <c r="H1899" i="3"/>
  <c r="G1899" i="3"/>
  <c r="F1899" i="3"/>
  <c r="E1899" i="3"/>
  <c r="G1897" i="3"/>
  <c r="E1897" i="3"/>
  <c r="F1897" i="3"/>
  <c r="H1897" i="3"/>
  <c r="E1896" i="3"/>
  <c r="F1896" i="3"/>
  <c r="G1896" i="3"/>
  <c r="H1896" i="3"/>
  <c r="E1895" i="3"/>
  <c r="F1895" i="3"/>
  <c r="G1895" i="3"/>
  <c r="H1895" i="3"/>
  <c r="E1894" i="3"/>
  <c r="F1894" i="3"/>
  <c r="G1894" i="3"/>
  <c r="H1894" i="3"/>
  <c r="F1893" i="3"/>
  <c r="H1893" i="3"/>
  <c r="G1893" i="3"/>
  <c r="E1893" i="3"/>
  <c r="E1891" i="3"/>
  <c r="F1891" i="3"/>
  <c r="G1891" i="3"/>
  <c r="H1891" i="3"/>
  <c r="F1890" i="3"/>
  <c r="G1890" i="3"/>
  <c r="H1890" i="3"/>
  <c r="E1890" i="3"/>
  <c r="E1889" i="3"/>
  <c r="F1889" i="3"/>
  <c r="H1889" i="3"/>
  <c r="G1889" i="3"/>
  <c r="G1888" i="3"/>
  <c r="H1888" i="3"/>
  <c r="E1888" i="3"/>
  <c r="F1888" i="3"/>
  <c r="G1887" i="3"/>
  <c r="F1887" i="3"/>
  <c r="E1887" i="3"/>
  <c r="H1887" i="3"/>
  <c r="H1885" i="3"/>
  <c r="G1885" i="3"/>
  <c r="F1885" i="3"/>
  <c r="E1885" i="3"/>
  <c r="H1884" i="3"/>
  <c r="G1884" i="3"/>
  <c r="F1884" i="3"/>
  <c r="E1884" i="3"/>
  <c r="G1883" i="3"/>
  <c r="H1883" i="3"/>
  <c r="F1883" i="3"/>
  <c r="E1883" i="3"/>
  <c r="E1882" i="3"/>
  <c r="F1882" i="3"/>
  <c r="G1882" i="3"/>
  <c r="H1882" i="3"/>
  <c r="E1881" i="3"/>
  <c r="F1881" i="3"/>
  <c r="G1881" i="3"/>
  <c r="H1881" i="3"/>
  <c r="E1880" i="3"/>
  <c r="F1880" i="3"/>
  <c r="G1880" i="3"/>
  <c r="H1880" i="3"/>
  <c r="H1879" i="3"/>
  <c r="G1879" i="3"/>
  <c r="F1879" i="3"/>
  <c r="E1879" i="3"/>
  <c r="H1878" i="3"/>
  <c r="G1878" i="3"/>
  <c r="F1878" i="3"/>
  <c r="E1878" i="3"/>
  <c r="E1877" i="3"/>
  <c r="H1877" i="3"/>
  <c r="G1877" i="3"/>
  <c r="F1877" i="3"/>
  <c r="G1876" i="3"/>
  <c r="F1876" i="3"/>
  <c r="H1876" i="3"/>
  <c r="E1876" i="3"/>
  <c r="G1875" i="3"/>
  <c r="F1875" i="3"/>
  <c r="E1875" i="3"/>
  <c r="H1875" i="3"/>
  <c r="F1873" i="3"/>
  <c r="G1873" i="3"/>
  <c r="E1873" i="3"/>
  <c r="H1873" i="3"/>
  <c r="F1872" i="3"/>
  <c r="G1872" i="3"/>
  <c r="H1872" i="3"/>
  <c r="E1872" i="3"/>
  <c r="H1871" i="3"/>
  <c r="G1871" i="3"/>
  <c r="F1871" i="3"/>
  <c r="E1871" i="3"/>
  <c r="F1870" i="3"/>
  <c r="G1870" i="3"/>
  <c r="H1870" i="3"/>
  <c r="E1870" i="3"/>
  <c r="G1869" i="3"/>
  <c r="E1869" i="3"/>
  <c r="F1869" i="3"/>
  <c r="H1869" i="3"/>
  <c r="F1868" i="3"/>
  <c r="G1868" i="3"/>
  <c r="H1868" i="3"/>
  <c r="E1868" i="3"/>
  <c r="G1867" i="3"/>
  <c r="H1867" i="3"/>
  <c r="F1867" i="3"/>
  <c r="E1867" i="3"/>
  <c r="G1866" i="3"/>
  <c r="F1866" i="3"/>
  <c r="E1866" i="3"/>
  <c r="H1866" i="3"/>
  <c r="E1865" i="3"/>
  <c r="F1865" i="3"/>
  <c r="G1865" i="3"/>
  <c r="H1865" i="3"/>
  <c r="E1864" i="3"/>
  <c r="F1864" i="3"/>
  <c r="G1864" i="3"/>
  <c r="H1864" i="3"/>
  <c r="H1863" i="3"/>
  <c r="E1863" i="3"/>
  <c r="F1863" i="3"/>
  <c r="G1863" i="3"/>
  <c r="E1861" i="3"/>
  <c r="G1861" i="3"/>
  <c r="F1861" i="3"/>
  <c r="H1861" i="3"/>
  <c r="E1860" i="3"/>
  <c r="H1860" i="3"/>
  <c r="G1860" i="3"/>
  <c r="F1860" i="3"/>
  <c r="H1859" i="3"/>
  <c r="G1859" i="3"/>
  <c r="E1859" i="3"/>
  <c r="F1859" i="3"/>
  <c r="H1858" i="3"/>
  <c r="G1858" i="3"/>
  <c r="F1858" i="3"/>
  <c r="E1858" i="3"/>
  <c r="H1857" i="3"/>
  <c r="G1857" i="3"/>
  <c r="E1857" i="3"/>
  <c r="F1857" i="3"/>
  <c r="E1856" i="3"/>
  <c r="F1856" i="3"/>
  <c r="H1855" i="3"/>
  <c r="G1855" i="3"/>
  <c r="F1855" i="3"/>
  <c r="E1855" i="3"/>
  <c r="H1854" i="3"/>
  <c r="G1854" i="3"/>
  <c r="F1854" i="3"/>
  <c r="E1854" i="3"/>
  <c r="H1853" i="3"/>
  <c r="G1853" i="3"/>
  <c r="F1853" i="3"/>
  <c r="E1853" i="3"/>
  <c r="E1851" i="3"/>
  <c r="H1851" i="3"/>
  <c r="G1851" i="3"/>
  <c r="F1851" i="3"/>
  <c r="E1850" i="3"/>
  <c r="H1850" i="3"/>
  <c r="G1850" i="3"/>
  <c r="F1850" i="3"/>
  <c r="H1849" i="3"/>
  <c r="G1849" i="3"/>
  <c r="F1849" i="3"/>
  <c r="E1849" i="3"/>
  <c r="H1848" i="3"/>
  <c r="G1848" i="3"/>
  <c r="F1848" i="3"/>
  <c r="E1848" i="3"/>
  <c r="H1847" i="3"/>
  <c r="G1847" i="3"/>
  <c r="F1847" i="3"/>
  <c r="E1847" i="3"/>
  <c r="H1846" i="3"/>
  <c r="G1846" i="3"/>
  <c r="F1846" i="3"/>
  <c r="E1846" i="3"/>
  <c r="H1845" i="3"/>
  <c r="G1845" i="3"/>
  <c r="F1845" i="3"/>
  <c r="E1845" i="3"/>
  <c r="H1844" i="3"/>
  <c r="G1844" i="3"/>
  <c r="F1844" i="3"/>
  <c r="E1844" i="3"/>
  <c r="H1843" i="3"/>
  <c r="G1843" i="3"/>
  <c r="F1843" i="3"/>
  <c r="E1843" i="3"/>
  <c r="E1842" i="3"/>
  <c r="H1842" i="3"/>
  <c r="G1842" i="3"/>
  <c r="F1842" i="3"/>
  <c r="E1841" i="3"/>
  <c r="H1841" i="3"/>
  <c r="G1841" i="3"/>
  <c r="F1841" i="3"/>
  <c r="H1840" i="3"/>
  <c r="G1840" i="3"/>
  <c r="F1840" i="3"/>
  <c r="E1840" i="3"/>
  <c r="H1839" i="3"/>
  <c r="G1839" i="3"/>
  <c r="F1839" i="3"/>
  <c r="E1839" i="3"/>
  <c r="H1838" i="3"/>
  <c r="G1838" i="3"/>
  <c r="F1838" i="3"/>
  <c r="E1838" i="3"/>
  <c r="H1837" i="3"/>
  <c r="G1837" i="3"/>
  <c r="F1837" i="3"/>
  <c r="E1837" i="3"/>
  <c r="G1836" i="3"/>
  <c r="H1836" i="3"/>
  <c r="F1836" i="3"/>
  <c r="E1836" i="3"/>
  <c r="H1835" i="3"/>
  <c r="G1835" i="3"/>
  <c r="F1835" i="3"/>
  <c r="E1835" i="3"/>
  <c r="H1834" i="3"/>
  <c r="G1834" i="3"/>
  <c r="F1834" i="3"/>
  <c r="E1834" i="3"/>
  <c r="E1833" i="3"/>
  <c r="H1833" i="3"/>
  <c r="G1833" i="3"/>
  <c r="F1833" i="3"/>
  <c r="E1832" i="3"/>
  <c r="H1832" i="3"/>
  <c r="G1832" i="3"/>
  <c r="F1832" i="3"/>
  <c r="H1831" i="3"/>
  <c r="G1831" i="3"/>
  <c r="F1831" i="3"/>
  <c r="E1831" i="3"/>
  <c r="H1830" i="3"/>
  <c r="G1830" i="3"/>
  <c r="F1830" i="3"/>
  <c r="E1830" i="3"/>
  <c r="H1829" i="3"/>
  <c r="G1829" i="3"/>
  <c r="F1829" i="3"/>
  <c r="E1829" i="3"/>
  <c r="H1828" i="3"/>
  <c r="G1828" i="3"/>
  <c r="F1828" i="3"/>
  <c r="E1828" i="3"/>
  <c r="G1827" i="3"/>
  <c r="H1827" i="3"/>
  <c r="F1827" i="3"/>
  <c r="E1827" i="3"/>
  <c r="H1825" i="3"/>
  <c r="G1825" i="3"/>
  <c r="F1825" i="3"/>
  <c r="E1825" i="3"/>
  <c r="H1824" i="3"/>
  <c r="G1824" i="3"/>
  <c r="F1824" i="3"/>
  <c r="E1824" i="3"/>
  <c r="H1823" i="3"/>
  <c r="G1823" i="3"/>
  <c r="F1823" i="3"/>
  <c r="E1823" i="3"/>
  <c r="E1822" i="3"/>
  <c r="H1822" i="3"/>
  <c r="G1822" i="3"/>
  <c r="F1822" i="3"/>
  <c r="E1821" i="3"/>
  <c r="H1821" i="3"/>
  <c r="G1821" i="3"/>
  <c r="F1821" i="3"/>
  <c r="H1820" i="3"/>
  <c r="G1820" i="3"/>
  <c r="F1820" i="3"/>
  <c r="E1820" i="3"/>
  <c r="H1819" i="3"/>
  <c r="G1819" i="3"/>
  <c r="F1819" i="3"/>
  <c r="E1819" i="3"/>
  <c r="H1818" i="3"/>
  <c r="G1818" i="3"/>
  <c r="F1818" i="3"/>
  <c r="E1818" i="3"/>
  <c r="H1817" i="3"/>
  <c r="G1817" i="3"/>
  <c r="F1817" i="3"/>
  <c r="E1817" i="3"/>
  <c r="H1816" i="3"/>
  <c r="G1816" i="3"/>
  <c r="F1816" i="3"/>
  <c r="E1816" i="3"/>
  <c r="H1815" i="3"/>
  <c r="G1815" i="3"/>
  <c r="F1815" i="3"/>
  <c r="E1815" i="3"/>
  <c r="H1814" i="3"/>
  <c r="G1814" i="3"/>
  <c r="F1814" i="3"/>
  <c r="E1814" i="3"/>
  <c r="H1813" i="3"/>
  <c r="G1813" i="3"/>
  <c r="F1813" i="3"/>
  <c r="E1813" i="3"/>
  <c r="H1812" i="3"/>
  <c r="G1812" i="3"/>
  <c r="F1812" i="3"/>
  <c r="E1812" i="3"/>
  <c r="H1811" i="3"/>
  <c r="G1811" i="3"/>
  <c r="F1811" i="3"/>
  <c r="E1811" i="3"/>
  <c r="H1810" i="3"/>
  <c r="G1810" i="3"/>
  <c r="F1810" i="3"/>
  <c r="E1810" i="3"/>
  <c r="H1809" i="3"/>
  <c r="G1809" i="3"/>
  <c r="F1809" i="3"/>
  <c r="E1809" i="3"/>
  <c r="H1808" i="3"/>
  <c r="G1808" i="3"/>
  <c r="F1808" i="3"/>
  <c r="E1808" i="3"/>
  <c r="H1807" i="3"/>
  <c r="G1807" i="3"/>
  <c r="F1807" i="3"/>
  <c r="E1807" i="3"/>
  <c r="H1806" i="3"/>
  <c r="G1806" i="3"/>
  <c r="F1806" i="3"/>
  <c r="E1806" i="3"/>
  <c r="H1805" i="3"/>
  <c r="G1805" i="3"/>
  <c r="F1805" i="3"/>
  <c r="E1805" i="3"/>
  <c r="H1804" i="3"/>
  <c r="G1804" i="3"/>
  <c r="F1804" i="3"/>
  <c r="E1804" i="3"/>
  <c r="H1803" i="3"/>
  <c r="G1803" i="3"/>
  <c r="F1803" i="3"/>
  <c r="E1803" i="3"/>
  <c r="H1802" i="3"/>
  <c r="G1802" i="3"/>
  <c r="F1802" i="3"/>
  <c r="E1802" i="3"/>
  <c r="H1801" i="3"/>
  <c r="G1801" i="3"/>
  <c r="F1801" i="3"/>
  <c r="E1801" i="3"/>
  <c r="H1800" i="3"/>
  <c r="G1800" i="3"/>
  <c r="F1800" i="3"/>
  <c r="E1800" i="3"/>
  <c r="H1799" i="3"/>
  <c r="G1799" i="3"/>
  <c r="F1799" i="3"/>
  <c r="E1799" i="3"/>
  <c r="H1798" i="3"/>
  <c r="G1798" i="3"/>
  <c r="F1798" i="3"/>
  <c r="E1798" i="3"/>
  <c r="H1797" i="3"/>
  <c r="G1797" i="3"/>
  <c r="F1797" i="3"/>
  <c r="E1797" i="3"/>
  <c r="H1796" i="3"/>
  <c r="G1796" i="3"/>
  <c r="F1796" i="3"/>
  <c r="E1796" i="3"/>
  <c r="H1795" i="3"/>
  <c r="G1795" i="3"/>
  <c r="F1795" i="3"/>
  <c r="E1795" i="3"/>
  <c r="H1794" i="3"/>
  <c r="G1794" i="3"/>
  <c r="F1794" i="3"/>
  <c r="E1794" i="3"/>
  <c r="H1793" i="3"/>
  <c r="G1793" i="3"/>
  <c r="F1793" i="3"/>
  <c r="E1793" i="3"/>
  <c r="H1792" i="3"/>
  <c r="G1792" i="3"/>
  <c r="F1792" i="3"/>
  <c r="E1792" i="3"/>
  <c r="H1791" i="3"/>
  <c r="G1791" i="3"/>
  <c r="F1791" i="3"/>
  <c r="E1791" i="3"/>
  <c r="H1790" i="3"/>
  <c r="G1790" i="3"/>
  <c r="F1790" i="3"/>
  <c r="E1790" i="3"/>
  <c r="H1789" i="3"/>
  <c r="G1789" i="3"/>
  <c r="F1789" i="3"/>
  <c r="E1789" i="3"/>
  <c r="H1788" i="3"/>
  <c r="G1788" i="3"/>
  <c r="F1788" i="3"/>
  <c r="E1788" i="3"/>
  <c r="H1787" i="3"/>
  <c r="G1787" i="3"/>
  <c r="F1787" i="3"/>
  <c r="E1787" i="3"/>
  <c r="H1785" i="3"/>
  <c r="G1785" i="3"/>
  <c r="F1785" i="3"/>
  <c r="E1785" i="3"/>
  <c r="H1784" i="3"/>
  <c r="G1784" i="3"/>
  <c r="F1784" i="3"/>
  <c r="E1784" i="3"/>
  <c r="H1783" i="3"/>
  <c r="G1783" i="3"/>
  <c r="F1783" i="3"/>
  <c r="E1783" i="3"/>
  <c r="H1782" i="3"/>
  <c r="G1782" i="3"/>
  <c r="F1782" i="3"/>
  <c r="E1782" i="3"/>
  <c r="E1781" i="3"/>
  <c r="F1781" i="3"/>
  <c r="G1781" i="3"/>
  <c r="H1781" i="3"/>
  <c r="F1780" i="3"/>
  <c r="E1780" i="3"/>
  <c r="H1780" i="3"/>
  <c r="G1780" i="3"/>
  <c r="E1779" i="3"/>
  <c r="F1779" i="3"/>
  <c r="G1779" i="3"/>
  <c r="H1779" i="3"/>
  <c r="G1778" i="3"/>
  <c r="F1778" i="3"/>
  <c r="E1778" i="3"/>
  <c r="H1778" i="3"/>
  <c r="F1777" i="3"/>
  <c r="H1777" i="3"/>
  <c r="G1777" i="3"/>
  <c r="E1777" i="3"/>
  <c r="G1776" i="3"/>
  <c r="E1776" i="3"/>
  <c r="H1776" i="3"/>
  <c r="F1776" i="3"/>
  <c r="E1775" i="3"/>
  <c r="F1775" i="3"/>
  <c r="G1775" i="3"/>
  <c r="H1775" i="3"/>
  <c r="G1774" i="3"/>
  <c r="H1774" i="3"/>
  <c r="E1774" i="3"/>
  <c r="F1774" i="3"/>
  <c r="H1773" i="3"/>
  <c r="G1773" i="3"/>
  <c r="F1773" i="3"/>
  <c r="E1773" i="3"/>
  <c r="H1772" i="3"/>
  <c r="F1772" i="3"/>
  <c r="E1772" i="3"/>
  <c r="G1772" i="3"/>
  <c r="H1771" i="3"/>
  <c r="G1771" i="3"/>
  <c r="F1771" i="3"/>
  <c r="E1771" i="3"/>
  <c r="E1770" i="3"/>
  <c r="F1770" i="3"/>
  <c r="G1770" i="3"/>
  <c r="H1770" i="3"/>
  <c r="E1769" i="3"/>
  <c r="F1769" i="3"/>
  <c r="H1769" i="3"/>
  <c r="G1769" i="3"/>
  <c r="E1768" i="3"/>
  <c r="F1768" i="3"/>
  <c r="G1768" i="3"/>
  <c r="H1768" i="3"/>
  <c r="H1767" i="3"/>
  <c r="F1767" i="3"/>
  <c r="G1767" i="3"/>
  <c r="E1767" i="3"/>
  <c r="E1766" i="3"/>
  <c r="F1766" i="3"/>
  <c r="H1766" i="3"/>
  <c r="G1766" i="3"/>
  <c r="H1765" i="3"/>
  <c r="E1765" i="3"/>
  <c r="F1765" i="3"/>
  <c r="G1765" i="3"/>
  <c r="E1764" i="3"/>
  <c r="F1764" i="3"/>
  <c r="G1764" i="3"/>
  <c r="H1764" i="3"/>
  <c r="H1763" i="3"/>
  <c r="G1763" i="3"/>
  <c r="E1763" i="3"/>
  <c r="F1763" i="3"/>
  <c r="F1762" i="3"/>
  <c r="H1762" i="3"/>
  <c r="G1762" i="3"/>
  <c r="E1762" i="3"/>
  <c r="G1761" i="3"/>
  <c r="E1761" i="3"/>
  <c r="F1761" i="3"/>
  <c r="H1761" i="3"/>
  <c r="E1760" i="3"/>
  <c r="F1760" i="3"/>
  <c r="H1760" i="3"/>
  <c r="G1760" i="3"/>
  <c r="E1759" i="3"/>
  <c r="F1759" i="3"/>
  <c r="G1759" i="3"/>
  <c r="H1759" i="3"/>
  <c r="H1758" i="3"/>
  <c r="F1758" i="3"/>
  <c r="G1758" i="3"/>
  <c r="E1758" i="3"/>
  <c r="E1757" i="3"/>
  <c r="H1757" i="3"/>
  <c r="G1757" i="3"/>
  <c r="F1757" i="3"/>
  <c r="F1756" i="3"/>
  <c r="H1756" i="3"/>
  <c r="G1756" i="3"/>
  <c r="E1756" i="3"/>
  <c r="F1755" i="3"/>
  <c r="E1755" i="3"/>
  <c r="G1755" i="3"/>
  <c r="H1755" i="3"/>
  <c r="H1754" i="3"/>
  <c r="E1754" i="3"/>
  <c r="F1754" i="3"/>
  <c r="G1754" i="3"/>
  <c r="F1753" i="3"/>
  <c r="G1753" i="3"/>
  <c r="E1753" i="3"/>
  <c r="H1753" i="3"/>
  <c r="F1752" i="3"/>
  <c r="E1752" i="3"/>
  <c r="H1752" i="3"/>
  <c r="G1752" i="3"/>
  <c r="H1751" i="3"/>
  <c r="G1751" i="3"/>
  <c r="F1751" i="3"/>
  <c r="E1751" i="3"/>
  <c r="F1750" i="3"/>
  <c r="H1750" i="3"/>
  <c r="E1750" i="3"/>
  <c r="G1750" i="3"/>
  <c r="G1749" i="3"/>
  <c r="E1749" i="3"/>
  <c r="H1749" i="3"/>
  <c r="F1749" i="3"/>
  <c r="H1748" i="3"/>
  <c r="G1748" i="3"/>
  <c r="F1748" i="3"/>
  <c r="E1748" i="3"/>
  <c r="A1747" i="3"/>
  <c r="G1747" i="3"/>
  <c r="F1747" i="3"/>
  <c r="E1747" i="3"/>
  <c r="H1747" i="3"/>
  <c r="A1746" i="3"/>
  <c r="E1746" i="3"/>
  <c r="G1746" i="3"/>
  <c r="H1746" i="3"/>
  <c r="F1746" i="3"/>
  <c r="E1745" i="3"/>
  <c r="G1745" i="3"/>
  <c r="F1745" i="3"/>
  <c r="H1745" i="3"/>
  <c r="A1744" i="3"/>
  <c r="E1744" i="3"/>
  <c r="G1744" i="3"/>
  <c r="H1744" i="3"/>
  <c r="F1744" i="3"/>
  <c r="H1743" i="3"/>
  <c r="F1743" i="3"/>
  <c r="G1743" i="3"/>
  <c r="E1743" i="3"/>
  <c r="G1742" i="3"/>
  <c r="E1742" i="3"/>
  <c r="H1742" i="3"/>
  <c r="F1742" i="3"/>
  <c r="F1741" i="3"/>
  <c r="H1741" i="3"/>
  <c r="E1741" i="3"/>
  <c r="G1741" i="3"/>
  <c r="A1740" i="3"/>
  <c r="E1740" i="3"/>
  <c r="F1740" i="3"/>
  <c r="G1740" i="3"/>
  <c r="H1740" i="3"/>
  <c r="G1739" i="3"/>
  <c r="E1739" i="3"/>
  <c r="H1739" i="3"/>
  <c r="F1739" i="3"/>
  <c r="G1738" i="3"/>
  <c r="E1738" i="3"/>
  <c r="F1738" i="3"/>
  <c r="H1738" i="3"/>
  <c r="E1737" i="3"/>
  <c r="F1737" i="3"/>
  <c r="G1737" i="3"/>
  <c r="H1737" i="3"/>
  <c r="E1736" i="3"/>
  <c r="H1736" i="3"/>
  <c r="G1736" i="3"/>
  <c r="F1736" i="3"/>
  <c r="G1735" i="3"/>
  <c r="F1735" i="3"/>
  <c r="H1735" i="3"/>
  <c r="E1735" i="3"/>
  <c r="E1734" i="3"/>
  <c r="H1734" i="3"/>
  <c r="F1734" i="3"/>
  <c r="G1734" i="3"/>
  <c r="F1733" i="3"/>
  <c r="A1733" i="3"/>
  <c r="H1733" i="3"/>
  <c r="E1733" i="3"/>
  <c r="G1733" i="3"/>
  <c r="G1732" i="3"/>
  <c r="F1732" i="3"/>
  <c r="E1732" i="3"/>
  <c r="H1732" i="3"/>
  <c r="H1731" i="3"/>
  <c r="G1731" i="3"/>
  <c r="E1731" i="3"/>
  <c r="F1731" i="3"/>
  <c r="G1730" i="3"/>
  <c r="F1730" i="3"/>
  <c r="E1730" i="3"/>
  <c r="H1729" i="3"/>
  <c r="G1729" i="3"/>
  <c r="E1729" i="3"/>
  <c r="F1729" i="3"/>
  <c r="H1728" i="3"/>
  <c r="G1728" i="3"/>
  <c r="E1728" i="3"/>
  <c r="F1728" i="3"/>
  <c r="G1727" i="3"/>
  <c r="H1727" i="3"/>
  <c r="E1727" i="3"/>
  <c r="F1727" i="3"/>
  <c r="H1726" i="3"/>
  <c r="G1726" i="3"/>
  <c r="E1726" i="3"/>
  <c r="F1726" i="3"/>
  <c r="E1725" i="3"/>
  <c r="F1725" i="3"/>
  <c r="G1725" i="3"/>
  <c r="H1725" i="3"/>
  <c r="E1724" i="3"/>
  <c r="F1724" i="3"/>
  <c r="G1724" i="3"/>
  <c r="H1724" i="3"/>
  <c r="F1723" i="3"/>
  <c r="G1723" i="3"/>
  <c r="H1723" i="3"/>
  <c r="E1723" i="3"/>
  <c r="F1722" i="3"/>
  <c r="E1722" i="3"/>
  <c r="G1722" i="3"/>
  <c r="H1722" i="3"/>
  <c r="F1721" i="3"/>
  <c r="E1721" i="3"/>
  <c r="H1721" i="3"/>
  <c r="G1721" i="3"/>
  <c r="E1720" i="3"/>
  <c r="F1720" i="3"/>
  <c r="G1720" i="3"/>
  <c r="H1720" i="3"/>
  <c r="E1719" i="3"/>
  <c r="G1719" i="3"/>
  <c r="H1719" i="3"/>
  <c r="F1719" i="3"/>
  <c r="E1718" i="3"/>
  <c r="F1718" i="3"/>
  <c r="G1718" i="3"/>
  <c r="H1718" i="3"/>
  <c r="H1717" i="3"/>
  <c r="E1717" i="3"/>
  <c r="F1717" i="3"/>
  <c r="G1717" i="3"/>
  <c r="E1716" i="3"/>
  <c r="F1716" i="3"/>
  <c r="G1716" i="3"/>
  <c r="H1716" i="3"/>
  <c r="H1715" i="3"/>
  <c r="E1715" i="3"/>
  <c r="F1715" i="3"/>
  <c r="G1715" i="3"/>
  <c r="E1713" i="3"/>
  <c r="F1713" i="3"/>
  <c r="G1713" i="3"/>
  <c r="H1713" i="3"/>
  <c r="F1712" i="3"/>
  <c r="G1712" i="3"/>
  <c r="E1712" i="3"/>
  <c r="H1712" i="3"/>
  <c r="H1711" i="3"/>
  <c r="E1711" i="3"/>
  <c r="F1711" i="3"/>
  <c r="G1711" i="3"/>
  <c r="F1710" i="3"/>
  <c r="G1710" i="3"/>
  <c r="E1710" i="3"/>
  <c r="H1710" i="3"/>
  <c r="E1709" i="3"/>
  <c r="F1709" i="3"/>
  <c r="H1709" i="3"/>
  <c r="G1709" i="3"/>
  <c r="E1708" i="3"/>
  <c r="F1708" i="3"/>
  <c r="G1708" i="3"/>
  <c r="H1708" i="3"/>
  <c r="F1707" i="3"/>
  <c r="E1707" i="3"/>
  <c r="G1707" i="3"/>
  <c r="H1707" i="3"/>
  <c r="F1706" i="3"/>
  <c r="G1706" i="3"/>
  <c r="H1706" i="3"/>
  <c r="E1706" i="3"/>
  <c r="G1705" i="3"/>
  <c r="H1705" i="3"/>
  <c r="F1705" i="3"/>
  <c r="E1705" i="3"/>
  <c r="H1704" i="3"/>
  <c r="G1704" i="3"/>
  <c r="F1704" i="3"/>
  <c r="E1704" i="3"/>
  <c r="F1703" i="3"/>
  <c r="G1703" i="3"/>
  <c r="H1703" i="3"/>
  <c r="E1703" i="3"/>
  <c r="H1702" i="3"/>
  <c r="G1702" i="3"/>
  <c r="F1702" i="3"/>
  <c r="E1702" i="3"/>
  <c r="H1701" i="3"/>
  <c r="G1701" i="3"/>
  <c r="F1701" i="3"/>
  <c r="E1701" i="3"/>
  <c r="E1700" i="3"/>
  <c r="F1700" i="3"/>
  <c r="G1700" i="3"/>
  <c r="H1700" i="3"/>
  <c r="G1699" i="3"/>
  <c r="F1699" i="3"/>
  <c r="H1699" i="3"/>
  <c r="E1699" i="3"/>
  <c r="H1697" i="3"/>
  <c r="G1697" i="3"/>
  <c r="F1697" i="3"/>
  <c r="E1697" i="3"/>
  <c r="H1696" i="3"/>
  <c r="G1696" i="3"/>
  <c r="F1696" i="3"/>
  <c r="E1696" i="3"/>
  <c r="H1695" i="3"/>
  <c r="G1695" i="3"/>
  <c r="F1695" i="3"/>
  <c r="E1695" i="3"/>
  <c r="G1694" i="3"/>
  <c r="E1694" i="3"/>
  <c r="F1694" i="3"/>
  <c r="H1694" i="3"/>
  <c r="E1693" i="3"/>
  <c r="G1693" i="3"/>
  <c r="F1693" i="3"/>
  <c r="H1693" i="3"/>
  <c r="H1692" i="3"/>
  <c r="G1692" i="3"/>
  <c r="F1692" i="3"/>
  <c r="E1692" i="3"/>
  <c r="F1691" i="3"/>
  <c r="E1691" i="3"/>
  <c r="H1691" i="3"/>
  <c r="G1691" i="3"/>
  <c r="H1690" i="3"/>
  <c r="G1690" i="3"/>
  <c r="F1690" i="3"/>
  <c r="E1690" i="3"/>
  <c r="F1689" i="3"/>
  <c r="G1689" i="3"/>
  <c r="H1689" i="3"/>
  <c r="E1689" i="3"/>
  <c r="F1688" i="3"/>
  <c r="E1688" i="3"/>
  <c r="G1688" i="3"/>
  <c r="H1688" i="3"/>
  <c r="G1687" i="3"/>
  <c r="H1687" i="3"/>
  <c r="E1687" i="3"/>
  <c r="F1687" i="3"/>
  <c r="G1686" i="3"/>
  <c r="H1686" i="3"/>
  <c r="E1686" i="3"/>
  <c r="F1686" i="3"/>
  <c r="F1685" i="3"/>
  <c r="G1685" i="3"/>
  <c r="H1685" i="3"/>
  <c r="E1685" i="3"/>
  <c r="H1684" i="3"/>
  <c r="G1684" i="3"/>
  <c r="F1684" i="3"/>
  <c r="E1684" i="3"/>
  <c r="H1683" i="3"/>
  <c r="E1683" i="3"/>
  <c r="F1683" i="3"/>
  <c r="G1683" i="3"/>
  <c r="H1682" i="3"/>
  <c r="E1682" i="3"/>
  <c r="F1682" i="3"/>
  <c r="G1682" i="3"/>
  <c r="F1681" i="3"/>
  <c r="E1681" i="3"/>
  <c r="G1681" i="3"/>
  <c r="H1681" i="3"/>
  <c r="E1680" i="3"/>
  <c r="H1680" i="3"/>
  <c r="G1680" i="3"/>
  <c r="F1680" i="3"/>
  <c r="E1679" i="3"/>
  <c r="F1679" i="3"/>
  <c r="G1679" i="3"/>
  <c r="H1679" i="3"/>
  <c r="E1678" i="3"/>
  <c r="F1678" i="3"/>
  <c r="G1678" i="3"/>
  <c r="H1678" i="3"/>
  <c r="F1677" i="3"/>
  <c r="E1677" i="3"/>
  <c r="G1677" i="3"/>
  <c r="H1677" i="3"/>
  <c r="H1676" i="3"/>
  <c r="E1676" i="3"/>
  <c r="F1676" i="3"/>
  <c r="G1676" i="3"/>
  <c r="F1675" i="3"/>
  <c r="H1675" i="3"/>
  <c r="E1675" i="3"/>
  <c r="G1675" i="3"/>
  <c r="G1674" i="3"/>
  <c r="H1674" i="3"/>
  <c r="E1674" i="3"/>
  <c r="F1674" i="3"/>
  <c r="H1673" i="3"/>
  <c r="F1673" i="3"/>
  <c r="E1673" i="3"/>
  <c r="G1673" i="3"/>
  <c r="F1672" i="3"/>
  <c r="G1672" i="3"/>
  <c r="H1672" i="3"/>
  <c r="E1672" i="3"/>
  <c r="G1671" i="3"/>
  <c r="H1671" i="3"/>
  <c r="A1671" i="3"/>
  <c r="E1671" i="3"/>
  <c r="F1671" i="3"/>
  <c r="F1670" i="3"/>
  <c r="G1670" i="3"/>
  <c r="E1670" i="3"/>
  <c r="A1670" i="3"/>
  <c r="H1670" i="3"/>
  <c r="H1669" i="3"/>
  <c r="G1669" i="3"/>
  <c r="F1669" i="3"/>
  <c r="E1669" i="3"/>
  <c r="H1668" i="3"/>
  <c r="F1668" i="3"/>
  <c r="E1668" i="3"/>
  <c r="G1668" i="3"/>
  <c r="E1667" i="3"/>
  <c r="F1667" i="3"/>
  <c r="G1667" i="3"/>
  <c r="H1667" i="3"/>
  <c r="F1666" i="3"/>
  <c r="A1666" i="3"/>
  <c r="E1666" i="3"/>
  <c r="G1666" i="3"/>
  <c r="H1666" i="3"/>
  <c r="F1665" i="3"/>
  <c r="G1665" i="3"/>
  <c r="H1665" i="3"/>
  <c r="E1665" i="3"/>
  <c r="H1663" i="3"/>
  <c r="G1663" i="3"/>
  <c r="E1663" i="3"/>
  <c r="F1663" i="3"/>
  <c r="G1662" i="3"/>
  <c r="E1662" i="3"/>
  <c r="H1662" i="3"/>
  <c r="F1662" i="3"/>
  <c r="E1661" i="3"/>
  <c r="F1661" i="3"/>
  <c r="G1661" i="3"/>
  <c r="H1661" i="3"/>
  <c r="H1660" i="3"/>
  <c r="E1660" i="3"/>
  <c r="G1660" i="3"/>
  <c r="F1660" i="3"/>
  <c r="H1659" i="3"/>
  <c r="G1659" i="3"/>
  <c r="F1659" i="3"/>
  <c r="E1659" i="3"/>
  <c r="G1658" i="3"/>
  <c r="F1658" i="3"/>
  <c r="H1658" i="3"/>
  <c r="E1658" i="3"/>
  <c r="A1658" i="3"/>
  <c r="H1657" i="3"/>
  <c r="F1657" i="3"/>
  <c r="E1657" i="3"/>
  <c r="A1657" i="3"/>
  <c r="G1657" i="3"/>
  <c r="F1656" i="3"/>
  <c r="G1656" i="3"/>
  <c r="E1656" i="3"/>
  <c r="H1656" i="3"/>
  <c r="F1655" i="3"/>
  <c r="H1655" i="3"/>
  <c r="G1655" i="3"/>
  <c r="E1655" i="3"/>
  <c r="A1654" i="3"/>
  <c r="F1654" i="3"/>
  <c r="G1654" i="3"/>
  <c r="E1654" i="3"/>
  <c r="H1654" i="3"/>
  <c r="G1653" i="3"/>
  <c r="E1653" i="3"/>
  <c r="F1653" i="3"/>
  <c r="H1653" i="3"/>
  <c r="E1652" i="3"/>
  <c r="G1652" i="3"/>
  <c r="H1652" i="3"/>
  <c r="F1652" i="3"/>
  <c r="E1651" i="3"/>
  <c r="G1651" i="3"/>
  <c r="H1651" i="3"/>
  <c r="F1651" i="3"/>
  <c r="H1650" i="3"/>
  <c r="F1650" i="3"/>
  <c r="G1650" i="3"/>
  <c r="E1650" i="3"/>
  <c r="A1650" i="3"/>
  <c r="E1649" i="3"/>
  <c r="G1649" i="3"/>
  <c r="H1649" i="3"/>
  <c r="F1649" i="3"/>
  <c r="G1648" i="3"/>
  <c r="F1648" i="3"/>
  <c r="E1648" i="3"/>
  <c r="H1648" i="3"/>
  <c r="F1647" i="3"/>
  <c r="G1647" i="3"/>
  <c r="E1647" i="3"/>
  <c r="H1647" i="3"/>
  <c r="A1646" i="3"/>
  <c r="E1646" i="3"/>
  <c r="F1646" i="3"/>
  <c r="G1646" i="3"/>
  <c r="H1646" i="3"/>
  <c r="H1645" i="3"/>
  <c r="F1645" i="3"/>
  <c r="E1645" i="3"/>
  <c r="G1645" i="3"/>
  <c r="G1644" i="3"/>
  <c r="F1644" i="3"/>
  <c r="E1644" i="3"/>
  <c r="H1644" i="3"/>
  <c r="E1643" i="3"/>
  <c r="G1643" i="3"/>
  <c r="H1643" i="3"/>
  <c r="F1643" i="3"/>
  <c r="F1642" i="3"/>
  <c r="E1642" i="3"/>
  <c r="G1642" i="3"/>
  <c r="H1642" i="3"/>
  <c r="G1641" i="3"/>
  <c r="E1641" i="3"/>
  <c r="A1641" i="3"/>
  <c r="F1641" i="3"/>
  <c r="H1641" i="3"/>
  <c r="G1640" i="3"/>
  <c r="E1640" i="3"/>
  <c r="H1640" i="3"/>
  <c r="A1640" i="3"/>
  <c r="F1640" i="3"/>
  <c r="F1639" i="3"/>
  <c r="G1639" i="3"/>
  <c r="A1639" i="3"/>
  <c r="H1639" i="3"/>
  <c r="E1639" i="3"/>
  <c r="G1638" i="3"/>
  <c r="H1638" i="3"/>
  <c r="F1638" i="3"/>
  <c r="A1638" i="3"/>
  <c r="E1638" i="3"/>
  <c r="A1637" i="3"/>
  <c r="F1637" i="3"/>
  <c r="H1637" i="3"/>
  <c r="G1637" i="3"/>
  <c r="E1637" i="3"/>
  <c r="H1636" i="3"/>
  <c r="E1636" i="3"/>
  <c r="F1636" i="3"/>
  <c r="G1636" i="3"/>
  <c r="F1635" i="3"/>
  <c r="H1635" i="3"/>
  <c r="A1635" i="3"/>
  <c r="G1635" i="3"/>
  <c r="E1635" i="3"/>
  <c r="F1633" i="3"/>
  <c r="A1633" i="3"/>
  <c r="H1633" i="3"/>
  <c r="E1633" i="3"/>
  <c r="E1632" i="3"/>
  <c r="G1632" i="3"/>
  <c r="H1632" i="3"/>
  <c r="F1632" i="3"/>
  <c r="H1631" i="3"/>
  <c r="F1631" i="3"/>
  <c r="G1631" i="3"/>
  <c r="E1631" i="3"/>
  <c r="G1630" i="3"/>
  <c r="E1630" i="3"/>
  <c r="H1630" i="3"/>
  <c r="F1630" i="3"/>
  <c r="E1629" i="3"/>
  <c r="F1629" i="3"/>
  <c r="G1629" i="3"/>
  <c r="H1629" i="3"/>
  <c r="H1628" i="3"/>
  <c r="E1628" i="3"/>
  <c r="G1628" i="3"/>
  <c r="A1628" i="3"/>
  <c r="F1628" i="3"/>
  <c r="E1627" i="3"/>
  <c r="F1627" i="3"/>
  <c r="H1627" i="3"/>
  <c r="G1627" i="3"/>
  <c r="F1626" i="3"/>
  <c r="A1626" i="3"/>
  <c r="E1626" i="3"/>
  <c r="H1626" i="3"/>
  <c r="G1626" i="3"/>
  <c r="F1625" i="3"/>
  <c r="H1625" i="3"/>
  <c r="E1625" i="3"/>
  <c r="G1625" i="3"/>
  <c r="G1624" i="3"/>
  <c r="F1624" i="3"/>
  <c r="H1624" i="3"/>
  <c r="A1624" i="3"/>
  <c r="E1624" i="3"/>
  <c r="G1623" i="3"/>
  <c r="E1623" i="3"/>
  <c r="H1623" i="3"/>
  <c r="F1623" i="3"/>
  <c r="A1623" i="3"/>
  <c r="H1621" i="3"/>
  <c r="F1621" i="3"/>
  <c r="G1621" i="3"/>
  <c r="E1621" i="3"/>
  <c r="H1620" i="3"/>
  <c r="E1620" i="3"/>
  <c r="A1620" i="3"/>
  <c r="G1620" i="3"/>
  <c r="F1620" i="3"/>
  <c r="F1619" i="3"/>
  <c r="G1619" i="3"/>
  <c r="E1619" i="3"/>
  <c r="A1619" i="3"/>
  <c r="H1619" i="3"/>
  <c r="G1618" i="3"/>
  <c r="H1618" i="3"/>
  <c r="E1618" i="3"/>
  <c r="A1618" i="3"/>
  <c r="F1618" i="3"/>
  <c r="G1617" i="3"/>
  <c r="H1617" i="3"/>
  <c r="E1617" i="3"/>
  <c r="F1617" i="3"/>
  <c r="G1616" i="3"/>
  <c r="H1616" i="3"/>
  <c r="F1616" i="3"/>
  <c r="A1616" i="3"/>
  <c r="E1616" i="3"/>
  <c r="H1615" i="3"/>
  <c r="F1615" i="3"/>
  <c r="G1615" i="3"/>
  <c r="E1615" i="3"/>
  <c r="A1615" i="3"/>
  <c r="H1614" i="3"/>
  <c r="F1614" i="3"/>
  <c r="G1614" i="3"/>
  <c r="E1614" i="3"/>
  <c r="G1613" i="3"/>
  <c r="A1613" i="3"/>
  <c r="E1613" i="3"/>
  <c r="F1613" i="3"/>
  <c r="H1613" i="3"/>
  <c r="E1612" i="3"/>
  <c r="A1612" i="3"/>
  <c r="G1612" i="3"/>
  <c r="H1612" i="3"/>
  <c r="F1612" i="3"/>
  <c r="H1611" i="3"/>
  <c r="A1611" i="3"/>
  <c r="E1611" i="3"/>
  <c r="G1611" i="3"/>
  <c r="F1611" i="3"/>
  <c r="F1609" i="3"/>
  <c r="E1609" i="3"/>
  <c r="G1609" i="3"/>
  <c r="H1609" i="3"/>
  <c r="H1608" i="3"/>
  <c r="F1608" i="3"/>
  <c r="E1608" i="3"/>
  <c r="G1608" i="3"/>
  <c r="A1608" i="3"/>
  <c r="E1607" i="3"/>
  <c r="H1607" i="3"/>
  <c r="F1607" i="3"/>
  <c r="G1607" i="3"/>
  <c r="E1606" i="3"/>
  <c r="H1606" i="3"/>
  <c r="F1606" i="3"/>
  <c r="G1606" i="3"/>
  <c r="F1605" i="3"/>
  <c r="H1605" i="3"/>
  <c r="E1605" i="3"/>
  <c r="G1605" i="3"/>
  <c r="G1603" i="3"/>
  <c r="H1603" i="3"/>
  <c r="F1603" i="3"/>
  <c r="E1603" i="3"/>
  <c r="E1602" i="3"/>
  <c r="F1602" i="3"/>
  <c r="G1602" i="3"/>
  <c r="H1602" i="3"/>
  <c r="E1601" i="3"/>
  <c r="F1601" i="3"/>
  <c r="G1601" i="3"/>
  <c r="H1601" i="3"/>
  <c r="E1600" i="3"/>
  <c r="G1600" i="3"/>
  <c r="H1600" i="3"/>
  <c r="F1600" i="3"/>
  <c r="H1599" i="3"/>
  <c r="G1599" i="3"/>
  <c r="F1599" i="3"/>
  <c r="E1599" i="3"/>
  <c r="G1597" i="3"/>
  <c r="H1597" i="3"/>
  <c r="F1597" i="3"/>
  <c r="E1597" i="3"/>
  <c r="E1596" i="3"/>
  <c r="F1596" i="3"/>
  <c r="G1596" i="3"/>
  <c r="H1596" i="3"/>
  <c r="E1595" i="3"/>
  <c r="F1595" i="3"/>
  <c r="G1595" i="3"/>
  <c r="H1595" i="3"/>
  <c r="G1594" i="3"/>
  <c r="F1594" i="3"/>
  <c r="E1594" i="3"/>
  <c r="H1594" i="3"/>
  <c r="E1593" i="3"/>
  <c r="F1593" i="3"/>
  <c r="G1593" i="3"/>
  <c r="H1593" i="3"/>
  <c r="E1592" i="3"/>
  <c r="F1592" i="3"/>
  <c r="G1592" i="3"/>
  <c r="H1592" i="3"/>
  <c r="H1591" i="3"/>
  <c r="E1591" i="3"/>
  <c r="F1591" i="3"/>
  <c r="G1591" i="3"/>
  <c r="H1590" i="3"/>
  <c r="E1590" i="3"/>
  <c r="F1590" i="3"/>
  <c r="G1590" i="3"/>
  <c r="F1589" i="3"/>
  <c r="G1589" i="3"/>
  <c r="H1589" i="3"/>
  <c r="E1589" i="3"/>
  <c r="E1588" i="3"/>
  <c r="F1588" i="3"/>
  <c r="G1588" i="3"/>
  <c r="H1588" i="3"/>
  <c r="G1587" i="3"/>
  <c r="H1587" i="3"/>
  <c r="E1587" i="3"/>
  <c r="F1587" i="3"/>
  <c r="E1585" i="3"/>
  <c r="G1585" i="3"/>
  <c r="H1585" i="3"/>
  <c r="F1585" i="3"/>
  <c r="E1584" i="3"/>
  <c r="F1584" i="3"/>
  <c r="G1584" i="3"/>
  <c r="H1584" i="3"/>
  <c r="H1583" i="3"/>
  <c r="F1583" i="3"/>
  <c r="G1583" i="3"/>
  <c r="E1583" i="3"/>
  <c r="E1582" i="3"/>
  <c r="F1582" i="3"/>
  <c r="G1582" i="3"/>
  <c r="H1582" i="3"/>
  <c r="E1581" i="3"/>
  <c r="G1581" i="3"/>
  <c r="F1581" i="3"/>
  <c r="H1581" i="3"/>
  <c r="H1580" i="3"/>
  <c r="G1580" i="3"/>
  <c r="F1580" i="3"/>
  <c r="E1580" i="3"/>
  <c r="G1579" i="3"/>
  <c r="E1579" i="3"/>
  <c r="H1579" i="3"/>
  <c r="F1579" i="3"/>
  <c r="H1578" i="3"/>
  <c r="G1578" i="3"/>
  <c r="F1578" i="3"/>
  <c r="E1578" i="3"/>
  <c r="H1577" i="3"/>
  <c r="G1577" i="3"/>
  <c r="F1577" i="3"/>
  <c r="E1577" i="3"/>
  <c r="H1576" i="3"/>
  <c r="E1576" i="3"/>
  <c r="G1576" i="3"/>
  <c r="F1576" i="3"/>
  <c r="E1575" i="3"/>
  <c r="H1575" i="3"/>
  <c r="G1575" i="3"/>
  <c r="F1575" i="3"/>
  <c r="H1574" i="3"/>
  <c r="G1574" i="3"/>
  <c r="F1574" i="3"/>
  <c r="E1574" i="3"/>
  <c r="F1573" i="3"/>
  <c r="G1573" i="3"/>
  <c r="H1573" i="3"/>
  <c r="E1573" i="3"/>
  <c r="H1572" i="3"/>
  <c r="G1572" i="3"/>
  <c r="F1572" i="3"/>
  <c r="E1572" i="3"/>
  <c r="H1571" i="3"/>
  <c r="E1571" i="3"/>
  <c r="G1571" i="3"/>
  <c r="F1571" i="3"/>
  <c r="G1570" i="3"/>
  <c r="E1570" i="3"/>
  <c r="F1570" i="3"/>
  <c r="H1570" i="3"/>
  <c r="E1569" i="3"/>
  <c r="F1569" i="3"/>
  <c r="G1569" i="3"/>
  <c r="H1569" i="3"/>
  <c r="F1568" i="3"/>
  <c r="G1568" i="3"/>
  <c r="H1568" i="3"/>
  <c r="E1568" i="3"/>
  <c r="G1567" i="3"/>
  <c r="F1567" i="3"/>
  <c r="E1567" i="3"/>
  <c r="H1567" i="3"/>
  <c r="H1566" i="3"/>
  <c r="G1566" i="3"/>
  <c r="F1566" i="3"/>
  <c r="E1566" i="3"/>
  <c r="H1565" i="3"/>
  <c r="F1565" i="3"/>
  <c r="E1565" i="3"/>
  <c r="G1565" i="3"/>
  <c r="G1563" i="3"/>
  <c r="H1563" i="3"/>
  <c r="E1563" i="3"/>
  <c r="F1563" i="3"/>
  <c r="G1562" i="3"/>
  <c r="H1562" i="3"/>
  <c r="E1562" i="3"/>
  <c r="F1562" i="3"/>
  <c r="E1561" i="3"/>
  <c r="F1561" i="3"/>
  <c r="G1561" i="3"/>
  <c r="H1561" i="3"/>
  <c r="F1560" i="3"/>
  <c r="E1560" i="3"/>
  <c r="G1560" i="3"/>
  <c r="H1560" i="3"/>
  <c r="E1559" i="3"/>
  <c r="F1559" i="3"/>
  <c r="H1559" i="3"/>
  <c r="G1559" i="3"/>
  <c r="E1558" i="3"/>
  <c r="G1558" i="3"/>
  <c r="H1558" i="3"/>
  <c r="F1558" i="3"/>
  <c r="H1557" i="3"/>
  <c r="G1557" i="3"/>
  <c r="F1557" i="3"/>
  <c r="E1557" i="3"/>
  <c r="H1556" i="3"/>
  <c r="G1556" i="3"/>
  <c r="E1556" i="3"/>
  <c r="F1556" i="3"/>
  <c r="H1555" i="3"/>
  <c r="G1555" i="3"/>
  <c r="F1555" i="3"/>
  <c r="E1555" i="3"/>
  <c r="H1554" i="3"/>
  <c r="G1554" i="3"/>
  <c r="F1554" i="3"/>
  <c r="E1554" i="3"/>
  <c r="H1553" i="3"/>
  <c r="G1553" i="3"/>
  <c r="F1553" i="3"/>
  <c r="E1553" i="3"/>
  <c r="H1552" i="3"/>
  <c r="G1552" i="3"/>
  <c r="F1552" i="3"/>
  <c r="E1552" i="3"/>
  <c r="H1551" i="3"/>
  <c r="G1551" i="3"/>
  <c r="F1551" i="3"/>
  <c r="E1551" i="3"/>
  <c r="H1550" i="3"/>
  <c r="G1550" i="3"/>
  <c r="F1550" i="3"/>
  <c r="E1550" i="3"/>
  <c r="H1549" i="3"/>
  <c r="G1549" i="3"/>
  <c r="F1549" i="3"/>
  <c r="E1549" i="3"/>
  <c r="H1548" i="3"/>
  <c r="G1548" i="3"/>
  <c r="F1548" i="3"/>
  <c r="E1548" i="3"/>
  <c r="H1547" i="3"/>
  <c r="G1547" i="3"/>
  <c r="F1547" i="3"/>
  <c r="E1547" i="3"/>
  <c r="H1546" i="3"/>
  <c r="G1546" i="3"/>
  <c r="F1546" i="3"/>
  <c r="E1546" i="3"/>
  <c r="E1545" i="3"/>
  <c r="F1545" i="3"/>
  <c r="G1545" i="3"/>
  <c r="H1545" i="3"/>
  <c r="E1544" i="3"/>
  <c r="F1544" i="3"/>
  <c r="G1544" i="3"/>
  <c r="H1544" i="3"/>
  <c r="H1543" i="3"/>
  <c r="G1543" i="3"/>
  <c r="F1543" i="3"/>
  <c r="E1543" i="3"/>
  <c r="H1542" i="3"/>
  <c r="G1542" i="3"/>
  <c r="F1542" i="3"/>
  <c r="E1542" i="3"/>
  <c r="F1541" i="3"/>
  <c r="H1541" i="3"/>
  <c r="G1541" i="3"/>
  <c r="E1541" i="3"/>
  <c r="H1540" i="3"/>
  <c r="G1540" i="3"/>
  <c r="F1540" i="3"/>
  <c r="E1540" i="3"/>
  <c r="G1539" i="3"/>
  <c r="H1539" i="3"/>
  <c r="F1539" i="3"/>
  <c r="E1539" i="3"/>
  <c r="E1537" i="3"/>
  <c r="H1537" i="3"/>
  <c r="G1537" i="3"/>
  <c r="F1537" i="3"/>
  <c r="E1536" i="3"/>
  <c r="F1536" i="3"/>
  <c r="G1536" i="3"/>
  <c r="H1536" i="3"/>
  <c r="E1535" i="3"/>
  <c r="F1535" i="3"/>
  <c r="G1535" i="3"/>
  <c r="H1535" i="3"/>
  <c r="G1534" i="3"/>
  <c r="F1534" i="3"/>
  <c r="E1534" i="3"/>
  <c r="H1534" i="3"/>
  <c r="H1533" i="3"/>
  <c r="G1533" i="3"/>
  <c r="F1533" i="3"/>
  <c r="E1533" i="3"/>
  <c r="F1532" i="3"/>
  <c r="H1532" i="3"/>
  <c r="G1532" i="3"/>
  <c r="E1532" i="3"/>
  <c r="F1531" i="3"/>
  <c r="G1531" i="3"/>
  <c r="H1531" i="3"/>
  <c r="E1531" i="3"/>
  <c r="H1530" i="3"/>
  <c r="G1530" i="3"/>
  <c r="F1530" i="3"/>
  <c r="E1530" i="3"/>
  <c r="G1529" i="3"/>
  <c r="E1529" i="3"/>
  <c r="F1529" i="3"/>
  <c r="H1529" i="3"/>
  <c r="F1528" i="3"/>
  <c r="E1528" i="3"/>
  <c r="G1528" i="3"/>
  <c r="H1528" i="3"/>
  <c r="E1527" i="3"/>
  <c r="F1527" i="3"/>
  <c r="G1527" i="3"/>
  <c r="H1527" i="3"/>
  <c r="E1526" i="3"/>
  <c r="F1526" i="3"/>
  <c r="G1526" i="3"/>
  <c r="H1526" i="3"/>
  <c r="H1525" i="3"/>
  <c r="G1525" i="3"/>
  <c r="F1525" i="3"/>
  <c r="E1525" i="3"/>
  <c r="E1524" i="3"/>
  <c r="H1524" i="3"/>
  <c r="F1524" i="3"/>
  <c r="G1524" i="3"/>
  <c r="H1523" i="3"/>
  <c r="E1523" i="3"/>
  <c r="F1523" i="3"/>
  <c r="G1523" i="3"/>
  <c r="E1522" i="3"/>
  <c r="G1522" i="3"/>
  <c r="H1522" i="3"/>
  <c r="F1522" i="3"/>
  <c r="H1521" i="3"/>
  <c r="E1521" i="3"/>
  <c r="G1521" i="3"/>
  <c r="F1521" i="3"/>
  <c r="E1520" i="3"/>
  <c r="F1520" i="3"/>
  <c r="G1520" i="3"/>
  <c r="H1520" i="3"/>
  <c r="F1519" i="3"/>
  <c r="E1519" i="3"/>
  <c r="H1519" i="3"/>
  <c r="G1519" i="3"/>
  <c r="G1518" i="3"/>
  <c r="F1518" i="3"/>
  <c r="E1518" i="3"/>
  <c r="H1518" i="3"/>
  <c r="H1517" i="3"/>
  <c r="G1517" i="3"/>
  <c r="F1517" i="3"/>
  <c r="E1517" i="3"/>
  <c r="H1516" i="3"/>
  <c r="G1516" i="3"/>
  <c r="F1516" i="3"/>
  <c r="E1516" i="3"/>
  <c r="H1515" i="3"/>
  <c r="G1515" i="3"/>
  <c r="F1515" i="3"/>
  <c r="E1515" i="3"/>
  <c r="G1514" i="3"/>
  <c r="F1514" i="3"/>
  <c r="H1514" i="3"/>
  <c r="E1514" i="3"/>
  <c r="F1513" i="3"/>
  <c r="E1513" i="3"/>
  <c r="G1513" i="3"/>
  <c r="H1513" i="3"/>
  <c r="H1512" i="3"/>
  <c r="G1512" i="3"/>
  <c r="F1512" i="3"/>
  <c r="E1512" i="3"/>
  <c r="G1511" i="3"/>
  <c r="E1511" i="3"/>
  <c r="H1511" i="3"/>
  <c r="F1511" i="3"/>
  <c r="E1510" i="3"/>
  <c r="H1510" i="3"/>
  <c r="G1510" i="3"/>
  <c r="F1510" i="3"/>
  <c r="E1509" i="3"/>
  <c r="H1509" i="3"/>
  <c r="F1509" i="3"/>
  <c r="G1509" i="3"/>
  <c r="H1508" i="3"/>
  <c r="G1508" i="3"/>
  <c r="F1508" i="3"/>
  <c r="E1508" i="3"/>
  <c r="H1507" i="3"/>
  <c r="G1507" i="3"/>
  <c r="F1507" i="3"/>
  <c r="E1507" i="3"/>
  <c r="E1506" i="3"/>
  <c r="F1506" i="3"/>
  <c r="G1506" i="3"/>
  <c r="H1506" i="3"/>
  <c r="G1505" i="3"/>
  <c r="F1505" i="3"/>
  <c r="E1505" i="3"/>
  <c r="H1505" i="3"/>
  <c r="G1504" i="3"/>
  <c r="F1504" i="3"/>
  <c r="H1504" i="3"/>
  <c r="E1504" i="3"/>
  <c r="H1503" i="3"/>
  <c r="G1503" i="3"/>
  <c r="F1503" i="3"/>
  <c r="E1503" i="3"/>
  <c r="H1502" i="3"/>
  <c r="F1502" i="3"/>
  <c r="E1502" i="3"/>
  <c r="G1502" i="3"/>
  <c r="H1501" i="3"/>
  <c r="G1501" i="3"/>
  <c r="F1501" i="3"/>
  <c r="E1501" i="3"/>
  <c r="F1500" i="3"/>
  <c r="H1500" i="3"/>
  <c r="E1500" i="3"/>
  <c r="G1500" i="3"/>
  <c r="F1499" i="3"/>
  <c r="G1499" i="3"/>
  <c r="H1499" i="3"/>
  <c r="E1499" i="3"/>
  <c r="G1497" i="3"/>
  <c r="F1497" i="3"/>
  <c r="E1497" i="3"/>
  <c r="H1497" i="3"/>
  <c r="G1496" i="3"/>
  <c r="H1496" i="3"/>
  <c r="F1496" i="3"/>
  <c r="E1496" i="3"/>
  <c r="E1495" i="3"/>
  <c r="F1495" i="3"/>
  <c r="H1495" i="3"/>
  <c r="G1495" i="3"/>
  <c r="E1494" i="3"/>
  <c r="F1494" i="3"/>
  <c r="G1494" i="3"/>
  <c r="H1494" i="3"/>
  <c r="G1493" i="3"/>
  <c r="F1493" i="3"/>
  <c r="E1493" i="3"/>
  <c r="H1493" i="3"/>
  <c r="H1492" i="3"/>
  <c r="G1492" i="3"/>
  <c r="F1492" i="3"/>
  <c r="E1492" i="3"/>
  <c r="H1491" i="3"/>
  <c r="G1491" i="3"/>
  <c r="F1491" i="3"/>
  <c r="E1491" i="3"/>
  <c r="H1490" i="3"/>
  <c r="G1490" i="3"/>
  <c r="E1490" i="3"/>
  <c r="F1490" i="3"/>
  <c r="E1489" i="3"/>
  <c r="F1489" i="3"/>
  <c r="G1489" i="3"/>
  <c r="H1489" i="3"/>
  <c r="F1488" i="3"/>
  <c r="G1488" i="3"/>
  <c r="H1488" i="3"/>
  <c r="E1488" i="3"/>
  <c r="H1487" i="3"/>
  <c r="G1487" i="3"/>
  <c r="E1487" i="3"/>
  <c r="F1487" i="3"/>
  <c r="H1486" i="3"/>
  <c r="G1486" i="3"/>
  <c r="F1486" i="3"/>
  <c r="E1486" i="3"/>
  <c r="H1485" i="3"/>
  <c r="G1485" i="3"/>
  <c r="F1485" i="3"/>
  <c r="E1485" i="3"/>
  <c r="G1484" i="3"/>
  <c r="F1484" i="3"/>
  <c r="E1484" i="3"/>
  <c r="H1484" i="3"/>
  <c r="G1483" i="3"/>
  <c r="F1483" i="3"/>
  <c r="E1483" i="3"/>
  <c r="H1483" i="3"/>
  <c r="F1482" i="3"/>
  <c r="H1482" i="3"/>
  <c r="G1482" i="3"/>
  <c r="E1482" i="3"/>
  <c r="E1481" i="3"/>
  <c r="F1481" i="3"/>
  <c r="G1481" i="3"/>
  <c r="H1481" i="3"/>
  <c r="F1480" i="3"/>
  <c r="E1480" i="3"/>
  <c r="G1480" i="3"/>
  <c r="H1480" i="3"/>
  <c r="H1479" i="3"/>
  <c r="G1479" i="3"/>
  <c r="F1479" i="3"/>
  <c r="E1479" i="3"/>
  <c r="G1478" i="3"/>
  <c r="F1478" i="3"/>
  <c r="E1478" i="3"/>
  <c r="H1478" i="3"/>
  <c r="H1477" i="3"/>
  <c r="G1477" i="3"/>
  <c r="E1477" i="3"/>
  <c r="F1477" i="3"/>
  <c r="E1476" i="3"/>
  <c r="F1476" i="3"/>
  <c r="G1476" i="3"/>
  <c r="H1476" i="3"/>
  <c r="E1475" i="3"/>
  <c r="F1475" i="3"/>
  <c r="G1475" i="3"/>
  <c r="H1475" i="3"/>
  <c r="F1474" i="3"/>
  <c r="G1474" i="3"/>
  <c r="E1474" i="3"/>
  <c r="H1474" i="3"/>
  <c r="G1473" i="3"/>
  <c r="F1473" i="3"/>
  <c r="E1473" i="3"/>
  <c r="H1473" i="3"/>
  <c r="H1472" i="3"/>
  <c r="E1472" i="3"/>
  <c r="F1472" i="3"/>
  <c r="G1472" i="3"/>
  <c r="H1471" i="3"/>
  <c r="G1471" i="3"/>
  <c r="F1471" i="3"/>
  <c r="E1471" i="3"/>
  <c r="H1470" i="3"/>
  <c r="G1470" i="3"/>
  <c r="F1470" i="3"/>
  <c r="E1470" i="3"/>
  <c r="H1469" i="3"/>
  <c r="G1469" i="3"/>
  <c r="F1469" i="3"/>
  <c r="E1469" i="3"/>
  <c r="H1468" i="3"/>
  <c r="G1468" i="3"/>
  <c r="F1468" i="3"/>
  <c r="E1468" i="3"/>
  <c r="H1467" i="3"/>
  <c r="G1467" i="3"/>
  <c r="F1467" i="3"/>
  <c r="E1467" i="3"/>
  <c r="H1466" i="3"/>
  <c r="G1466" i="3"/>
  <c r="F1466" i="3"/>
  <c r="E1466" i="3"/>
  <c r="H1465" i="3"/>
  <c r="G1465" i="3"/>
  <c r="F1465" i="3"/>
  <c r="E1465" i="3"/>
  <c r="E1464" i="3"/>
  <c r="G1464" i="3"/>
  <c r="H1464" i="3"/>
  <c r="F1464" i="3"/>
  <c r="H1463" i="3"/>
  <c r="F1463" i="3"/>
  <c r="E1463" i="3"/>
  <c r="G1463" i="3"/>
  <c r="G1462" i="3"/>
  <c r="H1462" i="3"/>
  <c r="E1462" i="3"/>
  <c r="F1462" i="3"/>
  <c r="H1461" i="3"/>
  <c r="E1461" i="3"/>
  <c r="G1461" i="3"/>
  <c r="F1461" i="3"/>
  <c r="F1460" i="3"/>
  <c r="G1460" i="3"/>
  <c r="H1460" i="3"/>
  <c r="E1460" i="3"/>
  <c r="E1459" i="3"/>
  <c r="F1459" i="3"/>
  <c r="G1459" i="3"/>
  <c r="H1459" i="3"/>
  <c r="E1458" i="3"/>
  <c r="G1458" i="3"/>
  <c r="F1458" i="3"/>
  <c r="H1458" i="3"/>
  <c r="H1457" i="3"/>
  <c r="G1457" i="3"/>
  <c r="F1457" i="3"/>
  <c r="E1457" i="3"/>
  <c r="E1456" i="3"/>
  <c r="G1456" i="3"/>
  <c r="F1456" i="3"/>
  <c r="H1456" i="3"/>
  <c r="H1455" i="3"/>
  <c r="G1455" i="3"/>
  <c r="F1455" i="3"/>
  <c r="E1455" i="3"/>
  <c r="E1454" i="3"/>
  <c r="F1454" i="3"/>
  <c r="G1454" i="3"/>
  <c r="H1454" i="3"/>
  <c r="E1453" i="3"/>
  <c r="F1453" i="3"/>
  <c r="G1453" i="3"/>
  <c r="H1453" i="3"/>
  <c r="H1452" i="3"/>
  <c r="E1452" i="3"/>
  <c r="F1452" i="3"/>
  <c r="G1452" i="3"/>
  <c r="G1451" i="3"/>
  <c r="F1451" i="3"/>
  <c r="E1451" i="3"/>
  <c r="H1451" i="3"/>
  <c r="E1450" i="3"/>
  <c r="H1450" i="3"/>
  <c r="G1450" i="3"/>
  <c r="F1450" i="3"/>
  <c r="H1449" i="3"/>
  <c r="G1449" i="3"/>
  <c r="F1449" i="3"/>
  <c r="E1449" i="3"/>
  <c r="F1448" i="3"/>
  <c r="E1448" i="3"/>
  <c r="H1448" i="3"/>
  <c r="G1448" i="3"/>
  <c r="H1447" i="3"/>
  <c r="G1447" i="3"/>
  <c r="E1447" i="3"/>
  <c r="F1447" i="3"/>
  <c r="F1446" i="3"/>
  <c r="E1446" i="3"/>
  <c r="H1446" i="3"/>
  <c r="G1446" i="3"/>
  <c r="F1445" i="3"/>
  <c r="H1445" i="3"/>
  <c r="E1445" i="3"/>
  <c r="G1445" i="3"/>
  <c r="E1444" i="3"/>
  <c r="F1444" i="3"/>
  <c r="G1444" i="3"/>
  <c r="H1444" i="3"/>
  <c r="H1443" i="3"/>
  <c r="G1443" i="3"/>
  <c r="F1443" i="3"/>
  <c r="E1443" i="3"/>
  <c r="E1442" i="3"/>
  <c r="H1442" i="3"/>
  <c r="G1442" i="3"/>
  <c r="F1442" i="3"/>
  <c r="F1441" i="3"/>
  <c r="G1441" i="3"/>
  <c r="H1441" i="3"/>
  <c r="E1441" i="3"/>
  <c r="F1440" i="3"/>
  <c r="G1440" i="3"/>
  <c r="H1440" i="3"/>
  <c r="E1440" i="3"/>
  <c r="H1439" i="3"/>
  <c r="G1439" i="3"/>
  <c r="F1439" i="3"/>
  <c r="E1439" i="3"/>
  <c r="H1438" i="3"/>
  <c r="G1438" i="3"/>
  <c r="F1438" i="3"/>
  <c r="E1438" i="3"/>
  <c r="F1437" i="3"/>
  <c r="E1437" i="3"/>
  <c r="G1437" i="3"/>
  <c r="H1437" i="3"/>
  <c r="G1436" i="3"/>
  <c r="H1436" i="3"/>
  <c r="E1436" i="3"/>
  <c r="H1435" i="3"/>
  <c r="G1435" i="3"/>
  <c r="F1435" i="3"/>
  <c r="E1435" i="3"/>
  <c r="H1434" i="3"/>
  <c r="G1434" i="3"/>
  <c r="F1434" i="3"/>
  <c r="E1434" i="3"/>
  <c r="H1433" i="3"/>
  <c r="E1433" i="3"/>
  <c r="F1433" i="3"/>
  <c r="G1433" i="3"/>
  <c r="E1432" i="3"/>
  <c r="F1432" i="3"/>
  <c r="G1432" i="3"/>
  <c r="H1432" i="3"/>
  <c r="F1431" i="3"/>
  <c r="H1431" i="3"/>
  <c r="E1431" i="3"/>
  <c r="G1431" i="3"/>
  <c r="G1430" i="3"/>
  <c r="F1430" i="3"/>
  <c r="E1430" i="3"/>
  <c r="H1430" i="3"/>
  <c r="H1429" i="3"/>
  <c r="G1429" i="3"/>
  <c r="F1429" i="3"/>
  <c r="E1429" i="3"/>
  <c r="H1428" i="3"/>
  <c r="F1428" i="3"/>
  <c r="E1428" i="3"/>
  <c r="G1428" i="3"/>
  <c r="F1427" i="3"/>
  <c r="E1427" i="3"/>
  <c r="H1427" i="3"/>
  <c r="E1426" i="3"/>
  <c r="H1426" i="3"/>
  <c r="F1426" i="3"/>
  <c r="G1426" i="3"/>
  <c r="A1426" i="3"/>
  <c r="F1425" i="3"/>
  <c r="E1425" i="3"/>
  <c r="H1425" i="3"/>
  <c r="G1425" i="3"/>
  <c r="E1424" i="3"/>
  <c r="F1424" i="3"/>
  <c r="G1424" i="3"/>
  <c r="H1424" i="3"/>
  <c r="H1423" i="3"/>
  <c r="G1423" i="3"/>
  <c r="F1423" i="3"/>
  <c r="E1423" i="3"/>
  <c r="F1422" i="3"/>
  <c r="E1422" i="3"/>
  <c r="H1422" i="3"/>
  <c r="G1422" i="3"/>
  <c r="G1421" i="3"/>
  <c r="H1421" i="3"/>
  <c r="F1421" i="3"/>
  <c r="E1421" i="3"/>
  <c r="A1420" i="3"/>
  <c r="F1420" i="3"/>
  <c r="H1420" i="3"/>
  <c r="E1420" i="3"/>
  <c r="G1420" i="3"/>
  <c r="H1419" i="3"/>
  <c r="F1419" i="3"/>
  <c r="G1419" i="3"/>
  <c r="E1418" i="3"/>
  <c r="F1418" i="3"/>
  <c r="G1418" i="3"/>
  <c r="H1418" i="3"/>
  <c r="F1417" i="3"/>
  <c r="G1417" i="3"/>
  <c r="H1417" i="3"/>
  <c r="A1417" i="3"/>
  <c r="F1416" i="3"/>
  <c r="G1416" i="3"/>
  <c r="E1416" i="3"/>
  <c r="A1416" i="3"/>
  <c r="H1416" i="3"/>
  <c r="F1415" i="3"/>
  <c r="H1415" i="3"/>
  <c r="E1415" i="3"/>
  <c r="G1415" i="3"/>
  <c r="A1415" i="3"/>
  <c r="A1414" i="3"/>
  <c r="F1414" i="3"/>
  <c r="H1414" i="3"/>
  <c r="F1413" i="3"/>
  <c r="G1413" i="3"/>
  <c r="H1413" i="3"/>
  <c r="E1413" i="3"/>
  <c r="F1412" i="3"/>
  <c r="H1412" i="3"/>
  <c r="E1412" i="3"/>
  <c r="G1412" i="3"/>
  <c r="G1411" i="3"/>
  <c r="E1411" i="3"/>
  <c r="A1411" i="3"/>
  <c r="H1411" i="3"/>
  <c r="F1411" i="3"/>
  <c r="G1410" i="3"/>
  <c r="A1410" i="3"/>
  <c r="F1410" i="3"/>
  <c r="H1410" i="3"/>
  <c r="E1410" i="3"/>
  <c r="E1409" i="3"/>
  <c r="F1409" i="3"/>
  <c r="G1409" i="3"/>
  <c r="H1409" i="3"/>
  <c r="E1408" i="3"/>
  <c r="F1408" i="3"/>
  <c r="G1408" i="3"/>
  <c r="H1408" i="3"/>
  <c r="A1408" i="3"/>
  <c r="E1407" i="3"/>
  <c r="F1407" i="3"/>
  <c r="H1407" i="3"/>
  <c r="G1407" i="3"/>
  <c r="F1406" i="3"/>
  <c r="H1406" i="3"/>
  <c r="G1406" i="3"/>
  <c r="E1406" i="3"/>
  <c r="F1405" i="3"/>
  <c r="H1405" i="3"/>
  <c r="G1405" i="3"/>
  <c r="E1405" i="3"/>
  <c r="E1404" i="3"/>
  <c r="F1404" i="3"/>
  <c r="H1404" i="3"/>
  <c r="G1404" i="3"/>
  <c r="A1404" i="3"/>
  <c r="H1403" i="3"/>
  <c r="G1403" i="3"/>
  <c r="E1403" i="3"/>
  <c r="F1403" i="3"/>
  <c r="F1402" i="3"/>
  <c r="A1402" i="3"/>
  <c r="G1402" i="3"/>
  <c r="E1402" i="3"/>
  <c r="H1402" i="3"/>
  <c r="G1401" i="3"/>
  <c r="E1401" i="3"/>
  <c r="H1401" i="3"/>
  <c r="F1401" i="3"/>
  <c r="A1400" i="3"/>
  <c r="G1400" i="3"/>
  <c r="H1400" i="3"/>
  <c r="F1400" i="3"/>
  <c r="E1400" i="3"/>
  <c r="E1399" i="3"/>
  <c r="F1399" i="3"/>
  <c r="G1399" i="3"/>
  <c r="H1399" i="3"/>
  <c r="A1399" i="3"/>
  <c r="G1398" i="3"/>
  <c r="E1398" i="3"/>
  <c r="H1398" i="3"/>
  <c r="F1398" i="3"/>
  <c r="G1397" i="3"/>
  <c r="H1397" i="3"/>
  <c r="F1397" i="3"/>
  <c r="E1397" i="3"/>
  <c r="F1396" i="3"/>
  <c r="G1396" i="3"/>
  <c r="E1396" i="3"/>
  <c r="H1396" i="3"/>
  <c r="E1395" i="3"/>
  <c r="G1395" i="3"/>
  <c r="F1395" i="3"/>
  <c r="H1395" i="3"/>
  <c r="F1393" i="3"/>
  <c r="H1393" i="3"/>
  <c r="E1393" i="3"/>
  <c r="G1393" i="3"/>
  <c r="F1392" i="3"/>
  <c r="H1392" i="3"/>
  <c r="G1392" i="3"/>
  <c r="E1392" i="3"/>
  <c r="H1391" i="3"/>
  <c r="F1391" i="3"/>
  <c r="E1391" i="3"/>
  <c r="G1391" i="3"/>
  <c r="G1390" i="3"/>
  <c r="E1390" i="3"/>
  <c r="F1390" i="3"/>
  <c r="H1390" i="3"/>
  <c r="H1389" i="3"/>
  <c r="E1389" i="3"/>
  <c r="G1389" i="3"/>
  <c r="F1389" i="3"/>
  <c r="G1388" i="3"/>
  <c r="F1388" i="3"/>
  <c r="E1388" i="3"/>
  <c r="H1388" i="3"/>
  <c r="A1388" i="3"/>
  <c r="G1387" i="3"/>
  <c r="E1387" i="3"/>
  <c r="H1387" i="3"/>
  <c r="F1387" i="3"/>
  <c r="G1386" i="3"/>
  <c r="H1386" i="3"/>
  <c r="E1386" i="3"/>
  <c r="F1386" i="3"/>
  <c r="F1385" i="3"/>
  <c r="E1385" i="3"/>
  <c r="H1385" i="3"/>
  <c r="G1385" i="3"/>
  <c r="F1384" i="3"/>
  <c r="G1384" i="3"/>
  <c r="A1384" i="3"/>
  <c r="H1384" i="3"/>
  <c r="E1384" i="3"/>
  <c r="A1383" i="3"/>
  <c r="H1383" i="3"/>
  <c r="G1383" i="3"/>
  <c r="F1383" i="3"/>
  <c r="E1383" i="3"/>
  <c r="E1382" i="3"/>
  <c r="F1382" i="3"/>
  <c r="G1382" i="3"/>
  <c r="H1382" i="3"/>
  <c r="A1382" i="3"/>
  <c r="H1381" i="3"/>
  <c r="E1381" i="3"/>
  <c r="G1381" i="3"/>
  <c r="F1381" i="3"/>
  <c r="F1380" i="3"/>
  <c r="H1380" i="3"/>
  <c r="E1380" i="3"/>
  <c r="G1380" i="3"/>
  <c r="F1379" i="3"/>
  <c r="E1379" i="3"/>
  <c r="A1379" i="3"/>
  <c r="H1379" i="3"/>
  <c r="G1379" i="3"/>
  <c r="F1378" i="3"/>
  <c r="H1378" i="3"/>
  <c r="G1378" i="3"/>
  <c r="E1378" i="3"/>
  <c r="E1377" i="3"/>
  <c r="H1377" i="3"/>
  <c r="G1377" i="3"/>
  <c r="F1377" i="3"/>
  <c r="F1376" i="3"/>
  <c r="E1376" i="3"/>
  <c r="A1376" i="3"/>
  <c r="G1376" i="3"/>
  <c r="H1376" i="3"/>
  <c r="F1375" i="3"/>
  <c r="H1375" i="3"/>
  <c r="E1375" i="3"/>
  <c r="G1375" i="3"/>
  <c r="G1374" i="3"/>
  <c r="A1374" i="3"/>
  <c r="F1374" i="3"/>
  <c r="H1374" i="3"/>
  <c r="E1374" i="3"/>
  <c r="G1373" i="3"/>
  <c r="H1373" i="3"/>
  <c r="E1373" i="3"/>
  <c r="F1373" i="3"/>
  <c r="G1372" i="3"/>
  <c r="H1372" i="3"/>
  <c r="E1372" i="3"/>
  <c r="F1372" i="3"/>
  <c r="H1371" i="3"/>
  <c r="G1371" i="3"/>
  <c r="F1371" i="3"/>
  <c r="E1371" i="3"/>
  <c r="F1369" i="3"/>
  <c r="A1369" i="3"/>
  <c r="G1369" i="3"/>
  <c r="E1369" i="3"/>
  <c r="H1369" i="3"/>
  <c r="H1368" i="3"/>
  <c r="A1368" i="3"/>
  <c r="F1368" i="3"/>
  <c r="E1368" i="3"/>
  <c r="G1368" i="3"/>
  <c r="G1367" i="3"/>
  <c r="H1367" i="3"/>
  <c r="A1367" i="3"/>
  <c r="F1367" i="3"/>
  <c r="E1367" i="3"/>
  <c r="F1366" i="3"/>
  <c r="H1366" i="3"/>
  <c r="E1366" i="3"/>
  <c r="G1366" i="3"/>
  <c r="E1365" i="3"/>
  <c r="F1365" i="3"/>
  <c r="H1365" i="3"/>
  <c r="G1365" i="3"/>
  <c r="E1364" i="3"/>
  <c r="A1364" i="3"/>
  <c r="G1364" i="3"/>
  <c r="F1364" i="3"/>
  <c r="H1364" i="3"/>
  <c r="F1363" i="3"/>
  <c r="G1363" i="3"/>
  <c r="E1363" i="3"/>
  <c r="H1363" i="3"/>
  <c r="G1362" i="3"/>
  <c r="A1362" i="3"/>
  <c r="H1362" i="3"/>
  <c r="E1362" i="3"/>
  <c r="F1362" i="3"/>
  <c r="H1361" i="3"/>
  <c r="F1361" i="3"/>
  <c r="G1361" i="3"/>
  <c r="E1361" i="3"/>
  <c r="H1360" i="3"/>
  <c r="F1360" i="3"/>
  <c r="E1360" i="3"/>
  <c r="G1360" i="3"/>
  <c r="F1359" i="3"/>
  <c r="H1359" i="3"/>
  <c r="G1359" i="3"/>
  <c r="F1358" i="3"/>
  <c r="H1358" i="3"/>
  <c r="G1358" i="3"/>
  <c r="A1358" i="3"/>
  <c r="E1358" i="3"/>
  <c r="H1357" i="3"/>
  <c r="G1357" i="3"/>
  <c r="A1357" i="3"/>
  <c r="E1357" i="3"/>
  <c r="F1357" i="3"/>
  <c r="E1356" i="3"/>
  <c r="G1356" i="3"/>
  <c r="H1356" i="3"/>
  <c r="E1355" i="3"/>
  <c r="G1355" i="3"/>
  <c r="H1355" i="3"/>
  <c r="F1355" i="3"/>
  <c r="H1354" i="3"/>
  <c r="E1354" i="3"/>
  <c r="F1354" i="3"/>
  <c r="G1354" i="3"/>
  <c r="G1353" i="3"/>
  <c r="E1353" i="3"/>
  <c r="F1353" i="3"/>
  <c r="H1353" i="3"/>
  <c r="A1353" i="3"/>
  <c r="F1351" i="3"/>
  <c r="E1351" i="3"/>
  <c r="H1351" i="3"/>
  <c r="G1351" i="3"/>
  <c r="H1350" i="3"/>
  <c r="F1350" i="3"/>
  <c r="G1350" i="3"/>
  <c r="E1350" i="3"/>
  <c r="H1349" i="3"/>
  <c r="E1349" i="3"/>
  <c r="F1349" i="3"/>
  <c r="G1349" i="3"/>
  <c r="E1348" i="3"/>
  <c r="F1348" i="3"/>
  <c r="G1348" i="3"/>
  <c r="H1348" i="3"/>
  <c r="H1347" i="3"/>
  <c r="F1347" i="3"/>
  <c r="E1347" i="3"/>
  <c r="G1347" i="3"/>
  <c r="G1345" i="3"/>
  <c r="H1345" i="3"/>
  <c r="E1345" i="3"/>
  <c r="F1345" i="3"/>
  <c r="F1344" i="3"/>
  <c r="G1344" i="3"/>
  <c r="H1344" i="3"/>
  <c r="E1344" i="3"/>
  <c r="G1343" i="3"/>
  <c r="F1343" i="3"/>
  <c r="E1343" i="3"/>
  <c r="H1343" i="3"/>
  <c r="H1342" i="3"/>
  <c r="G1342" i="3"/>
  <c r="F1342" i="3"/>
  <c r="E1342" i="3"/>
  <c r="F1341" i="3"/>
  <c r="E1341" i="3"/>
  <c r="H1341" i="3"/>
  <c r="G1341" i="3"/>
  <c r="H1340" i="3"/>
  <c r="G1340" i="3"/>
  <c r="F1340" i="3"/>
  <c r="E1340" i="3"/>
  <c r="E1339" i="3"/>
  <c r="G1339" i="3"/>
  <c r="F1339" i="3"/>
  <c r="H1339" i="3"/>
  <c r="H1338" i="3"/>
  <c r="G1338" i="3"/>
  <c r="F1338" i="3"/>
  <c r="E1338" i="3"/>
  <c r="F1337" i="3"/>
  <c r="G1337" i="3"/>
  <c r="H1337" i="3"/>
  <c r="E1337" i="3"/>
  <c r="E1336" i="3"/>
  <c r="F1336" i="3"/>
  <c r="G1336" i="3"/>
  <c r="H1336" i="3"/>
  <c r="G1335" i="3"/>
  <c r="F1335" i="3"/>
  <c r="H1335" i="3"/>
  <c r="E1335" i="3"/>
  <c r="H1333" i="3"/>
  <c r="G1333" i="3"/>
  <c r="F1333" i="3"/>
  <c r="E1333" i="3"/>
  <c r="H1332" i="3"/>
  <c r="G1332" i="3"/>
  <c r="F1332" i="3"/>
  <c r="E1332" i="3"/>
  <c r="G1331" i="3"/>
  <c r="H1331" i="3"/>
  <c r="F1331" i="3"/>
  <c r="E1331" i="3"/>
  <c r="H1330" i="3"/>
  <c r="G1330" i="3"/>
  <c r="F1330" i="3"/>
  <c r="E1330" i="3"/>
  <c r="H1329" i="3"/>
  <c r="G1329" i="3"/>
  <c r="F1329" i="3"/>
  <c r="E1329" i="3"/>
  <c r="G1328" i="3"/>
  <c r="F1328" i="3"/>
  <c r="E1328" i="3"/>
  <c r="H1328" i="3"/>
  <c r="H1327" i="3"/>
  <c r="G1327" i="3"/>
  <c r="F1327" i="3"/>
  <c r="E1327" i="3"/>
  <c r="F1326" i="3"/>
  <c r="H1326" i="3"/>
  <c r="G1326" i="3"/>
  <c r="E1326" i="3"/>
  <c r="G1325" i="3"/>
  <c r="F1325" i="3"/>
  <c r="E1325" i="3"/>
  <c r="H1325" i="3"/>
  <c r="F1324" i="3"/>
  <c r="H1324" i="3"/>
  <c r="G1324" i="3"/>
  <c r="E1324" i="3"/>
  <c r="H1323" i="3"/>
  <c r="G1323" i="3"/>
  <c r="E1323" i="3"/>
  <c r="F1323" i="3"/>
  <c r="H1321" i="3"/>
  <c r="G1321" i="3"/>
  <c r="F1321" i="3"/>
  <c r="E1321" i="3"/>
  <c r="H1320" i="3"/>
  <c r="F1320" i="3"/>
  <c r="E1320" i="3"/>
  <c r="G1320" i="3"/>
  <c r="H1319" i="3"/>
  <c r="E1319" i="3"/>
  <c r="G1319" i="3"/>
  <c r="F1319" i="3"/>
  <c r="F1318" i="3"/>
  <c r="G1318" i="3"/>
  <c r="H1318" i="3"/>
  <c r="E1318" i="3"/>
  <c r="E1317" i="3"/>
  <c r="F1317" i="3"/>
  <c r="G1317" i="3"/>
  <c r="H1317" i="3"/>
  <c r="E1316" i="3"/>
  <c r="G1316" i="3"/>
  <c r="H1316" i="3"/>
  <c r="F1316" i="3"/>
  <c r="F1315" i="3"/>
  <c r="G1315" i="3"/>
  <c r="H1315" i="3"/>
  <c r="E1315" i="3"/>
  <c r="H1314" i="3"/>
  <c r="G1314" i="3"/>
  <c r="F1314" i="3"/>
  <c r="E1314" i="3"/>
  <c r="F1313" i="3"/>
  <c r="G1313" i="3"/>
  <c r="H1313" i="3"/>
  <c r="E1313" i="3"/>
  <c r="E1312" i="3"/>
  <c r="G1312" i="3"/>
  <c r="H1312" i="3"/>
  <c r="F1312" i="3"/>
  <c r="G1311" i="3"/>
  <c r="F1311" i="3"/>
  <c r="E1311" i="3"/>
  <c r="H1311" i="3"/>
  <c r="H1309" i="3"/>
  <c r="G1309" i="3"/>
  <c r="F1309" i="3"/>
  <c r="E1309" i="3"/>
  <c r="H1308" i="3"/>
  <c r="G1308" i="3"/>
  <c r="F1308" i="3"/>
  <c r="E1308" i="3"/>
  <c r="H1307" i="3"/>
  <c r="G1307" i="3"/>
  <c r="F1307" i="3"/>
  <c r="E1307" i="3"/>
  <c r="H1306" i="3"/>
  <c r="G1306" i="3"/>
  <c r="F1306" i="3"/>
  <c r="E1306" i="3"/>
  <c r="H1305" i="3"/>
  <c r="F1305" i="3"/>
  <c r="E1305" i="3"/>
  <c r="G1305" i="3"/>
  <c r="G1304" i="3"/>
  <c r="F1304" i="3"/>
  <c r="E1304" i="3"/>
  <c r="H1304" i="3"/>
  <c r="F1303" i="3"/>
  <c r="G1303" i="3"/>
  <c r="H1303" i="3"/>
  <c r="E1303" i="3"/>
  <c r="E1302" i="3"/>
  <c r="H1302" i="3"/>
  <c r="G1302" i="3"/>
  <c r="F1302" i="3"/>
  <c r="G1301" i="3"/>
  <c r="F1301" i="3"/>
  <c r="H1301" i="3"/>
  <c r="E1301" i="3"/>
  <c r="E1300" i="3"/>
  <c r="F1300" i="3"/>
  <c r="G1300" i="3"/>
  <c r="H1300" i="3"/>
  <c r="F1299" i="3"/>
  <c r="E1299" i="3"/>
  <c r="G1299" i="3"/>
  <c r="H1299" i="3"/>
  <c r="E1297" i="3"/>
  <c r="F1297" i="3"/>
  <c r="G1297" i="3"/>
  <c r="H1297" i="3"/>
  <c r="H1296" i="3"/>
  <c r="E1296" i="3"/>
  <c r="F1296" i="3"/>
  <c r="G1296" i="3"/>
  <c r="G1295" i="3"/>
  <c r="H1295" i="3"/>
  <c r="E1295" i="3"/>
  <c r="F1295" i="3"/>
  <c r="F1294" i="3"/>
  <c r="H1294" i="3"/>
  <c r="E1294" i="3"/>
  <c r="G1294" i="3"/>
  <c r="H1293" i="3"/>
  <c r="G1293" i="3"/>
  <c r="F1293" i="3"/>
  <c r="E1293" i="3"/>
  <c r="E1292" i="3"/>
  <c r="F1292" i="3"/>
  <c r="H1292" i="3"/>
  <c r="G1292" i="3"/>
  <c r="E1291" i="3"/>
  <c r="G1291" i="3"/>
  <c r="F1291" i="3"/>
  <c r="H1291" i="3"/>
  <c r="F1290" i="3"/>
  <c r="E1290" i="3"/>
  <c r="G1290" i="3"/>
  <c r="H1290" i="3"/>
  <c r="H1289" i="3"/>
  <c r="G1289" i="3"/>
  <c r="F1289" i="3"/>
  <c r="E1289" i="3"/>
  <c r="E1288" i="3"/>
  <c r="G1288" i="3"/>
  <c r="H1288" i="3"/>
  <c r="F1288" i="3"/>
  <c r="E1287" i="3"/>
  <c r="F1287" i="3"/>
  <c r="G1287" i="3"/>
  <c r="H1287" i="3"/>
  <c r="G1285" i="3"/>
  <c r="H1285" i="3"/>
  <c r="F1285" i="3"/>
  <c r="E1285" i="3"/>
  <c r="H1284" i="3"/>
  <c r="G1284" i="3"/>
  <c r="F1284" i="3"/>
  <c r="E1284" i="3"/>
  <c r="H1283" i="3"/>
  <c r="G1283" i="3"/>
  <c r="F1283" i="3"/>
  <c r="E1283" i="3"/>
  <c r="H1282" i="3"/>
  <c r="F1282" i="3"/>
  <c r="E1282" i="3"/>
  <c r="G1282" i="3"/>
  <c r="E1281" i="3"/>
  <c r="F1281" i="3"/>
  <c r="H1281" i="3"/>
  <c r="G1281" i="3"/>
  <c r="G1280" i="3"/>
  <c r="H1280" i="3"/>
  <c r="F1280" i="3"/>
  <c r="E1280" i="3"/>
  <c r="H1279" i="3"/>
  <c r="G1279" i="3"/>
  <c r="F1279" i="3"/>
  <c r="E1279" i="3"/>
  <c r="G1278" i="3"/>
  <c r="F1278" i="3"/>
  <c r="E1278" i="3"/>
  <c r="H1278" i="3"/>
  <c r="F1277" i="3"/>
  <c r="H1277" i="3"/>
  <c r="G1277" i="3"/>
  <c r="E1277" i="3"/>
  <c r="E1276" i="3"/>
  <c r="F1276" i="3"/>
  <c r="G1276" i="3"/>
  <c r="H1276" i="3"/>
  <c r="E1275" i="3"/>
  <c r="F1275" i="3"/>
  <c r="G1275" i="3"/>
  <c r="H1275" i="3"/>
  <c r="E1274" i="3"/>
  <c r="G1274" i="3"/>
  <c r="H1274" i="3"/>
  <c r="F1274" i="3"/>
  <c r="F1273" i="3"/>
  <c r="E1273" i="3"/>
  <c r="G1273" i="3"/>
  <c r="H1273" i="3"/>
  <c r="E1272" i="3"/>
  <c r="F1272" i="3"/>
  <c r="G1272" i="3"/>
  <c r="H1272" i="3"/>
  <c r="H1271" i="3"/>
  <c r="G1271" i="3"/>
  <c r="F1271" i="3"/>
  <c r="E1271" i="3"/>
  <c r="F1270" i="3"/>
  <c r="E1270" i="3"/>
  <c r="H1270" i="3"/>
  <c r="G1270" i="3"/>
  <c r="E1269" i="3"/>
  <c r="F1269" i="3"/>
  <c r="G1269" i="3"/>
  <c r="H1269" i="3"/>
  <c r="F1268" i="3"/>
  <c r="G1268" i="3"/>
  <c r="H1268" i="3"/>
  <c r="E1268" i="3"/>
  <c r="H1267" i="3"/>
  <c r="G1267" i="3"/>
  <c r="E1267" i="3"/>
  <c r="F1267" i="3"/>
  <c r="E1266" i="3"/>
  <c r="H1266" i="3"/>
  <c r="G1266" i="3"/>
  <c r="F1266" i="3"/>
  <c r="E1265" i="3"/>
  <c r="F1265" i="3"/>
  <c r="H1265" i="3"/>
  <c r="G1265" i="3"/>
  <c r="G1264" i="3"/>
  <c r="F1264" i="3"/>
  <c r="E1264" i="3"/>
  <c r="H1264" i="3"/>
  <c r="F1263" i="3"/>
  <c r="H1263" i="3"/>
  <c r="G1263" i="3"/>
  <c r="E1263" i="3"/>
  <c r="H1262" i="3"/>
  <c r="G1262" i="3"/>
  <c r="F1262" i="3"/>
  <c r="E1262" i="3"/>
  <c r="H1261" i="3"/>
  <c r="G1261" i="3"/>
  <c r="F1261" i="3"/>
  <c r="E1261" i="3"/>
  <c r="E1260" i="3"/>
  <c r="F1260" i="3"/>
  <c r="G1260" i="3"/>
  <c r="H1260" i="3"/>
  <c r="F1259" i="3"/>
  <c r="E1259" i="3"/>
  <c r="G1259" i="3"/>
  <c r="H1259" i="3"/>
  <c r="G1258" i="3"/>
  <c r="H1258" i="3"/>
  <c r="F1258" i="3"/>
  <c r="E1258" i="3"/>
  <c r="H1257" i="3"/>
  <c r="G1257" i="3"/>
  <c r="F1257" i="3"/>
  <c r="E1257" i="3"/>
  <c r="G1256" i="3"/>
  <c r="F1256" i="3"/>
  <c r="E1256" i="3"/>
  <c r="H1256" i="3"/>
  <c r="G1255" i="3"/>
  <c r="F1255" i="3"/>
  <c r="E1255" i="3"/>
  <c r="H1255" i="3"/>
  <c r="G1254" i="3"/>
  <c r="H1254" i="3"/>
  <c r="F1254" i="3"/>
  <c r="E1254" i="3"/>
  <c r="H1253" i="3"/>
  <c r="G1253" i="3"/>
  <c r="F1253" i="3"/>
  <c r="E1253" i="3"/>
  <c r="H1252" i="3"/>
  <c r="F1252" i="3"/>
  <c r="E1252" i="3"/>
  <c r="G1252" i="3"/>
  <c r="G1251" i="3"/>
  <c r="F1251" i="3"/>
  <c r="E1251" i="3"/>
  <c r="H1251" i="3"/>
  <c r="F1249" i="3"/>
  <c r="G1249" i="3"/>
  <c r="H1249" i="3"/>
  <c r="E1249" i="3"/>
  <c r="G1248" i="3"/>
  <c r="H1248" i="3"/>
  <c r="F1248" i="3"/>
  <c r="E1248" i="3"/>
  <c r="H1247" i="3"/>
  <c r="G1247" i="3"/>
  <c r="E1247" i="3"/>
  <c r="F1247" i="3"/>
  <c r="H1246" i="3"/>
  <c r="G1246" i="3"/>
  <c r="F1246" i="3"/>
  <c r="E1246" i="3"/>
  <c r="E1245" i="3"/>
  <c r="H1245" i="3"/>
  <c r="G1245" i="3"/>
  <c r="F1245" i="3"/>
  <c r="E1244" i="3"/>
  <c r="F1244" i="3"/>
  <c r="H1244" i="3"/>
  <c r="G1244" i="3"/>
  <c r="E1243" i="3"/>
  <c r="H1243" i="3"/>
  <c r="G1243" i="3"/>
  <c r="F1243" i="3"/>
  <c r="H1242" i="3"/>
  <c r="G1242" i="3"/>
  <c r="E1242" i="3"/>
  <c r="F1242" i="3"/>
  <c r="F1241" i="3"/>
  <c r="G1241" i="3"/>
  <c r="H1241" i="3"/>
  <c r="E1241" i="3"/>
  <c r="E1240" i="3"/>
  <c r="F1240" i="3"/>
  <c r="G1240" i="3"/>
  <c r="H1240" i="3"/>
  <c r="H1239" i="3"/>
  <c r="E1239" i="3"/>
  <c r="F1239" i="3"/>
  <c r="G1239" i="3"/>
  <c r="H1238" i="3"/>
  <c r="G1238" i="3"/>
  <c r="F1238" i="3"/>
  <c r="E1238" i="3"/>
  <c r="E1237" i="3"/>
  <c r="G1237" i="3"/>
  <c r="H1237" i="3"/>
  <c r="F1237" i="3"/>
  <c r="G1236" i="3"/>
  <c r="H1236" i="3"/>
  <c r="E1236" i="3"/>
  <c r="F1236" i="3"/>
  <c r="E1235" i="3"/>
  <c r="H1235" i="3"/>
  <c r="G1235" i="3"/>
  <c r="F1235" i="3"/>
  <c r="E1234" i="3"/>
  <c r="F1234" i="3"/>
  <c r="G1234" i="3"/>
  <c r="H1234" i="3"/>
  <c r="E1233" i="3"/>
  <c r="F1233" i="3"/>
  <c r="G1233" i="3"/>
  <c r="H1233" i="3"/>
  <c r="E1232" i="3"/>
  <c r="F1232" i="3"/>
  <c r="H1232" i="3"/>
  <c r="G1232" i="3"/>
  <c r="F1231" i="3"/>
  <c r="G1231" i="3"/>
  <c r="H1231" i="3"/>
  <c r="E1231" i="3"/>
  <c r="H1230" i="3"/>
  <c r="G1230" i="3"/>
  <c r="F1230" i="3"/>
  <c r="E1230" i="3"/>
  <c r="H1229" i="3"/>
  <c r="F1229" i="3"/>
  <c r="E1229" i="3"/>
  <c r="G1229" i="3"/>
  <c r="E1228" i="3"/>
  <c r="H1228" i="3"/>
  <c r="G1228" i="3"/>
  <c r="F1228" i="3"/>
  <c r="H1226" i="3"/>
  <c r="E1226" i="3"/>
  <c r="F1226" i="3"/>
  <c r="G1226" i="3"/>
  <c r="E1225" i="3"/>
  <c r="F1225" i="3"/>
  <c r="G1225" i="3"/>
  <c r="H1225" i="3"/>
  <c r="H1224" i="3"/>
  <c r="E1224" i="3"/>
  <c r="G1224" i="3"/>
  <c r="F1224" i="3"/>
  <c r="G1223" i="3"/>
  <c r="H1223" i="3"/>
  <c r="E1223" i="3"/>
  <c r="F1223" i="3"/>
  <c r="H1222" i="3"/>
  <c r="G1222" i="3"/>
  <c r="F1222" i="3"/>
  <c r="E1222" i="3"/>
  <c r="G1221" i="3"/>
  <c r="H1221" i="3"/>
  <c r="F1221" i="3"/>
  <c r="E1221" i="3"/>
  <c r="E1220" i="3"/>
  <c r="F1220" i="3"/>
  <c r="G1220" i="3"/>
  <c r="H1220" i="3"/>
  <c r="E1219" i="3"/>
  <c r="F1219" i="3"/>
  <c r="G1219" i="3"/>
  <c r="H1219" i="3"/>
  <c r="G1218" i="3"/>
  <c r="H1218" i="3"/>
  <c r="E1218" i="3"/>
  <c r="F1218" i="3"/>
  <c r="F1217" i="3"/>
  <c r="E1217" i="3"/>
  <c r="H1217" i="3"/>
  <c r="G1217" i="3"/>
  <c r="H1216" i="3"/>
  <c r="G1216" i="3"/>
  <c r="F1216" i="3"/>
  <c r="E1216" i="3"/>
  <c r="H1215" i="3"/>
  <c r="G1215" i="3"/>
  <c r="F1215" i="3"/>
  <c r="E1215" i="3"/>
  <c r="E1214" i="3"/>
  <c r="F1214" i="3"/>
  <c r="G1214" i="3"/>
  <c r="H1214" i="3"/>
  <c r="H1213" i="3"/>
  <c r="E1213" i="3"/>
  <c r="F1213" i="3"/>
  <c r="G1213" i="3"/>
  <c r="F1212" i="3"/>
  <c r="H1212" i="3"/>
  <c r="G1212" i="3"/>
  <c r="E1212" i="3"/>
  <c r="H1211" i="3"/>
  <c r="G1211" i="3"/>
  <c r="F1211" i="3"/>
  <c r="E1211" i="3"/>
  <c r="G1209" i="3"/>
  <c r="F1209" i="3"/>
  <c r="E1209" i="3"/>
  <c r="H1209" i="3"/>
  <c r="G1208" i="3"/>
  <c r="H1208" i="3"/>
  <c r="F1208" i="3"/>
  <c r="E1208" i="3"/>
  <c r="G1207" i="3"/>
  <c r="F1207" i="3"/>
  <c r="E1207" i="3"/>
  <c r="H1207" i="3"/>
  <c r="H1206" i="3"/>
  <c r="G1206" i="3"/>
  <c r="E1206" i="3"/>
  <c r="F1206" i="3"/>
  <c r="H1205" i="3"/>
  <c r="G1205" i="3"/>
  <c r="F1205" i="3"/>
  <c r="E1205" i="3"/>
  <c r="G1204" i="3"/>
  <c r="H1204" i="3"/>
  <c r="E1204" i="3"/>
  <c r="F1204" i="3"/>
  <c r="G1203" i="3"/>
  <c r="F1203" i="3"/>
  <c r="E1203" i="3"/>
  <c r="H1203" i="3"/>
  <c r="G1202" i="3"/>
  <c r="H1202" i="3"/>
  <c r="F1202" i="3"/>
  <c r="E1202" i="3"/>
  <c r="F1201" i="3"/>
  <c r="G1201" i="3"/>
  <c r="H1201" i="3"/>
  <c r="E1201" i="3"/>
  <c r="H1200" i="3"/>
  <c r="G1200" i="3"/>
  <c r="F1200" i="3"/>
  <c r="E1200" i="3"/>
  <c r="H1199" i="3"/>
  <c r="E1199" i="3"/>
  <c r="F1199" i="3"/>
  <c r="G1199" i="3"/>
  <c r="G1198" i="3"/>
  <c r="E1198" i="3"/>
  <c r="F1198" i="3"/>
  <c r="H1198" i="3"/>
  <c r="F1197" i="3"/>
  <c r="E1197" i="3"/>
  <c r="G1197" i="3"/>
  <c r="H1197" i="3"/>
  <c r="E1196" i="3"/>
  <c r="F1196" i="3"/>
  <c r="G1196" i="3"/>
  <c r="H1196" i="3"/>
  <c r="E1195" i="3"/>
  <c r="F1195" i="3"/>
  <c r="G1195" i="3"/>
  <c r="H1195" i="3"/>
  <c r="E1194" i="3"/>
  <c r="G1194" i="3"/>
  <c r="H1194" i="3"/>
  <c r="F1194" i="3"/>
  <c r="H1193" i="3"/>
  <c r="G1193" i="3"/>
  <c r="F1193" i="3"/>
  <c r="E1193" i="3"/>
  <c r="H1192" i="3"/>
  <c r="G1192" i="3"/>
  <c r="E1192" i="3"/>
  <c r="F1192" i="3"/>
  <c r="H1191" i="3"/>
  <c r="F1191" i="3"/>
  <c r="E1191" i="3"/>
  <c r="G1191" i="3"/>
  <c r="H1190" i="3"/>
  <c r="G1190" i="3"/>
  <c r="F1190" i="3"/>
  <c r="E1190" i="3"/>
  <c r="H1189" i="3"/>
  <c r="G1189" i="3"/>
  <c r="F1189" i="3"/>
  <c r="E1189" i="3"/>
  <c r="G1188" i="3"/>
  <c r="F1188" i="3"/>
  <c r="E1188" i="3"/>
  <c r="H1188" i="3"/>
  <c r="F1187" i="3"/>
  <c r="H1187" i="3"/>
  <c r="G1187" i="3"/>
  <c r="E1187" i="3"/>
  <c r="H1186" i="3"/>
  <c r="G1186" i="3"/>
  <c r="E1186" i="3"/>
  <c r="F1186" i="3"/>
  <c r="E1185" i="3"/>
  <c r="F1185" i="3"/>
  <c r="H1185" i="3"/>
  <c r="G1185" i="3"/>
  <c r="F1184" i="3"/>
  <c r="H1184" i="3"/>
  <c r="G1184" i="3"/>
  <c r="E1184" i="3"/>
  <c r="H1183" i="3"/>
  <c r="G1183" i="3"/>
  <c r="F1183" i="3"/>
  <c r="E1183" i="3"/>
  <c r="F1182" i="3"/>
  <c r="E1182" i="3"/>
  <c r="H1182" i="3"/>
  <c r="G1182" i="3"/>
  <c r="E1181" i="3"/>
  <c r="F1181" i="3"/>
  <c r="G1181" i="3"/>
  <c r="H1181" i="3"/>
  <c r="E1180" i="3"/>
  <c r="F1180" i="3"/>
  <c r="G1180" i="3"/>
  <c r="H1180" i="3"/>
  <c r="H1179" i="3"/>
  <c r="G1179" i="3"/>
  <c r="F1179" i="3"/>
  <c r="E1179" i="3"/>
  <c r="F1178" i="3"/>
  <c r="G1178" i="3"/>
  <c r="H1178" i="3"/>
  <c r="E1178" i="3"/>
  <c r="H1177" i="3"/>
  <c r="G1177" i="3"/>
  <c r="F1177" i="3"/>
  <c r="E1177" i="3"/>
  <c r="H1176" i="3"/>
  <c r="G1176" i="3"/>
  <c r="F1176" i="3"/>
  <c r="E1176" i="3"/>
  <c r="H1175" i="3"/>
  <c r="G1175" i="3"/>
  <c r="F1175" i="3"/>
  <c r="E1175" i="3"/>
  <c r="H1174" i="3"/>
  <c r="G1174" i="3"/>
  <c r="F1174" i="3"/>
  <c r="E1174" i="3"/>
  <c r="H1173" i="3"/>
  <c r="G1173" i="3"/>
  <c r="F1173" i="3"/>
  <c r="E1173" i="3"/>
  <c r="H1172" i="3"/>
  <c r="G1172" i="3"/>
  <c r="F1172" i="3"/>
  <c r="E1172" i="3"/>
  <c r="H1171" i="3"/>
  <c r="G1171" i="3"/>
  <c r="F1171" i="3"/>
  <c r="E1171" i="3"/>
  <c r="H1170" i="3"/>
  <c r="G1170" i="3"/>
  <c r="F1170" i="3"/>
  <c r="E1170" i="3"/>
  <c r="H1169" i="3"/>
  <c r="G1169" i="3"/>
  <c r="F1169" i="3"/>
  <c r="E1169" i="3"/>
  <c r="H1168" i="3"/>
  <c r="G1168" i="3"/>
  <c r="F1168" i="3"/>
  <c r="E1168" i="3"/>
  <c r="H1167" i="3"/>
  <c r="G1167" i="3"/>
  <c r="F1167" i="3"/>
  <c r="E1167" i="3"/>
  <c r="H1166" i="3"/>
  <c r="G1166" i="3"/>
  <c r="F1166" i="3"/>
  <c r="E1166" i="3"/>
  <c r="H1165" i="3"/>
  <c r="G1165" i="3"/>
  <c r="F1165" i="3"/>
  <c r="E1165" i="3"/>
  <c r="H1164" i="3"/>
  <c r="G1164" i="3"/>
  <c r="F1164" i="3"/>
  <c r="E1164" i="3"/>
  <c r="E1163" i="3"/>
  <c r="F1163" i="3"/>
  <c r="G1163" i="3"/>
  <c r="H1163" i="3"/>
  <c r="F1162" i="3"/>
  <c r="G1162" i="3"/>
  <c r="H1162" i="3"/>
  <c r="E1162" i="3"/>
  <c r="G1161" i="3"/>
  <c r="F1161" i="3"/>
  <c r="E1161" i="3"/>
  <c r="H1161" i="3"/>
  <c r="F1160" i="3"/>
  <c r="G1160" i="3"/>
  <c r="H1160" i="3"/>
  <c r="E1160" i="3"/>
  <c r="F1159" i="3"/>
  <c r="H1159" i="3"/>
  <c r="G1159" i="3"/>
  <c r="E1159" i="3"/>
  <c r="E1158" i="3"/>
  <c r="F1158" i="3"/>
  <c r="G1158" i="3"/>
  <c r="H1158" i="3"/>
  <c r="G1157" i="3"/>
  <c r="F1157" i="3"/>
  <c r="E1157" i="3"/>
  <c r="H1157" i="3"/>
  <c r="E1156" i="3"/>
  <c r="F1156" i="3"/>
  <c r="G1156" i="3"/>
  <c r="H1156" i="3"/>
  <c r="E1155" i="3"/>
  <c r="F1155" i="3"/>
  <c r="G1155" i="3"/>
  <c r="H1155" i="3"/>
  <c r="H1154" i="3"/>
  <c r="F1154" i="3"/>
  <c r="E1154" i="3"/>
  <c r="G1154" i="3"/>
  <c r="G1153" i="3"/>
  <c r="F1153" i="3"/>
  <c r="H1153" i="3"/>
  <c r="E1153" i="3"/>
  <c r="G1152" i="3"/>
  <c r="F1152" i="3"/>
  <c r="E1152" i="3"/>
  <c r="H1152" i="3"/>
  <c r="H1151" i="3"/>
  <c r="G1151" i="3"/>
  <c r="F1151" i="3"/>
  <c r="E1151" i="3"/>
  <c r="H1150" i="3"/>
  <c r="G1150" i="3"/>
  <c r="F1150" i="3"/>
  <c r="E1150" i="3"/>
  <c r="G1149" i="3"/>
  <c r="H1149" i="3"/>
  <c r="E1149" i="3"/>
  <c r="F1149" i="3"/>
  <c r="H1148" i="3"/>
  <c r="G1148" i="3"/>
  <c r="F1148" i="3"/>
  <c r="E1148" i="3"/>
  <c r="F1147" i="3"/>
  <c r="H1147" i="3"/>
  <c r="G1147" i="3"/>
  <c r="E1147" i="3"/>
  <c r="E1146" i="3"/>
  <c r="H1146" i="3"/>
  <c r="G1146" i="3"/>
  <c r="F1146" i="3"/>
  <c r="H1145" i="3"/>
  <c r="G1145" i="3"/>
  <c r="F1145" i="3"/>
  <c r="E1145" i="3"/>
  <c r="H1144" i="3"/>
  <c r="G1144" i="3"/>
  <c r="F1144" i="3"/>
  <c r="E1144" i="3"/>
  <c r="H1143" i="3"/>
  <c r="G1143" i="3"/>
  <c r="F1143" i="3"/>
  <c r="E1143" i="3"/>
  <c r="E1142" i="3"/>
  <c r="F1142" i="3"/>
  <c r="G1142" i="3"/>
  <c r="H1142" i="3"/>
  <c r="E1141" i="3"/>
  <c r="F1141" i="3"/>
  <c r="G1141" i="3"/>
  <c r="H1141" i="3"/>
  <c r="F1140" i="3"/>
  <c r="G1140" i="3"/>
  <c r="H1140" i="3"/>
  <c r="E1140" i="3"/>
  <c r="G1139" i="3"/>
  <c r="E1139" i="3"/>
  <c r="F1139" i="3"/>
  <c r="H1139" i="3"/>
  <c r="E1138" i="3"/>
  <c r="F1138" i="3"/>
  <c r="G1138" i="3"/>
  <c r="H1138" i="3"/>
  <c r="H1137" i="3"/>
  <c r="G1137" i="3"/>
  <c r="F1137" i="3"/>
  <c r="E1137" i="3"/>
  <c r="H1136" i="3"/>
  <c r="G1136" i="3"/>
  <c r="F1136" i="3"/>
  <c r="E1136" i="3"/>
  <c r="H1135" i="3"/>
  <c r="F1135" i="3"/>
  <c r="E1135" i="3"/>
  <c r="G1135" i="3"/>
  <c r="H1134" i="3"/>
  <c r="G1134" i="3"/>
  <c r="F1134" i="3"/>
  <c r="E1134" i="3"/>
  <c r="H1133" i="3"/>
  <c r="G1133" i="3"/>
  <c r="F1133" i="3"/>
  <c r="E1133" i="3"/>
  <c r="E1132" i="3"/>
  <c r="H1132" i="3"/>
  <c r="G1132" i="3"/>
  <c r="F1132" i="3"/>
  <c r="E1131" i="3"/>
  <c r="F1131" i="3"/>
  <c r="G1131" i="3"/>
  <c r="H1131" i="3"/>
  <c r="H1130" i="3"/>
  <c r="E1130" i="3"/>
  <c r="F1130" i="3"/>
  <c r="G1130" i="3"/>
  <c r="G1129" i="3"/>
  <c r="H1129" i="3"/>
  <c r="E1129" i="3"/>
  <c r="F1129" i="3"/>
  <c r="H1128" i="3"/>
  <c r="G1128" i="3"/>
  <c r="F1128" i="3"/>
  <c r="E1128" i="3"/>
  <c r="F1127" i="3"/>
  <c r="E1127" i="3"/>
  <c r="G1127" i="3"/>
  <c r="H1127" i="3"/>
  <c r="E1126" i="3"/>
  <c r="G1126" i="3"/>
  <c r="F1126" i="3"/>
  <c r="H1126" i="3"/>
  <c r="F1125" i="3"/>
  <c r="H1125" i="3"/>
  <c r="G1125" i="3"/>
  <c r="E1125" i="3"/>
  <c r="H1124" i="3"/>
  <c r="E1124" i="3"/>
  <c r="G1124" i="3"/>
  <c r="F1124" i="3"/>
  <c r="G1123" i="3"/>
  <c r="E1123" i="3"/>
  <c r="H1123" i="3"/>
  <c r="A1123" i="3"/>
  <c r="F1123" i="3"/>
  <c r="G1122" i="3"/>
  <c r="F1122" i="3"/>
  <c r="A1122" i="3"/>
  <c r="E1122" i="3"/>
  <c r="H1122" i="3"/>
  <c r="F1121" i="3"/>
  <c r="G1121" i="3"/>
  <c r="E1121" i="3"/>
  <c r="H1121" i="3"/>
  <c r="A1121" i="3"/>
  <c r="E1120" i="3"/>
  <c r="G1120" i="3"/>
  <c r="F1120" i="3"/>
  <c r="H1120" i="3"/>
  <c r="F1119" i="3"/>
  <c r="E1119" i="3"/>
  <c r="H1119" i="3"/>
  <c r="G1119" i="3"/>
  <c r="H1118" i="3"/>
  <c r="E1118" i="3"/>
  <c r="A1118" i="3"/>
  <c r="G1118" i="3"/>
  <c r="F1118" i="3"/>
  <c r="F1117" i="3"/>
  <c r="E1117" i="3"/>
  <c r="G1117" i="3"/>
  <c r="H1117" i="3"/>
  <c r="E1116" i="3"/>
  <c r="F1116" i="3"/>
  <c r="H1116" i="3"/>
  <c r="G1116" i="3"/>
  <c r="H1115" i="3"/>
  <c r="E1115" i="3"/>
  <c r="G1115" i="3"/>
  <c r="A1115" i="3"/>
  <c r="H1114" i="3"/>
  <c r="E1114" i="3"/>
  <c r="F1114" i="3"/>
  <c r="F1113" i="3"/>
  <c r="E1113" i="3"/>
  <c r="G1113" i="3"/>
  <c r="H1113" i="3"/>
  <c r="E1112" i="3"/>
  <c r="F1112" i="3"/>
  <c r="G1112" i="3"/>
  <c r="H1112" i="3"/>
  <c r="E1111" i="3"/>
  <c r="G1111" i="3"/>
  <c r="A1111" i="3"/>
  <c r="H1111" i="3"/>
  <c r="F1111" i="3"/>
  <c r="F1110" i="3"/>
  <c r="G1110" i="3"/>
  <c r="E1110" i="3"/>
  <c r="H1110" i="3"/>
  <c r="F1109" i="3"/>
  <c r="G1109" i="3"/>
  <c r="A1109" i="3"/>
  <c r="E1109" i="3"/>
  <c r="H1109" i="3"/>
  <c r="E1108" i="3"/>
  <c r="F1108" i="3"/>
  <c r="H1108" i="3"/>
  <c r="G1108" i="3"/>
  <c r="F1107" i="3"/>
  <c r="E1107" i="3"/>
  <c r="G1107" i="3"/>
  <c r="H1107" i="3"/>
  <c r="H1105" i="3"/>
  <c r="E1105" i="3"/>
  <c r="G1105" i="3"/>
  <c r="F1105" i="3"/>
  <c r="G1104" i="3"/>
  <c r="E1104" i="3"/>
  <c r="H1104" i="3"/>
  <c r="F1104" i="3"/>
  <c r="G1103" i="3"/>
  <c r="H1103" i="3"/>
  <c r="E1103" i="3"/>
  <c r="F1103" i="3"/>
  <c r="A1102" i="3"/>
  <c r="G1102" i="3"/>
  <c r="F1102" i="3"/>
  <c r="H1102" i="3"/>
  <c r="E1102" i="3"/>
  <c r="E1100" i="3"/>
  <c r="F1100" i="3"/>
  <c r="H1100" i="3"/>
  <c r="G1100" i="3"/>
  <c r="H1099" i="3"/>
  <c r="F1099" i="3"/>
  <c r="E1099" i="3"/>
  <c r="G1099" i="3"/>
  <c r="G1098" i="3"/>
  <c r="F1098" i="3"/>
  <c r="H1098" i="3"/>
  <c r="E1098" i="3"/>
  <c r="F1097" i="3"/>
  <c r="E1097" i="3"/>
  <c r="H1097" i="3"/>
  <c r="G1097" i="3"/>
  <c r="H1096" i="3"/>
  <c r="G1096" i="3"/>
  <c r="E1096" i="3"/>
  <c r="F1096" i="3"/>
  <c r="F1095" i="3"/>
  <c r="H1095" i="3"/>
  <c r="E1095" i="3"/>
  <c r="G1095" i="3"/>
  <c r="E1094" i="3"/>
  <c r="F1094" i="3"/>
  <c r="G1094" i="3"/>
  <c r="H1094" i="3"/>
  <c r="E1093" i="3"/>
  <c r="F1093" i="3"/>
  <c r="H1093" i="3"/>
  <c r="G1093" i="3"/>
  <c r="H1092" i="3"/>
  <c r="G1092" i="3"/>
  <c r="F1092" i="3"/>
  <c r="E1092" i="3"/>
  <c r="F1091" i="3"/>
  <c r="H1091" i="3"/>
  <c r="G1091" i="3"/>
  <c r="E1091" i="3"/>
  <c r="E1090" i="3"/>
  <c r="F1090" i="3"/>
  <c r="G1090" i="3"/>
  <c r="H1090" i="3"/>
  <c r="E1089" i="3"/>
  <c r="G1089" i="3"/>
  <c r="H1089" i="3"/>
  <c r="F1089" i="3"/>
  <c r="G1088" i="3"/>
  <c r="F1088" i="3"/>
  <c r="E1088" i="3"/>
  <c r="H1088" i="3"/>
  <c r="H1087" i="3"/>
  <c r="G1087" i="3"/>
  <c r="F1087" i="3"/>
  <c r="E1087" i="3"/>
  <c r="E1086" i="3"/>
  <c r="F1086" i="3"/>
  <c r="G1086" i="3"/>
  <c r="H1086" i="3"/>
  <c r="F1085" i="3"/>
  <c r="G1085" i="3"/>
  <c r="H1085" i="3"/>
  <c r="E1085" i="3"/>
  <c r="F1084" i="3"/>
  <c r="E1084" i="3"/>
  <c r="G1084" i="3"/>
  <c r="H1084" i="3"/>
  <c r="H1083" i="3"/>
  <c r="G1083" i="3"/>
  <c r="F1083" i="3"/>
  <c r="E1083" i="3"/>
  <c r="E1081" i="3"/>
  <c r="F1081" i="3"/>
  <c r="H1081" i="3"/>
  <c r="G1081" i="3"/>
  <c r="E1080" i="3"/>
  <c r="F1080" i="3"/>
  <c r="G1080" i="3"/>
  <c r="H1080" i="3"/>
  <c r="E1079" i="3"/>
  <c r="F1079" i="3"/>
  <c r="G1079" i="3"/>
  <c r="H1079" i="3"/>
  <c r="E1078" i="3"/>
  <c r="G1078" i="3"/>
  <c r="F1078" i="3"/>
  <c r="H1078" i="3"/>
  <c r="G1077" i="3"/>
  <c r="F1077" i="3"/>
  <c r="E1077" i="3"/>
  <c r="H1077" i="3"/>
  <c r="F1076" i="3"/>
  <c r="H1076" i="3"/>
  <c r="G1076" i="3"/>
  <c r="E1076" i="3"/>
  <c r="E1075" i="3"/>
  <c r="G1075" i="3"/>
  <c r="H1075" i="3"/>
  <c r="F1075" i="3"/>
  <c r="F1074" i="3"/>
  <c r="E1074" i="3"/>
  <c r="G1074" i="3"/>
  <c r="H1074" i="3"/>
  <c r="H1073" i="3"/>
  <c r="G1073" i="3"/>
  <c r="F1073" i="3"/>
  <c r="E1073" i="3"/>
  <c r="H1072" i="3"/>
  <c r="G1072" i="3"/>
  <c r="F1072" i="3"/>
  <c r="E1072" i="3"/>
  <c r="H1071" i="3"/>
  <c r="G1071" i="3"/>
  <c r="E1071" i="3"/>
  <c r="F1071" i="3"/>
  <c r="F1070" i="3"/>
  <c r="E1070" i="3"/>
  <c r="G1070" i="3"/>
  <c r="H1070" i="3"/>
  <c r="E1069" i="3"/>
  <c r="F1069" i="3"/>
  <c r="G1069" i="3"/>
  <c r="H1069" i="3"/>
  <c r="E1068" i="3"/>
  <c r="F1068" i="3"/>
  <c r="G1068" i="3"/>
  <c r="H1068" i="3"/>
  <c r="F1067" i="3"/>
  <c r="E1067" i="3"/>
  <c r="G1067" i="3"/>
  <c r="H1067" i="3"/>
  <c r="H1066" i="3"/>
  <c r="G1066" i="3"/>
  <c r="F1066" i="3"/>
  <c r="E1066" i="3"/>
  <c r="F1065" i="3"/>
  <c r="E1065" i="3"/>
  <c r="G1065" i="3"/>
  <c r="H1065" i="3"/>
  <c r="E1063" i="3"/>
  <c r="H1063" i="3"/>
  <c r="G1063" i="3"/>
  <c r="F1063" i="3"/>
  <c r="F1062" i="3"/>
  <c r="H1062" i="3"/>
  <c r="G1062" i="3"/>
  <c r="E1062" i="3"/>
  <c r="F1061" i="3"/>
  <c r="E1061" i="3"/>
  <c r="H1061" i="3"/>
  <c r="G1061" i="3"/>
  <c r="G1060" i="3"/>
  <c r="F1060" i="3"/>
  <c r="E1060" i="3"/>
  <c r="H1060" i="3"/>
  <c r="H1059" i="3"/>
  <c r="G1059" i="3"/>
  <c r="F1059" i="3"/>
  <c r="E1059" i="3"/>
  <c r="H1057" i="3"/>
  <c r="G1057" i="3"/>
  <c r="F1057" i="3"/>
  <c r="E1057" i="3"/>
  <c r="H1056" i="3"/>
  <c r="G1056" i="3"/>
  <c r="F1056" i="3"/>
  <c r="E1056" i="3"/>
  <c r="F1055" i="3"/>
  <c r="E1055" i="3"/>
  <c r="G1055" i="3"/>
  <c r="H1055" i="3"/>
  <c r="H1054" i="3"/>
  <c r="G1054" i="3"/>
  <c r="E1054" i="3"/>
  <c r="F1054" i="3"/>
  <c r="H1053" i="3"/>
  <c r="G1053" i="3"/>
  <c r="F1053" i="3"/>
  <c r="E1053" i="3"/>
  <c r="H1052" i="3"/>
  <c r="G1052" i="3"/>
  <c r="F1052" i="3"/>
  <c r="E1052" i="3"/>
  <c r="H1051" i="3"/>
  <c r="G1051" i="3"/>
  <c r="F1051" i="3"/>
  <c r="E1051" i="3"/>
  <c r="H1050" i="3"/>
  <c r="G1050" i="3"/>
  <c r="F1050" i="3"/>
  <c r="E1050" i="3"/>
  <c r="H1049" i="3"/>
  <c r="G1049" i="3"/>
  <c r="F1049" i="3"/>
  <c r="E1049" i="3"/>
  <c r="F1048" i="3"/>
  <c r="H1048" i="3"/>
  <c r="G1048" i="3"/>
  <c r="E1048" i="3"/>
  <c r="H1047" i="3"/>
  <c r="G1047" i="3"/>
  <c r="F1047" i="3"/>
  <c r="E1047" i="3"/>
  <c r="H1045" i="3"/>
  <c r="E1045" i="3"/>
  <c r="F1045" i="3"/>
  <c r="G1045" i="3"/>
  <c r="G1044" i="3"/>
  <c r="E1044" i="3"/>
  <c r="F1044" i="3"/>
  <c r="H1044" i="3"/>
  <c r="E1043" i="3"/>
  <c r="F1043" i="3"/>
  <c r="H1043" i="3"/>
  <c r="G1043" i="3"/>
  <c r="G1042" i="3"/>
  <c r="H1042" i="3"/>
  <c r="F1042" i="3"/>
  <c r="E1042" i="3"/>
  <c r="E1041" i="3"/>
  <c r="H1041" i="3"/>
  <c r="G1041" i="3"/>
  <c r="F1041" i="3"/>
  <c r="G1040" i="3"/>
  <c r="H1040" i="3"/>
  <c r="E1040" i="3"/>
  <c r="F1040" i="3"/>
  <c r="H1039" i="3"/>
  <c r="G1039" i="3"/>
  <c r="F1039" i="3"/>
  <c r="E1039" i="3"/>
  <c r="G1038" i="3"/>
  <c r="H1038" i="3"/>
  <c r="F1038" i="3"/>
  <c r="E1038" i="3"/>
  <c r="F1037" i="3"/>
  <c r="E1037" i="3"/>
  <c r="G1037" i="3"/>
  <c r="H1037" i="3"/>
  <c r="G1036" i="3"/>
  <c r="F1036" i="3"/>
  <c r="E1036" i="3"/>
  <c r="H1036" i="3"/>
  <c r="E1035" i="3"/>
  <c r="H1035" i="3"/>
  <c r="G1035" i="3"/>
  <c r="F1035" i="3"/>
  <c r="F1033" i="3"/>
  <c r="G1033" i="3"/>
  <c r="H1033" i="3"/>
  <c r="E1033" i="3"/>
  <c r="F1032" i="3"/>
  <c r="G1032" i="3"/>
  <c r="H1032" i="3"/>
  <c r="E1032" i="3"/>
  <c r="E1031" i="3"/>
  <c r="F1031" i="3"/>
  <c r="H1031" i="3"/>
  <c r="G1031" i="3"/>
  <c r="E1030" i="3"/>
  <c r="F1030" i="3"/>
  <c r="G1030" i="3"/>
  <c r="H1030" i="3"/>
  <c r="H1029" i="3"/>
  <c r="E1029" i="3"/>
  <c r="F1029" i="3"/>
  <c r="G1029" i="3"/>
  <c r="E1027" i="3"/>
  <c r="F1027" i="3"/>
  <c r="G1027" i="3"/>
  <c r="H1027" i="3"/>
  <c r="H1026" i="3"/>
  <c r="G1026" i="3"/>
  <c r="E1026" i="3"/>
  <c r="F1026" i="3"/>
  <c r="F1025" i="3"/>
  <c r="G1025" i="3"/>
  <c r="H1025" i="3"/>
  <c r="E1025" i="3"/>
  <c r="G1024" i="3"/>
  <c r="F1024" i="3"/>
  <c r="E1024" i="3"/>
  <c r="H1024" i="3"/>
  <c r="E1023" i="3"/>
  <c r="F1023" i="3"/>
  <c r="G1023" i="3"/>
  <c r="H1023" i="3"/>
  <c r="G1021" i="3"/>
  <c r="H1021" i="3"/>
  <c r="E1021" i="3"/>
  <c r="F1021" i="3"/>
  <c r="E1020" i="3"/>
  <c r="F1020" i="3"/>
  <c r="G1020" i="3"/>
  <c r="H1020" i="3"/>
  <c r="E1019" i="3"/>
  <c r="F1019" i="3"/>
  <c r="G1019" i="3"/>
  <c r="H1019" i="3"/>
  <c r="G1018" i="3"/>
  <c r="H1018" i="3"/>
  <c r="E1018" i="3"/>
  <c r="G1017" i="3"/>
  <c r="H1017" i="3"/>
  <c r="E1017" i="3"/>
  <c r="F1017" i="3"/>
  <c r="H1016" i="3"/>
  <c r="G1016" i="3"/>
  <c r="H1015" i="3"/>
  <c r="F1015" i="3"/>
  <c r="G1015" i="3"/>
  <c r="E1015" i="3"/>
  <c r="H1014" i="3"/>
  <c r="E1014" i="3"/>
  <c r="F1014" i="3"/>
  <c r="G1014" i="3"/>
  <c r="F1013" i="3"/>
  <c r="H1013" i="3"/>
  <c r="E1013" i="3"/>
  <c r="G1013" i="3"/>
  <c r="E1012" i="3"/>
  <c r="H1012" i="3"/>
  <c r="G1012" i="3"/>
  <c r="F1012" i="3"/>
  <c r="F1011" i="3"/>
  <c r="E1011" i="3"/>
  <c r="H1011" i="3"/>
  <c r="G1011" i="3"/>
  <c r="G1009" i="3"/>
  <c r="H1009" i="3"/>
  <c r="F1009" i="3"/>
  <c r="E1009" i="3"/>
  <c r="G1008" i="3"/>
  <c r="F1008" i="3"/>
  <c r="H1008" i="3"/>
  <c r="E1008" i="3"/>
  <c r="G1007" i="3"/>
  <c r="E1007" i="3"/>
  <c r="F1007" i="3"/>
  <c r="H1007" i="3"/>
  <c r="H1006" i="3"/>
  <c r="F1006" i="3"/>
  <c r="E1006" i="3"/>
  <c r="G1006" i="3"/>
  <c r="A1005" i="3"/>
  <c r="E1005" i="3"/>
  <c r="G1005" i="3"/>
  <c r="F1005" i="3"/>
  <c r="H1005" i="3"/>
  <c r="A1004" i="3"/>
  <c r="H1004" i="3"/>
  <c r="F1004" i="3"/>
  <c r="E1004" i="3"/>
  <c r="G1004" i="3"/>
  <c r="H1003" i="3"/>
  <c r="G1003" i="3"/>
  <c r="E1003" i="3"/>
  <c r="F1003" i="3"/>
  <c r="A1003" i="3"/>
  <c r="E1002" i="3"/>
  <c r="G1002" i="3"/>
  <c r="F1002" i="3"/>
  <c r="H1002" i="3"/>
  <c r="H1001" i="3"/>
  <c r="F1001" i="3"/>
  <c r="G1001" i="3"/>
  <c r="E1001" i="3"/>
  <c r="G1000" i="3"/>
  <c r="F1000" i="3"/>
  <c r="H1000" i="3"/>
  <c r="E1000" i="3"/>
  <c r="H999" i="3"/>
  <c r="E999" i="3"/>
  <c r="F999" i="3"/>
  <c r="G999" i="3"/>
  <c r="F997" i="3"/>
  <c r="H997" i="3"/>
  <c r="E997" i="3"/>
  <c r="G997" i="3"/>
  <c r="A996" i="3"/>
  <c r="H996" i="3"/>
  <c r="G996" i="3"/>
  <c r="E996" i="3"/>
  <c r="F996" i="3"/>
  <c r="G995" i="3"/>
  <c r="H995" i="3"/>
  <c r="E995" i="3"/>
  <c r="F995" i="3"/>
  <c r="F994" i="3"/>
  <c r="H994" i="3"/>
  <c r="G994" i="3"/>
  <c r="E994" i="3"/>
  <c r="H993" i="3"/>
  <c r="G993" i="3"/>
  <c r="E993" i="3"/>
  <c r="F993" i="3"/>
  <c r="H992" i="3"/>
  <c r="E992" i="3"/>
  <c r="F992" i="3"/>
  <c r="G992" i="3"/>
  <c r="G991" i="3"/>
  <c r="A991" i="3"/>
  <c r="H991" i="3"/>
  <c r="E991" i="3"/>
  <c r="F991" i="3"/>
  <c r="E990" i="3"/>
  <c r="H990" i="3"/>
  <c r="F990" i="3"/>
  <c r="G990" i="3"/>
  <c r="F989" i="3"/>
  <c r="G989" i="3"/>
  <c r="H989" i="3"/>
  <c r="E989" i="3"/>
  <c r="H988" i="3"/>
  <c r="F988" i="3"/>
  <c r="G988" i="3"/>
  <c r="E988" i="3"/>
  <c r="F987" i="3"/>
  <c r="H987" i="3"/>
  <c r="G987" i="3"/>
  <c r="E987" i="3"/>
  <c r="E986" i="3"/>
  <c r="F986" i="3"/>
  <c r="G986" i="3"/>
  <c r="H986" i="3"/>
  <c r="G985" i="3"/>
  <c r="H985" i="3"/>
  <c r="E985" i="3"/>
  <c r="F985" i="3"/>
  <c r="G984" i="3"/>
  <c r="H984" i="3"/>
  <c r="F984" i="3"/>
  <c r="H983" i="3"/>
  <c r="E983" i="3"/>
  <c r="G983" i="3"/>
  <c r="F983" i="3"/>
  <c r="E982" i="3"/>
  <c r="F982" i="3"/>
  <c r="H982" i="3"/>
  <c r="G982" i="3"/>
  <c r="G981" i="3"/>
  <c r="E981" i="3"/>
  <c r="H981" i="3"/>
  <c r="F981" i="3"/>
  <c r="G980" i="3"/>
  <c r="H980" i="3"/>
  <c r="F980" i="3"/>
  <c r="E980" i="3"/>
  <c r="F979" i="3"/>
  <c r="E979" i="3"/>
  <c r="G979" i="3"/>
  <c r="H979" i="3"/>
  <c r="H978" i="3"/>
  <c r="E978" i="3"/>
  <c r="A978" i="3"/>
  <c r="F978" i="3"/>
  <c r="G978" i="3"/>
  <c r="H977" i="3"/>
  <c r="F977" i="3"/>
  <c r="E977" i="3"/>
  <c r="G977" i="3"/>
  <c r="G976" i="3"/>
  <c r="E976" i="3"/>
  <c r="H976" i="3"/>
  <c r="F976" i="3"/>
  <c r="F975" i="3"/>
  <c r="E975" i="3"/>
  <c r="G974" i="3"/>
  <c r="F974" i="3"/>
  <c r="E974" i="3"/>
  <c r="H974" i="3"/>
  <c r="G973" i="3"/>
  <c r="F973" i="3"/>
  <c r="E973" i="3"/>
  <c r="H973" i="3"/>
  <c r="F972" i="3"/>
  <c r="E972" i="3"/>
  <c r="H972" i="3"/>
  <c r="G972" i="3"/>
  <c r="F971" i="3"/>
  <c r="G971" i="3"/>
  <c r="H971" i="3"/>
  <c r="E971" i="3"/>
  <c r="G970" i="3"/>
  <c r="F970" i="3"/>
  <c r="E970" i="3"/>
  <c r="H970" i="3"/>
  <c r="H969" i="3"/>
  <c r="G969" i="3"/>
  <c r="F969" i="3"/>
  <c r="E969" i="3"/>
  <c r="E968" i="3"/>
  <c r="F968" i="3"/>
  <c r="G968" i="3"/>
  <c r="H968" i="3"/>
  <c r="G967" i="3"/>
  <c r="H967" i="3"/>
  <c r="F967" i="3"/>
  <c r="E967" i="3"/>
  <c r="H966" i="3"/>
  <c r="G966" i="3"/>
  <c r="E966" i="3"/>
  <c r="F966" i="3"/>
  <c r="E965" i="3"/>
  <c r="F965" i="3"/>
  <c r="G965" i="3"/>
  <c r="H965" i="3"/>
  <c r="F964" i="3"/>
  <c r="G964" i="3"/>
  <c r="H964" i="3"/>
  <c r="E964" i="3"/>
  <c r="E963" i="3"/>
  <c r="F963" i="3"/>
  <c r="G963" i="3"/>
  <c r="H963" i="3"/>
  <c r="F962" i="3"/>
  <c r="H962" i="3"/>
  <c r="G962" i="3"/>
  <c r="E962" i="3"/>
  <c r="G961" i="3"/>
  <c r="H961" i="3"/>
  <c r="F961" i="3"/>
  <c r="E961" i="3"/>
  <c r="G960" i="3"/>
  <c r="H960" i="3"/>
  <c r="F960" i="3"/>
  <c r="E960" i="3"/>
  <c r="G959" i="3"/>
  <c r="H959" i="3"/>
  <c r="F959" i="3"/>
  <c r="E959" i="3"/>
  <c r="F958" i="3"/>
  <c r="G958" i="3"/>
  <c r="H958" i="3"/>
  <c r="E958" i="3"/>
  <c r="E957" i="3"/>
  <c r="F957" i="3"/>
  <c r="G957" i="3"/>
  <c r="H957" i="3"/>
  <c r="H956" i="3"/>
  <c r="G956" i="3"/>
  <c r="F956" i="3"/>
  <c r="E956" i="3"/>
  <c r="H955" i="3"/>
  <c r="F955" i="3"/>
  <c r="E955" i="3"/>
  <c r="G955" i="3"/>
  <c r="H954" i="3"/>
  <c r="G954" i="3"/>
  <c r="F954" i="3"/>
  <c r="E954" i="3"/>
  <c r="E953" i="3"/>
  <c r="F953" i="3"/>
  <c r="G953" i="3"/>
  <c r="H953" i="3"/>
  <c r="H952" i="3"/>
  <c r="G952" i="3"/>
  <c r="F952" i="3"/>
  <c r="E952" i="3"/>
  <c r="H951" i="3"/>
  <c r="G951" i="3"/>
  <c r="F951" i="3"/>
  <c r="E951" i="3"/>
  <c r="E950" i="3"/>
  <c r="H950" i="3"/>
  <c r="G950" i="3"/>
  <c r="F950" i="3"/>
  <c r="H949" i="3"/>
  <c r="G949" i="3"/>
  <c r="F949" i="3"/>
  <c r="E949" i="3"/>
  <c r="E948" i="3"/>
  <c r="H948" i="3"/>
  <c r="G948" i="3"/>
  <c r="F948" i="3"/>
  <c r="F947" i="3"/>
  <c r="G947" i="3"/>
  <c r="H947" i="3"/>
  <c r="E947" i="3"/>
  <c r="F946" i="3"/>
  <c r="E946" i="3"/>
  <c r="G946" i="3"/>
  <c r="H946" i="3"/>
  <c r="E945" i="3"/>
  <c r="F945" i="3"/>
  <c r="G945" i="3"/>
  <c r="H945" i="3"/>
  <c r="H944" i="3"/>
  <c r="E944" i="3"/>
  <c r="F944" i="3"/>
  <c r="G944" i="3"/>
  <c r="H943" i="3"/>
  <c r="G943" i="3"/>
  <c r="F943" i="3"/>
  <c r="E943" i="3"/>
  <c r="E942" i="3"/>
  <c r="H942" i="3"/>
  <c r="G942" i="3"/>
  <c r="F942" i="3"/>
  <c r="H941" i="3"/>
  <c r="G941" i="3"/>
  <c r="F941" i="3"/>
  <c r="E941" i="3"/>
  <c r="E940" i="3"/>
  <c r="G940" i="3"/>
  <c r="H940" i="3"/>
  <c r="F940" i="3"/>
  <c r="H939" i="3"/>
  <c r="F939" i="3"/>
  <c r="E939" i="3"/>
  <c r="G939" i="3"/>
  <c r="F938" i="3"/>
  <c r="H938" i="3"/>
  <c r="G938" i="3"/>
  <c r="E938" i="3"/>
  <c r="E937" i="3"/>
  <c r="F937" i="3"/>
  <c r="G937" i="3"/>
  <c r="H937" i="3"/>
  <c r="G936" i="3"/>
  <c r="F936" i="3"/>
  <c r="E936" i="3"/>
  <c r="H936" i="3"/>
  <c r="F935" i="3"/>
  <c r="G935" i="3"/>
  <c r="H935" i="3"/>
  <c r="E935" i="3"/>
  <c r="H934" i="3"/>
  <c r="F934" i="3"/>
  <c r="G934" i="3"/>
  <c r="E934" i="3"/>
  <c r="E933" i="3"/>
  <c r="F933" i="3"/>
  <c r="G933" i="3"/>
  <c r="H933" i="3"/>
  <c r="E932" i="3"/>
  <c r="F932" i="3"/>
  <c r="G932" i="3"/>
  <c r="H932" i="3"/>
  <c r="H931" i="3"/>
  <c r="G931" i="3"/>
  <c r="F931" i="3"/>
  <c r="E931" i="3"/>
  <c r="G930" i="3"/>
  <c r="H930" i="3"/>
  <c r="E930" i="3"/>
  <c r="F930" i="3"/>
  <c r="E929" i="3"/>
  <c r="G929" i="3"/>
  <c r="H929" i="3"/>
  <c r="F929" i="3"/>
  <c r="G928" i="3"/>
  <c r="F928" i="3"/>
  <c r="E928" i="3"/>
  <c r="H928" i="3"/>
  <c r="H927" i="3"/>
  <c r="G927" i="3"/>
  <c r="F927" i="3"/>
  <c r="E927" i="3"/>
  <c r="H926" i="3"/>
  <c r="G926" i="3"/>
  <c r="F926" i="3"/>
  <c r="E926" i="3"/>
  <c r="H925" i="3"/>
  <c r="G925" i="3"/>
  <c r="E925" i="3"/>
  <c r="F925" i="3"/>
  <c r="H924" i="3"/>
  <c r="G924" i="3"/>
  <c r="F924" i="3"/>
  <c r="E924" i="3"/>
  <c r="E923" i="3"/>
  <c r="H923" i="3"/>
  <c r="G923" i="3"/>
  <c r="F923" i="3"/>
  <c r="H921" i="3"/>
  <c r="G921" i="3"/>
  <c r="F921" i="3"/>
  <c r="E921" i="3"/>
  <c r="H920" i="3"/>
  <c r="G920" i="3"/>
  <c r="F920" i="3"/>
  <c r="E920" i="3"/>
  <c r="H919" i="3"/>
  <c r="G919" i="3"/>
  <c r="F919" i="3"/>
  <c r="E919" i="3"/>
  <c r="G918" i="3"/>
  <c r="F918" i="3"/>
  <c r="E918" i="3"/>
  <c r="H918" i="3"/>
  <c r="G917" i="3"/>
  <c r="F917" i="3"/>
  <c r="E917" i="3"/>
  <c r="H917" i="3"/>
  <c r="H916" i="3"/>
  <c r="G916" i="3"/>
  <c r="F916" i="3"/>
  <c r="E916" i="3"/>
  <c r="H915" i="3"/>
  <c r="G915" i="3"/>
  <c r="F915" i="3"/>
  <c r="E915" i="3"/>
  <c r="H914" i="3"/>
  <c r="G914" i="3"/>
  <c r="F914" i="3"/>
  <c r="E914" i="3"/>
  <c r="H913" i="3"/>
  <c r="G913" i="3"/>
  <c r="F913" i="3"/>
  <c r="E913" i="3"/>
  <c r="G912" i="3"/>
  <c r="F912" i="3"/>
  <c r="E912" i="3"/>
  <c r="H912" i="3"/>
  <c r="G911" i="3"/>
  <c r="F911" i="3"/>
  <c r="E911" i="3"/>
  <c r="H911" i="3"/>
  <c r="F910" i="3"/>
  <c r="H910" i="3"/>
  <c r="G910" i="3"/>
  <c r="E910" i="3"/>
  <c r="E909" i="3"/>
  <c r="H909" i="3"/>
  <c r="G909" i="3"/>
  <c r="F909" i="3"/>
  <c r="H908" i="3"/>
  <c r="G908" i="3"/>
  <c r="F908" i="3"/>
  <c r="E908" i="3"/>
  <c r="F907" i="3"/>
  <c r="H907" i="3"/>
  <c r="G907" i="3"/>
  <c r="E907" i="3"/>
  <c r="H906" i="3"/>
  <c r="G906" i="3"/>
  <c r="F906" i="3"/>
  <c r="E906" i="3"/>
  <c r="H905" i="3"/>
  <c r="G905" i="3"/>
  <c r="F905" i="3"/>
  <c r="E905" i="3"/>
  <c r="H904" i="3"/>
  <c r="G904" i="3"/>
  <c r="F904" i="3"/>
  <c r="E904" i="3"/>
  <c r="H903" i="3"/>
  <c r="G903" i="3"/>
  <c r="F903" i="3"/>
  <c r="E903" i="3"/>
  <c r="H902" i="3"/>
  <c r="G902" i="3"/>
  <c r="F902" i="3"/>
  <c r="E902" i="3"/>
  <c r="H901" i="3"/>
  <c r="F901" i="3"/>
  <c r="E901" i="3"/>
  <c r="G901" i="3"/>
  <c r="E900" i="3"/>
  <c r="H900" i="3"/>
  <c r="F900" i="3"/>
  <c r="G900" i="3"/>
  <c r="G899" i="3"/>
  <c r="F899" i="3"/>
  <c r="E899" i="3"/>
  <c r="H899" i="3"/>
  <c r="E898" i="3"/>
  <c r="H898" i="3"/>
  <c r="G898" i="3"/>
  <c r="F898" i="3"/>
  <c r="G897" i="3"/>
  <c r="F897" i="3"/>
  <c r="H897" i="3"/>
  <c r="E897" i="3"/>
  <c r="F896" i="3"/>
  <c r="E896" i="3"/>
  <c r="H896" i="3"/>
  <c r="G896" i="3"/>
  <c r="F895" i="3"/>
  <c r="H895" i="3"/>
  <c r="G895" i="3"/>
  <c r="E895" i="3"/>
  <c r="H894" i="3"/>
  <c r="G894" i="3"/>
  <c r="F894" i="3"/>
  <c r="E894" i="3"/>
  <c r="H893" i="3"/>
  <c r="G893" i="3"/>
  <c r="F893" i="3"/>
  <c r="E893" i="3"/>
  <c r="F892" i="3"/>
  <c r="E892" i="3"/>
  <c r="G892" i="3"/>
  <c r="H892" i="3"/>
  <c r="H891" i="3"/>
  <c r="G891" i="3"/>
  <c r="F891" i="3"/>
  <c r="E891" i="3"/>
  <c r="H890" i="3"/>
  <c r="G890" i="3"/>
  <c r="F890" i="3"/>
  <c r="E890" i="3"/>
  <c r="G889" i="3"/>
  <c r="F889" i="3"/>
  <c r="E889" i="3"/>
  <c r="H889" i="3"/>
  <c r="H888" i="3"/>
  <c r="G888" i="3"/>
  <c r="E888" i="3"/>
  <c r="F888" i="3"/>
  <c r="H887" i="3"/>
  <c r="G887" i="3"/>
  <c r="F887" i="3"/>
  <c r="E887" i="3"/>
  <c r="G886" i="3"/>
  <c r="E886" i="3"/>
  <c r="F886" i="3"/>
  <c r="H886" i="3"/>
  <c r="G885" i="3"/>
  <c r="F885" i="3"/>
  <c r="E885" i="3"/>
  <c r="H885" i="3"/>
  <c r="H884" i="3"/>
  <c r="G884" i="3"/>
  <c r="F884" i="3"/>
  <c r="E884" i="3"/>
  <c r="H883" i="3"/>
  <c r="G883" i="3"/>
  <c r="F883" i="3"/>
  <c r="E883" i="3"/>
  <c r="H882" i="3"/>
  <c r="G882" i="3"/>
  <c r="F882" i="3"/>
  <c r="E882" i="3"/>
  <c r="H881" i="3"/>
  <c r="G881" i="3"/>
  <c r="F881" i="3"/>
  <c r="E881" i="3"/>
  <c r="H880" i="3"/>
  <c r="F880" i="3"/>
  <c r="E880" i="3"/>
  <c r="G880" i="3"/>
  <c r="G879" i="3"/>
  <c r="F879" i="3"/>
  <c r="E879" i="3"/>
  <c r="H879" i="3"/>
  <c r="H878" i="3"/>
  <c r="G878" i="3"/>
  <c r="F878" i="3"/>
  <c r="E878" i="3"/>
  <c r="G877" i="3"/>
  <c r="F877" i="3"/>
  <c r="E877" i="3"/>
  <c r="H877" i="3"/>
  <c r="H876" i="3"/>
  <c r="G876" i="3"/>
  <c r="F876" i="3"/>
  <c r="E876" i="3"/>
  <c r="H875" i="3"/>
  <c r="G875" i="3"/>
  <c r="F875" i="3"/>
  <c r="E875" i="3"/>
  <c r="G874" i="3"/>
  <c r="E874" i="3"/>
  <c r="F874" i="3"/>
  <c r="H874" i="3"/>
  <c r="G873" i="3"/>
  <c r="F873" i="3"/>
  <c r="E873" i="3"/>
  <c r="H873" i="3"/>
  <c r="H872" i="3"/>
  <c r="G872" i="3"/>
  <c r="F872" i="3"/>
  <c r="E872" i="3"/>
  <c r="H871" i="3"/>
  <c r="G871" i="3"/>
  <c r="F871" i="3"/>
  <c r="E871" i="3"/>
  <c r="H870" i="3"/>
  <c r="G870" i="3"/>
  <c r="F870" i="3"/>
  <c r="E870" i="3"/>
  <c r="H869" i="3"/>
  <c r="G869" i="3"/>
  <c r="F869" i="3"/>
  <c r="E869" i="3"/>
  <c r="G868" i="3"/>
  <c r="F868" i="3"/>
  <c r="E868" i="3"/>
  <c r="H868" i="3"/>
  <c r="G867" i="3"/>
  <c r="F867" i="3"/>
  <c r="E867" i="3"/>
  <c r="H867" i="3"/>
  <c r="H866" i="3"/>
  <c r="G866" i="3"/>
  <c r="F866" i="3"/>
  <c r="E866" i="3"/>
  <c r="H865" i="3"/>
  <c r="G865" i="3"/>
  <c r="E865" i="3"/>
  <c r="F865" i="3"/>
  <c r="H864" i="3"/>
  <c r="G864" i="3"/>
  <c r="F864" i="3"/>
  <c r="E864" i="3"/>
  <c r="H863" i="3"/>
  <c r="G863" i="3"/>
  <c r="F863" i="3"/>
  <c r="E863" i="3"/>
  <c r="G862" i="3"/>
  <c r="F862" i="3"/>
  <c r="E862" i="3"/>
  <c r="H862" i="3"/>
  <c r="G861" i="3"/>
  <c r="F861" i="3"/>
  <c r="E861" i="3"/>
  <c r="H861" i="3"/>
  <c r="H860" i="3"/>
  <c r="G860" i="3"/>
  <c r="F860" i="3"/>
  <c r="E860" i="3"/>
  <c r="H859" i="3"/>
  <c r="G859" i="3"/>
  <c r="F859" i="3"/>
  <c r="E859" i="3"/>
  <c r="H858" i="3"/>
  <c r="G858" i="3"/>
  <c r="F858" i="3"/>
  <c r="E858" i="3"/>
  <c r="H857" i="3"/>
  <c r="G857" i="3"/>
  <c r="F857" i="3"/>
  <c r="E857" i="3"/>
  <c r="H856" i="3"/>
  <c r="G856" i="3"/>
  <c r="E856" i="3"/>
  <c r="F856" i="3"/>
  <c r="G855" i="3"/>
  <c r="F855" i="3"/>
  <c r="E855" i="3"/>
  <c r="H855" i="3"/>
  <c r="H854" i="3"/>
  <c r="G854" i="3"/>
  <c r="F854" i="3"/>
  <c r="E854" i="3"/>
  <c r="H853" i="3"/>
  <c r="F853" i="3"/>
  <c r="E853" i="3"/>
  <c r="G853" i="3"/>
  <c r="H852" i="3"/>
  <c r="G852" i="3"/>
  <c r="F852" i="3"/>
  <c r="E852" i="3"/>
  <c r="H851" i="3"/>
  <c r="G851" i="3"/>
  <c r="F851" i="3"/>
  <c r="E851" i="3"/>
  <c r="H850" i="3"/>
  <c r="F850" i="3"/>
  <c r="E850" i="3"/>
  <c r="G850" i="3"/>
  <c r="F849" i="3"/>
  <c r="E849" i="3"/>
  <c r="G849" i="3"/>
  <c r="H848" i="3"/>
  <c r="G848" i="3"/>
  <c r="E848" i="3"/>
  <c r="F848" i="3"/>
  <c r="H847" i="3"/>
  <c r="G847" i="3"/>
  <c r="F847" i="3"/>
  <c r="E847" i="3"/>
  <c r="H846" i="3"/>
  <c r="F846" i="3"/>
  <c r="G846" i="3"/>
  <c r="E846" i="3"/>
  <c r="E845" i="3"/>
  <c r="F845" i="3"/>
  <c r="G845" i="3"/>
  <c r="H845" i="3"/>
  <c r="G844" i="3"/>
  <c r="F844" i="3"/>
  <c r="E844" i="3"/>
  <c r="H844" i="3"/>
  <c r="F843" i="3"/>
  <c r="G843" i="3"/>
  <c r="H843" i="3"/>
  <c r="E843" i="3"/>
  <c r="E842" i="3"/>
  <c r="H842" i="3"/>
  <c r="G842" i="3"/>
  <c r="F842" i="3"/>
  <c r="H841" i="3"/>
  <c r="G841" i="3"/>
  <c r="F841" i="3"/>
  <c r="E841" i="3"/>
  <c r="H840" i="3"/>
  <c r="G840" i="3"/>
  <c r="F840" i="3"/>
  <c r="E840" i="3"/>
  <c r="H839" i="3"/>
  <c r="F839" i="3"/>
  <c r="G839" i="3"/>
  <c r="E839" i="3"/>
  <c r="E838" i="3"/>
  <c r="F838" i="3"/>
  <c r="H838" i="3"/>
  <c r="G838" i="3"/>
  <c r="G837" i="3"/>
  <c r="H837" i="3"/>
  <c r="F837" i="3"/>
  <c r="E837" i="3"/>
  <c r="G836" i="3"/>
  <c r="E836" i="3"/>
  <c r="F836" i="3"/>
  <c r="H836" i="3"/>
  <c r="G835" i="3"/>
  <c r="E835" i="3"/>
  <c r="F835" i="3"/>
  <c r="H835" i="3"/>
  <c r="E833" i="3"/>
  <c r="F833" i="3"/>
  <c r="G833" i="3"/>
  <c r="H833" i="3"/>
  <c r="F832" i="3"/>
  <c r="G832" i="3"/>
  <c r="H832" i="3"/>
  <c r="E832" i="3"/>
  <c r="G831" i="3"/>
  <c r="F831" i="3"/>
  <c r="E831" i="3"/>
  <c r="H831" i="3"/>
  <c r="H830" i="3"/>
  <c r="G830" i="3"/>
  <c r="F830" i="3"/>
  <c r="E830" i="3"/>
  <c r="H829" i="3"/>
  <c r="G829" i="3"/>
  <c r="F829" i="3"/>
  <c r="E829" i="3"/>
  <c r="H828" i="3"/>
  <c r="G828" i="3"/>
  <c r="F828" i="3"/>
  <c r="E828" i="3"/>
  <c r="H827" i="3"/>
  <c r="F827" i="3"/>
  <c r="E827" i="3"/>
  <c r="G827" i="3"/>
  <c r="H826" i="3"/>
  <c r="G826" i="3"/>
  <c r="F826" i="3"/>
  <c r="E826" i="3"/>
  <c r="H825" i="3"/>
  <c r="G825" i="3"/>
  <c r="F825" i="3"/>
  <c r="E825" i="3"/>
  <c r="G824" i="3"/>
  <c r="F824" i="3"/>
  <c r="E824" i="3"/>
  <c r="H824" i="3"/>
  <c r="H823" i="3"/>
  <c r="G823" i="3"/>
  <c r="F823" i="3"/>
  <c r="E823" i="3"/>
  <c r="H822" i="3"/>
  <c r="G822" i="3"/>
  <c r="F822" i="3"/>
  <c r="E822" i="3"/>
  <c r="H821" i="3"/>
  <c r="G821" i="3"/>
  <c r="F821" i="3"/>
  <c r="E821" i="3"/>
  <c r="E820" i="3"/>
  <c r="H820" i="3"/>
  <c r="G820" i="3"/>
  <c r="F820" i="3"/>
  <c r="E819" i="3"/>
  <c r="H819" i="3"/>
  <c r="G819" i="3"/>
  <c r="F819" i="3"/>
  <c r="H817" i="3"/>
  <c r="G817" i="3"/>
  <c r="F817" i="3"/>
  <c r="E817" i="3"/>
  <c r="H816" i="3"/>
  <c r="G816" i="3"/>
  <c r="F816" i="3"/>
  <c r="E816" i="3"/>
  <c r="H815" i="3"/>
  <c r="G815" i="3"/>
  <c r="F815" i="3"/>
  <c r="E815" i="3"/>
  <c r="F814" i="3"/>
  <c r="E814" i="3"/>
  <c r="G814" i="3"/>
  <c r="H814" i="3"/>
  <c r="H813" i="3"/>
  <c r="E813" i="3"/>
  <c r="F813" i="3"/>
  <c r="G813" i="3"/>
  <c r="G812" i="3"/>
  <c r="F812" i="3"/>
  <c r="H812" i="3"/>
  <c r="E812" i="3"/>
  <c r="H811" i="3"/>
  <c r="G811" i="3"/>
  <c r="E811" i="3"/>
  <c r="F811" i="3"/>
  <c r="E810" i="3"/>
  <c r="F810" i="3"/>
  <c r="G810" i="3"/>
  <c r="H810" i="3"/>
  <c r="G809" i="3"/>
  <c r="H809" i="3"/>
  <c r="E809" i="3"/>
  <c r="F809" i="3"/>
  <c r="F808" i="3"/>
  <c r="H808" i="3"/>
  <c r="G808" i="3"/>
  <c r="E808" i="3"/>
  <c r="F807" i="3"/>
  <c r="G807" i="3"/>
  <c r="E807" i="3"/>
  <c r="H807" i="3"/>
  <c r="H806" i="3"/>
  <c r="E806" i="3"/>
  <c r="F806" i="3"/>
  <c r="G806" i="3"/>
  <c r="H805" i="3"/>
  <c r="G805" i="3"/>
  <c r="F805" i="3"/>
  <c r="E805" i="3"/>
  <c r="H804" i="3"/>
  <c r="G804" i="3"/>
  <c r="F804" i="3"/>
  <c r="E804" i="3"/>
  <c r="E803" i="3"/>
  <c r="H803" i="3"/>
  <c r="G803" i="3"/>
  <c r="F803" i="3"/>
  <c r="F802" i="3"/>
  <c r="H802" i="3"/>
  <c r="G802" i="3"/>
  <c r="E802" i="3"/>
  <c r="H801" i="3"/>
  <c r="G801" i="3"/>
  <c r="F801" i="3"/>
  <c r="E801" i="3"/>
  <c r="H800" i="3"/>
  <c r="G800" i="3"/>
  <c r="F800" i="3"/>
  <c r="E800" i="3"/>
  <c r="H799" i="3"/>
  <c r="G799" i="3"/>
  <c r="F799" i="3"/>
  <c r="E799" i="3"/>
  <c r="E798" i="3"/>
  <c r="H798" i="3"/>
  <c r="G798" i="3"/>
  <c r="F798" i="3"/>
  <c r="F797" i="3"/>
  <c r="E797" i="3"/>
  <c r="H797" i="3"/>
  <c r="G797" i="3"/>
  <c r="E796" i="3"/>
  <c r="H796" i="3"/>
  <c r="G796" i="3"/>
  <c r="F796" i="3"/>
  <c r="G795" i="3"/>
  <c r="F795" i="3"/>
  <c r="E795" i="3"/>
  <c r="H795" i="3"/>
  <c r="H793" i="3"/>
  <c r="G793" i="3"/>
  <c r="F793" i="3"/>
  <c r="E793" i="3"/>
  <c r="H792" i="3"/>
  <c r="G792" i="3"/>
  <c r="F792" i="3"/>
  <c r="E792" i="3"/>
  <c r="H791" i="3"/>
  <c r="G791" i="3"/>
  <c r="E791" i="3"/>
  <c r="F791" i="3"/>
  <c r="H790" i="3"/>
  <c r="E790" i="3"/>
  <c r="F790" i="3"/>
  <c r="G790" i="3"/>
  <c r="F789" i="3"/>
  <c r="H789" i="3"/>
  <c r="G789" i="3"/>
  <c r="E789" i="3"/>
  <c r="H788" i="3"/>
  <c r="G788" i="3"/>
  <c r="F788" i="3"/>
  <c r="E788" i="3"/>
  <c r="H787" i="3"/>
  <c r="G787" i="3"/>
  <c r="F787" i="3"/>
  <c r="E787" i="3"/>
  <c r="E786" i="3"/>
  <c r="H786" i="3"/>
  <c r="G786" i="3"/>
  <c r="F786" i="3"/>
  <c r="H785" i="3"/>
  <c r="G785" i="3"/>
  <c r="F785" i="3"/>
  <c r="E785" i="3"/>
  <c r="F784" i="3"/>
  <c r="E784" i="3"/>
  <c r="H784" i="3"/>
  <c r="G784" i="3"/>
  <c r="F783" i="3"/>
  <c r="H783" i="3"/>
  <c r="G783" i="3"/>
  <c r="E783" i="3"/>
  <c r="H782" i="3"/>
  <c r="G782" i="3"/>
  <c r="F782" i="3"/>
  <c r="E782" i="3"/>
  <c r="F781" i="3"/>
  <c r="E781" i="3"/>
  <c r="H781" i="3"/>
  <c r="G781" i="3"/>
  <c r="H780" i="3"/>
  <c r="E780" i="3"/>
  <c r="F780" i="3"/>
  <c r="G780" i="3"/>
  <c r="E779" i="3"/>
  <c r="F779" i="3"/>
  <c r="G779" i="3"/>
  <c r="H779" i="3"/>
  <c r="H778" i="3"/>
  <c r="E778" i="3"/>
  <c r="G778" i="3"/>
  <c r="F778" i="3"/>
  <c r="E777" i="3"/>
  <c r="F777" i="3"/>
  <c r="H777" i="3"/>
  <c r="G777" i="3"/>
  <c r="G776" i="3"/>
  <c r="F776" i="3"/>
  <c r="E776" i="3"/>
  <c r="H776" i="3"/>
  <c r="H775" i="3"/>
  <c r="G775" i="3"/>
  <c r="E775" i="3"/>
  <c r="F775" i="3"/>
  <c r="G774" i="3"/>
  <c r="F774" i="3"/>
  <c r="E774" i="3"/>
  <c r="H774" i="3"/>
  <c r="H773" i="3"/>
  <c r="G773" i="3"/>
  <c r="F773" i="3"/>
  <c r="E773" i="3"/>
  <c r="E772" i="3"/>
  <c r="H772" i="3"/>
  <c r="G772" i="3"/>
  <c r="F772" i="3"/>
  <c r="H771" i="3"/>
  <c r="G771" i="3"/>
  <c r="F771" i="3"/>
  <c r="E771" i="3"/>
  <c r="H770" i="3"/>
  <c r="G770" i="3"/>
  <c r="F770" i="3"/>
  <c r="E770" i="3"/>
  <c r="H769" i="3"/>
  <c r="G769" i="3"/>
  <c r="F769" i="3"/>
  <c r="E769" i="3"/>
  <c r="H768" i="3"/>
  <c r="G768" i="3"/>
  <c r="F768" i="3"/>
  <c r="E768" i="3"/>
  <c r="E767" i="3"/>
  <c r="G767" i="3"/>
  <c r="H767" i="3"/>
  <c r="F767" i="3"/>
  <c r="F766" i="3"/>
  <c r="H766" i="3"/>
  <c r="G766" i="3"/>
  <c r="E766" i="3"/>
  <c r="E765" i="3"/>
  <c r="F765" i="3"/>
  <c r="G765" i="3"/>
  <c r="H765" i="3"/>
  <c r="E764" i="3"/>
  <c r="F764" i="3"/>
  <c r="G764" i="3"/>
  <c r="H764" i="3"/>
  <c r="F763" i="3"/>
  <c r="H763" i="3"/>
  <c r="G763" i="3"/>
  <c r="E763" i="3"/>
  <c r="E762" i="3"/>
  <c r="H762" i="3"/>
  <c r="G762" i="3"/>
  <c r="F762" i="3"/>
  <c r="G761" i="3"/>
  <c r="F761" i="3"/>
  <c r="E761" i="3"/>
  <c r="H761" i="3"/>
  <c r="H760" i="3"/>
  <c r="G760" i="3"/>
  <c r="E760" i="3"/>
  <c r="F760" i="3"/>
  <c r="H759" i="3"/>
  <c r="G759" i="3"/>
  <c r="F759" i="3"/>
  <c r="E759" i="3"/>
  <c r="F757" i="3"/>
  <c r="G757" i="3"/>
  <c r="H757" i="3"/>
  <c r="E757" i="3"/>
  <c r="G756" i="3"/>
  <c r="H756" i="3"/>
  <c r="F756" i="3"/>
  <c r="E756" i="3"/>
  <c r="F755" i="3"/>
  <c r="E755" i="3"/>
  <c r="H755" i="3"/>
  <c r="G755" i="3"/>
  <c r="H754" i="3"/>
  <c r="G754" i="3"/>
  <c r="F754" i="3"/>
  <c r="E754" i="3"/>
  <c r="H753" i="3"/>
  <c r="F753" i="3"/>
  <c r="E753" i="3"/>
  <c r="G753" i="3"/>
  <c r="E752" i="3"/>
  <c r="H752" i="3"/>
  <c r="G752" i="3"/>
  <c r="F752" i="3"/>
  <c r="G751" i="3"/>
  <c r="H751" i="3"/>
  <c r="F751" i="3"/>
  <c r="E751" i="3"/>
  <c r="E750" i="3"/>
  <c r="F750" i="3"/>
  <c r="G750" i="3"/>
  <c r="H750" i="3"/>
  <c r="E749" i="3"/>
  <c r="F749" i="3"/>
  <c r="G749" i="3"/>
  <c r="H749" i="3"/>
  <c r="E748" i="3"/>
  <c r="G748" i="3"/>
  <c r="F748" i="3"/>
  <c r="H748" i="3"/>
  <c r="F747" i="3"/>
  <c r="H747" i="3"/>
  <c r="G747" i="3"/>
  <c r="E747" i="3"/>
  <c r="E746" i="3"/>
  <c r="H746" i="3"/>
  <c r="G746" i="3"/>
  <c r="F746" i="3"/>
  <c r="H745" i="3"/>
  <c r="G745" i="3"/>
  <c r="F745" i="3"/>
  <c r="E745" i="3"/>
  <c r="H744" i="3"/>
  <c r="G744" i="3"/>
  <c r="F744" i="3"/>
  <c r="E744" i="3"/>
  <c r="G743" i="3"/>
  <c r="E743" i="3"/>
  <c r="H743" i="3"/>
  <c r="F743" i="3"/>
  <c r="H742" i="3"/>
  <c r="G742" i="3"/>
  <c r="F742" i="3"/>
  <c r="E742" i="3"/>
  <c r="H741" i="3"/>
  <c r="F741" i="3"/>
  <c r="E741" i="3"/>
  <c r="G741" i="3"/>
  <c r="E739" i="3"/>
  <c r="F739" i="3"/>
  <c r="G739" i="3"/>
  <c r="H739" i="3"/>
  <c r="F738" i="3"/>
  <c r="G738" i="3"/>
  <c r="H738" i="3"/>
  <c r="E738" i="3"/>
  <c r="F737" i="3"/>
  <c r="G737" i="3"/>
  <c r="H737" i="3"/>
  <c r="E737" i="3"/>
  <c r="E736" i="3"/>
  <c r="F736" i="3"/>
  <c r="G736" i="3"/>
  <c r="H736" i="3"/>
  <c r="G735" i="3"/>
  <c r="F735" i="3"/>
  <c r="E735" i="3"/>
  <c r="H735" i="3"/>
  <c r="F733" i="3"/>
  <c r="E733" i="3"/>
  <c r="G733" i="3"/>
  <c r="H733" i="3"/>
  <c r="H732" i="3"/>
  <c r="G732" i="3"/>
  <c r="F732" i="3"/>
  <c r="E732" i="3"/>
  <c r="G731" i="3"/>
  <c r="F731" i="3"/>
  <c r="E731" i="3"/>
  <c r="H731" i="3"/>
  <c r="H730" i="3"/>
  <c r="E730" i="3"/>
  <c r="F730" i="3"/>
  <c r="G730" i="3"/>
  <c r="E729" i="3"/>
  <c r="F729" i="3"/>
  <c r="G729" i="3"/>
  <c r="H729" i="3"/>
  <c r="E728" i="3"/>
  <c r="G728" i="3"/>
  <c r="H728" i="3"/>
  <c r="F728" i="3"/>
  <c r="E727" i="3"/>
  <c r="F727" i="3"/>
  <c r="G727" i="3"/>
  <c r="H727" i="3"/>
  <c r="F726" i="3"/>
  <c r="E726" i="3"/>
  <c r="H726" i="3"/>
  <c r="G726" i="3"/>
  <c r="H725" i="3"/>
  <c r="G725" i="3"/>
  <c r="F725" i="3"/>
  <c r="E725" i="3"/>
  <c r="H724" i="3"/>
  <c r="G724" i="3"/>
  <c r="F724" i="3"/>
  <c r="E724" i="3"/>
  <c r="F723" i="3"/>
  <c r="E723" i="3"/>
  <c r="H723" i="3"/>
  <c r="G723" i="3"/>
  <c r="E721" i="3"/>
  <c r="G721" i="3"/>
  <c r="H721" i="3"/>
  <c r="F721" i="3"/>
  <c r="G720" i="3"/>
  <c r="H720" i="3"/>
  <c r="E720" i="3"/>
  <c r="F720" i="3"/>
  <c r="E719" i="3"/>
  <c r="F719" i="3"/>
  <c r="G719" i="3"/>
  <c r="H719" i="3"/>
  <c r="E718" i="3"/>
  <c r="F718" i="3"/>
  <c r="G718" i="3"/>
  <c r="H718" i="3"/>
  <c r="G717" i="3"/>
  <c r="E717" i="3"/>
  <c r="F717" i="3"/>
  <c r="H717" i="3"/>
  <c r="E716" i="3"/>
  <c r="F716" i="3"/>
  <c r="G716" i="3"/>
  <c r="H716" i="3"/>
  <c r="F715" i="3"/>
  <c r="E715" i="3"/>
  <c r="G715" i="3"/>
  <c r="H715" i="3"/>
  <c r="H714" i="3"/>
  <c r="F714" i="3"/>
  <c r="E714" i="3"/>
  <c r="G714" i="3"/>
  <c r="F713" i="3"/>
  <c r="G713" i="3"/>
  <c r="H713" i="3"/>
  <c r="E713" i="3"/>
  <c r="H712" i="3"/>
  <c r="G712" i="3"/>
  <c r="F712" i="3"/>
  <c r="E712" i="3"/>
  <c r="H711" i="3"/>
  <c r="G711" i="3"/>
  <c r="F711" i="3"/>
  <c r="E711" i="3"/>
  <c r="H709" i="3"/>
  <c r="G709" i="3"/>
  <c r="F709" i="3"/>
  <c r="E709" i="3"/>
  <c r="H708" i="3"/>
  <c r="G708" i="3"/>
  <c r="F708" i="3"/>
  <c r="E708" i="3"/>
  <c r="H707" i="3"/>
  <c r="G707" i="3"/>
  <c r="F707" i="3"/>
  <c r="E707" i="3"/>
  <c r="G706" i="3"/>
  <c r="F706" i="3"/>
  <c r="H706" i="3"/>
  <c r="E706" i="3"/>
  <c r="E705" i="3"/>
  <c r="F705" i="3"/>
  <c r="G705" i="3"/>
  <c r="H705" i="3"/>
  <c r="F704" i="3"/>
  <c r="E704" i="3"/>
  <c r="G704" i="3"/>
  <c r="H704" i="3"/>
  <c r="E703" i="3"/>
  <c r="F703" i="3"/>
  <c r="G703" i="3"/>
  <c r="H703" i="3"/>
  <c r="E702" i="3"/>
  <c r="F702" i="3"/>
  <c r="H702" i="3"/>
  <c r="G702" i="3"/>
  <c r="E701" i="3"/>
  <c r="F701" i="3"/>
  <c r="G701" i="3"/>
  <c r="H701" i="3"/>
  <c r="E700" i="3"/>
  <c r="G700" i="3"/>
  <c r="F700" i="3"/>
  <c r="H700" i="3"/>
  <c r="H699" i="3"/>
  <c r="G699" i="3"/>
  <c r="F699" i="3"/>
  <c r="E699" i="3"/>
  <c r="H698" i="3"/>
  <c r="E698" i="3"/>
  <c r="G698" i="3"/>
  <c r="F698" i="3"/>
  <c r="H697" i="3"/>
  <c r="G697" i="3"/>
  <c r="F697" i="3"/>
  <c r="E697" i="3"/>
  <c r="E696" i="3"/>
  <c r="G696" i="3"/>
  <c r="H696" i="3"/>
  <c r="F696" i="3"/>
  <c r="H695" i="3"/>
  <c r="G695" i="3"/>
  <c r="F695" i="3"/>
  <c r="E695" i="3"/>
  <c r="H694" i="3"/>
  <c r="G694" i="3"/>
  <c r="E694" i="3"/>
  <c r="F694" i="3"/>
  <c r="H693" i="3"/>
  <c r="G693" i="3"/>
  <c r="F693" i="3"/>
  <c r="E693" i="3"/>
  <c r="G692" i="3"/>
  <c r="H692" i="3"/>
  <c r="F692" i="3"/>
  <c r="E692" i="3"/>
  <c r="E691" i="3"/>
  <c r="F691" i="3"/>
  <c r="G691" i="3"/>
  <c r="H691" i="3"/>
  <c r="H690" i="3"/>
  <c r="E690" i="3"/>
  <c r="G690" i="3"/>
  <c r="F690" i="3"/>
  <c r="E689" i="3"/>
  <c r="F689" i="3"/>
  <c r="G689" i="3"/>
  <c r="H689" i="3"/>
  <c r="E688" i="3"/>
  <c r="F688" i="3"/>
  <c r="G688" i="3"/>
  <c r="H688" i="3"/>
  <c r="F687" i="3"/>
  <c r="E687" i="3"/>
  <c r="G687" i="3"/>
  <c r="H687" i="3"/>
  <c r="G686" i="3"/>
  <c r="F686" i="3"/>
  <c r="E686" i="3"/>
  <c r="H686" i="3"/>
  <c r="G685" i="3"/>
  <c r="E685" i="3"/>
  <c r="H685" i="3"/>
  <c r="F685" i="3"/>
  <c r="E684" i="3"/>
  <c r="G684" i="3"/>
  <c r="H684" i="3"/>
  <c r="F684" i="3"/>
  <c r="H683" i="3"/>
  <c r="E683" i="3"/>
  <c r="F683" i="3"/>
  <c r="G683" i="3"/>
  <c r="G682" i="3"/>
  <c r="H682" i="3"/>
  <c r="F682" i="3"/>
  <c r="E682" i="3"/>
  <c r="H681" i="3"/>
  <c r="G681" i="3"/>
  <c r="F681" i="3"/>
  <c r="E681" i="3"/>
  <c r="F680" i="3"/>
  <c r="E680" i="3"/>
  <c r="H680" i="3"/>
  <c r="G680" i="3"/>
  <c r="H679" i="3"/>
  <c r="G679" i="3"/>
  <c r="F679" i="3"/>
  <c r="E679" i="3"/>
  <c r="G678" i="3"/>
  <c r="H678" i="3"/>
  <c r="F678" i="3"/>
  <c r="E678" i="3"/>
  <c r="E677" i="3"/>
  <c r="F677" i="3"/>
  <c r="G677" i="3"/>
  <c r="H677" i="3"/>
  <c r="E676" i="3"/>
  <c r="G676" i="3"/>
  <c r="H676" i="3"/>
  <c r="F676" i="3"/>
  <c r="G675" i="3"/>
  <c r="H675" i="3"/>
  <c r="E675" i="3"/>
  <c r="F675" i="3"/>
  <c r="G674" i="3"/>
  <c r="F674" i="3"/>
  <c r="H674" i="3"/>
  <c r="E674" i="3"/>
  <c r="E673" i="3"/>
  <c r="G673" i="3"/>
  <c r="F673" i="3"/>
  <c r="H673" i="3"/>
  <c r="F672" i="3"/>
  <c r="E672" i="3"/>
  <c r="G672" i="3"/>
  <c r="H672" i="3"/>
  <c r="H671" i="3"/>
  <c r="G671" i="3"/>
  <c r="F671" i="3"/>
  <c r="E671" i="3"/>
  <c r="E670" i="3"/>
  <c r="F670" i="3"/>
  <c r="G670" i="3"/>
  <c r="H670" i="3"/>
  <c r="H669" i="3"/>
  <c r="G669" i="3"/>
  <c r="F669" i="3"/>
  <c r="E669" i="3"/>
  <c r="H668" i="3"/>
  <c r="G668" i="3"/>
  <c r="F668" i="3"/>
  <c r="E668" i="3"/>
  <c r="H667" i="3"/>
  <c r="E667" i="3"/>
  <c r="G667" i="3"/>
  <c r="F667" i="3"/>
  <c r="F666" i="3"/>
  <c r="E666" i="3"/>
  <c r="H666" i="3"/>
  <c r="G666" i="3"/>
  <c r="H665" i="3"/>
  <c r="G665" i="3"/>
  <c r="F665" i="3"/>
  <c r="E665" i="3"/>
  <c r="H664" i="3"/>
  <c r="G664" i="3"/>
  <c r="E664" i="3"/>
  <c r="F664" i="3"/>
  <c r="E663" i="3"/>
  <c r="F663" i="3"/>
  <c r="G663" i="3"/>
  <c r="H663" i="3"/>
  <c r="H662" i="3"/>
  <c r="G662" i="3"/>
  <c r="F662" i="3"/>
  <c r="E662" i="3"/>
  <c r="H661" i="3"/>
  <c r="G661" i="3"/>
  <c r="F661" i="3"/>
  <c r="E661" i="3"/>
  <c r="E660" i="3"/>
  <c r="H660" i="3"/>
  <c r="G660" i="3"/>
  <c r="F660" i="3"/>
  <c r="F659" i="3"/>
  <c r="H659" i="3"/>
  <c r="G659" i="3"/>
  <c r="E659" i="3"/>
  <c r="H658" i="3"/>
  <c r="G658" i="3"/>
  <c r="F658" i="3"/>
  <c r="E658" i="3"/>
  <c r="H657" i="3"/>
  <c r="G657" i="3"/>
  <c r="F657" i="3"/>
  <c r="E657" i="3"/>
  <c r="H656" i="3"/>
  <c r="G656" i="3"/>
  <c r="F656" i="3"/>
  <c r="E656" i="3"/>
  <c r="F655" i="3"/>
  <c r="E655" i="3"/>
  <c r="H655" i="3"/>
  <c r="G655" i="3"/>
  <c r="F654" i="3"/>
  <c r="G654" i="3"/>
  <c r="H654" i="3"/>
  <c r="E654" i="3"/>
  <c r="F653" i="3"/>
  <c r="H653" i="3"/>
  <c r="G653" i="3"/>
  <c r="E653" i="3"/>
  <c r="G652" i="3"/>
  <c r="F652" i="3"/>
  <c r="E652" i="3"/>
  <c r="H652" i="3"/>
  <c r="H651" i="3"/>
  <c r="G651" i="3"/>
  <c r="F651" i="3"/>
  <c r="E651" i="3"/>
  <c r="H650" i="3"/>
  <c r="G650" i="3"/>
  <c r="F650" i="3"/>
  <c r="E650" i="3"/>
  <c r="E649" i="3"/>
  <c r="G649" i="3"/>
  <c r="H649" i="3"/>
  <c r="F649" i="3"/>
  <c r="H648" i="3"/>
  <c r="G648" i="3"/>
  <c r="F648" i="3"/>
  <c r="E648" i="3"/>
  <c r="H647" i="3"/>
  <c r="G647" i="3"/>
  <c r="F647" i="3"/>
  <c r="E647" i="3"/>
  <c r="G646" i="3"/>
  <c r="F646" i="3"/>
  <c r="E646" i="3"/>
  <c r="H646" i="3"/>
  <c r="G645" i="3"/>
  <c r="H645" i="3"/>
  <c r="F645" i="3"/>
  <c r="E645" i="3"/>
  <c r="H644" i="3"/>
  <c r="G644" i="3"/>
  <c r="F644" i="3"/>
  <c r="E644" i="3"/>
  <c r="E643" i="3"/>
  <c r="H643" i="3"/>
  <c r="G643" i="3"/>
  <c r="F643" i="3"/>
  <c r="G642" i="3"/>
  <c r="E642" i="3"/>
  <c r="F642" i="3"/>
  <c r="H642" i="3"/>
  <c r="F641" i="3"/>
  <c r="G641" i="3"/>
  <c r="H641" i="3"/>
  <c r="E641" i="3"/>
  <c r="E640" i="3"/>
  <c r="F640" i="3"/>
  <c r="G640" i="3"/>
  <c r="H640" i="3"/>
  <c r="H639" i="3"/>
  <c r="G639" i="3"/>
  <c r="F639" i="3"/>
  <c r="E639" i="3"/>
  <c r="E638" i="3"/>
  <c r="G638" i="3"/>
  <c r="F638" i="3"/>
  <c r="H638" i="3"/>
  <c r="H637" i="3"/>
  <c r="G637" i="3"/>
  <c r="F637" i="3"/>
  <c r="E637" i="3"/>
  <c r="E636" i="3"/>
  <c r="G636" i="3"/>
  <c r="F636" i="3"/>
  <c r="H636" i="3"/>
  <c r="F635" i="3"/>
  <c r="G635" i="3"/>
  <c r="H635" i="3"/>
  <c r="E635" i="3"/>
  <c r="H633" i="3"/>
  <c r="E633" i="3"/>
  <c r="F633" i="3"/>
  <c r="G633" i="3"/>
  <c r="H632" i="3"/>
  <c r="G632" i="3"/>
  <c r="F632" i="3"/>
  <c r="E632" i="3"/>
  <c r="H631" i="3"/>
  <c r="G631" i="3"/>
  <c r="F631" i="3"/>
  <c r="E631" i="3"/>
  <c r="H630" i="3"/>
  <c r="G630" i="3"/>
  <c r="F630" i="3"/>
  <c r="E630" i="3"/>
  <c r="H629" i="3"/>
  <c r="G629" i="3"/>
  <c r="F629" i="3"/>
  <c r="E629" i="3"/>
  <c r="E628" i="3"/>
  <c r="H628" i="3"/>
  <c r="G628" i="3"/>
  <c r="F628" i="3"/>
  <c r="F627" i="3"/>
  <c r="G627" i="3"/>
  <c r="E627" i="3"/>
  <c r="H627" i="3"/>
  <c r="H626" i="3"/>
  <c r="G626" i="3"/>
  <c r="F626" i="3"/>
  <c r="E626" i="3"/>
  <c r="E625" i="3"/>
  <c r="F625" i="3"/>
  <c r="G625" i="3"/>
  <c r="H625" i="3"/>
  <c r="F624" i="3"/>
  <c r="G624" i="3"/>
  <c r="H624" i="3"/>
  <c r="E624" i="3"/>
  <c r="G623" i="3"/>
  <c r="F623" i="3"/>
  <c r="E623" i="3"/>
  <c r="H623" i="3"/>
  <c r="H622" i="3"/>
  <c r="G622" i="3"/>
  <c r="F622" i="3"/>
  <c r="E622" i="3"/>
  <c r="A622" i="3"/>
  <c r="F621" i="3"/>
  <c r="E621" i="3"/>
  <c r="G621" i="3"/>
  <c r="H621" i="3"/>
  <c r="H620" i="3"/>
  <c r="G620" i="3"/>
  <c r="F620" i="3"/>
  <c r="E620" i="3"/>
  <c r="E619" i="3"/>
  <c r="F619" i="3"/>
  <c r="G619" i="3"/>
  <c r="H619" i="3"/>
  <c r="E618" i="3"/>
  <c r="H618" i="3"/>
  <c r="G618" i="3"/>
  <c r="F618" i="3"/>
  <c r="H617" i="3"/>
  <c r="G617" i="3"/>
  <c r="E617" i="3"/>
  <c r="F617" i="3"/>
  <c r="H616" i="3"/>
  <c r="G616" i="3"/>
  <c r="F616" i="3"/>
  <c r="E616" i="3"/>
  <c r="H615" i="3"/>
  <c r="G615" i="3"/>
  <c r="F615" i="3"/>
  <c r="E615" i="3"/>
  <c r="F614" i="3"/>
  <c r="H614" i="3"/>
  <c r="G614" i="3"/>
  <c r="E614" i="3"/>
  <c r="H613" i="3"/>
  <c r="G613" i="3"/>
  <c r="F613" i="3"/>
  <c r="E613" i="3"/>
  <c r="G612" i="3"/>
  <c r="F612" i="3"/>
  <c r="H612" i="3"/>
  <c r="E612" i="3"/>
  <c r="G611" i="3"/>
  <c r="E611" i="3"/>
  <c r="F611" i="3"/>
  <c r="H611" i="3"/>
  <c r="G610" i="3"/>
  <c r="H610" i="3"/>
  <c r="A610" i="3"/>
  <c r="E610" i="3"/>
  <c r="F610" i="3"/>
  <c r="H609" i="3"/>
  <c r="G609" i="3"/>
  <c r="F609" i="3"/>
  <c r="E609" i="3"/>
  <c r="H608" i="3"/>
  <c r="E608" i="3"/>
  <c r="F608" i="3"/>
  <c r="G608" i="3"/>
  <c r="H607" i="3"/>
  <c r="G607" i="3"/>
  <c r="F607" i="3"/>
  <c r="E607" i="3"/>
  <c r="F606" i="3"/>
  <c r="H606" i="3"/>
  <c r="E606" i="3"/>
  <c r="G606" i="3"/>
  <c r="G605" i="3"/>
  <c r="H605" i="3"/>
  <c r="F605" i="3"/>
  <c r="E605" i="3"/>
  <c r="H604" i="3"/>
  <c r="G604" i="3"/>
  <c r="F604" i="3"/>
  <c r="E604" i="3"/>
  <c r="E603" i="3"/>
  <c r="H603" i="3"/>
  <c r="G603" i="3"/>
  <c r="F603" i="3"/>
  <c r="F602" i="3"/>
  <c r="H602" i="3"/>
  <c r="G602" i="3"/>
  <c r="E602" i="3"/>
  <c r="E601" i="3"/>
  <c r="H601" i="3"/>
  <c r="G601" i="3"/>
  <c r="F601" i="3"/>
  <c r="G600" i="3"/>
  <c r="E600" i="3"/>
  <c r="H600" i="3"/>
  <c r="F600" i="3"/>
  <c r="G599" i="3"/>
  <c r="E599" i="3"/>
  <c r="F599" i="3"/>
  <c r="H599" i="3"/>
  <c r="E598" i="3"/>
  <c r="F598" i="3"/>
  <c r="G598" i="3"/>
  <c r="H598" i="3"/>
  <c r="F597" i="3"/>
  <c r="E597" i="3"/>
  <c r="H597" i="3"/>
  <c r="G597" i="3"/>
  <c r="H596" i="3"/>
  <c r="G596" i="3"/>
  <c r="F596" i="3"/>
  <c r="E596" i="3"/>
  <c r="H595" i="3"/>
  <c r="G595" i="3"/>
  <c r="F595" i="3"/>
  <c r="E595" i="3"/>
  <c r="H594" i="3"/>
  <c r="G594" i="3"/>
  <c r="F594" i="3"/>
  <c r="E594" i="3"/>
  <c r="F593" i="3"/>
  <c r="E593" i="3"/>
  <c r="G593" i="3"/>
  <c r="H593" i="3"/>
  <c r="H592" i="3"/>
  <c r="G592" i="3"/>
  <c r="F592" i="3"/>
  <c r="E592" i="3"/>
  <c r="H591" i="3"/>
  <c r="G591" i="3"/>
  <c r="F591" i="3"/>
  <c r="E591" i="3"/>
  <c r="H590" i="3"/>
  <c r="G590" i="3"/>
  <c r="F590" i="3"/>
  <c r="E590" i="3"/>
  <c r="F589" i="3"/>
  <c r="E589" i="3"/>
  <c r="H589" i="3"/>
  <c r="G589" i="3"/>
  <c r="F588" i="3"/>
  <c r="H588" i="3"/>
  <c r="E588" i="3"/>
  <c r="G588" i="3"/>
  <c r="F587" i="3"/>
  <c r="E587" i="3"/>
  <c r="H587" i="3"/>
  <c r="G587" i="3"/>
  <c r="G586" i="3"/>
  <c r="E586" i="3"/>
  <c r="F586" i="3"/>
  <c r="H586" i="3"/>
  <c r="F585" i="3"/>
  <c r="G585" i="3"/>
  <c r="H585" i="3"/>
  <c r="E585" i="3"/>
  <c r="E584" i="3"/>
  <c r="F584" i="3"/>
  <c r="G584" i="3"/>
  <c r="H584" i="3"/>
  <c r="H583" i="3"/>
  <c r="E583" i="3"/>
  <c r="F583" i="3"/>
  <c r="G583" i="3"/>
  <c r="H582" i="3"/>
  <c r="E582" i="3"/>
  <c r="F582" i="3"/>
  <c r="G582" i="3"/>
  <c r="E581" i="3"/>
  <c r="F581" i="3"/>
  <c r="G581" i="3"/>
  <c r="H581" i="3"/>
  <c r="E580" i="3"/>
  <c r="F580" i="3"/>
  <c r="G580" i="3"/>
  <c r="H580" i="3"/>
  <c r="E579" i="3"/>
  <c r="G579" i="3"/>
  <c r="H579" i="3"/>
  <c r="F579" i="3"/>
  <c r="H578" i="3"/>
  <c r="G578" i="3"/>
  <c r="F578" i="3"/>
  <c r="E578" i="3"/>
  <c r="H577" i="3"/>
  <c r="G577" i="3"/>
  <c r="F577" i="3"/>
  <c r="E577" i="3"/>
  <c r="H576" i="3"/>
  <c r="G576" i="3"/>
  <c r="F576" i="3"/>
  <c r="E576" i="3"/>
  <c r="H575" i="3"/>
  <c r="G575" i="3"/>
  <c r="F575" i="3"/>
  <c r="E575" i="3"/>
  <c r="H574" i="3"/>
  <c r="G574" i="3"/>
  <c r="F574" i="3"/>
  <c r="E574" i="3"/>
  <c r="H573" i="3"/>
  <c r="F573" i="3"/>
  <c r="E573" i="3"/>
  <c r="G573" i="3"/>
  <c r="H572" i="3"/>
  <c r="G572" i="3"/>
  <c r="F572" i="3"/>
  <c r="E572" i="3"/>
  <c r="F571" i="3"/>
  <c r="G571" i="3"/>
  <c r="H571" i="3"/>
  <c r="E571" i="3"/>
  <c r="F570" i="3"/>
  <c r="E570" i="3"/>
  <c r="H570" i="3"/>
  <c r="G570" i="3"/>
  <c r="E569" i="3"/>
  <c r="F569" i="3"/>
  <c r="G569" i="3"/>
  <c r="H569" i="3"/>
  <c r="E568" i="3"/>
  <c r="H568" i="3"/>
  <c r="G568" i="3"/>
  <c r="F568" i="3"/>
  <c r="G567" i="3"/>
  <c r="H567" i="3"/>
  <c r="E567" i="3"/>
  <c r="F567" i="3"/>
  <c r="G566" i="3"/>
  <c r="F566" i="3"/>
  <c r="H566" i="3"/>
  <c r="E566" i="3"/>
  <c r="H565" i="3"/>
  <c r="G565" i="3"/>
  <c r="F565" i="3"/>
  <c r="E565" i="3"/>
  <c r="H564" i="3"/>
  <c r="G564" i="3"/>
  <c r="F564" i="3"/>
  <c r="E564" i="3"/>
  <c r="H563" i="3"/>
  <c r="G563" i="3"/>
  <c r="F563" i="3"/>
  <c r="E563" i="3"/>
  <c r="H561" i="3"/>
  <c r="G561" i="3"/>
  <c r="E561" i="3"/>
  <c r="F561" i="3"/>
  <c r="E560" i="3"/>
  <c r="F560" i="3"/>
  <c r="G560" i="3"/>
  <c r="H560" i="3"/>
  <c r="F559" i="3"/>
  <c r="E559" i="3"/>
  <c r="H559" i="3"/>
  <c r="G559" i="3"/>
  <c r="G558" i="3"/>
  <c r="F558" i="3"/>
  <c r="E558" i="3"/>
  <c r="H558" i="3"/>
  <c r="H557" i="3"/>
  <c r="G557" i="3"/>
  <c r="F557" i="3"/>
  <c r="E557" i="3"/>
  <c r="E556" i="3"/>
  <c r="H556" i="3"/>
  <c r="G556" i="3"/>
  <c r="F556" i="3"/>
  <c r="H555" i="3"/>
  <c r="E555" i="3"/>
  <c r="F555" i="3"/>
  <c r="G555" i="3"/>
  <c r="F554" i="3"/>
  <c r="G554" i="3"/>
  <c r="H554" i="3"/>
  <c r="E554" i="3"/>
  <c r="H553" i="3"/>
  <c r="G553" i="3"/>
  <c r="F553" i="3"/>
  <c r="E553" i="3"/>
  <c r="H552" i="3"/>
  <c r="G552" i="3"/>
  <c r="F552" i="3"/>
  <c r="E552" i="3"/>
  <c r="F551" i="3"/>
  <c r="E551" i="3"/>
  <c r="H551" i="3"/>
  <c r="G551" i="3"/>
  <c r="E550" i="3"/>
  <c r="F550" i="3"/>
  <c r="H550" i="3"/>
  <c r="G550" i="3"/>
  <c r="E549" i="3"/>
  <c r="F549" i="3"/>
  <c r="G549" i="3"/>
  <c r="H549" i="3"/>
  <c r="E548" i="3"/>
  <c r="F548" i="3"/>
  <c r="G548" i="3"/>
  <c r="H548" i="3"/>
  <c r="F547" i="3"/>
  <c r="E547" i="3"/>
  <c r="H547" i="3"/>
  <c r="G547" i="3"/>
  <c r="H546" i="3"/>
  <c r="E546" i="3"/>
  <c r="F546" i="3"/>
  <c r="G546" i="3"/>
  <c r="F545" i="3"/>
  <c r="G545" i="3"/>
  <c r="H545" i="3"/>
  <c r="E545" i="3"/>
  <c r="H544" i="3"/>
  <c r="G544" i="3"/>
  <c r="F544" i="3"/>
  <c r="E544" i="3"/>
  <c r="H543" i="3"/>
  <c r="G543" i="3"/>
  <c r="F543" i="3"/>
  <c r="E543" i="3"/>
  <c r="G542" i="3"/>
  <c r="H542" i="3"/>
  <c r="F542" i="3"/>
  <c r="E542" i="3"/>
  <c r="H541" i="3"/>
  <c r="G541" i="3"/>
  <c r="F541" i="3"/>
  <c r="E541" i="3"/>
  <c r="E540" i="3"/>
  <c r="H540" i="3"/>
  <c r="G540" i="3"/>
  <c r="F540" i="3"/>
  <c r="G539" i="3"/>
  <c r="E539" i="3"/>
  <c r="F539" i="3"/>
  <c r="H539" i="3"/>
  <c r="G538" i="3"/>
  <c r="F538" i="3"/>
  <c r="E538" i="3"/>
  <c r="H538" i="3"/>
  <c r="E537" i="3"/>
  <c r="G537" i="3"/>
  <c r="F537" i="3"/>
  <c r="H537" i="3"/>
  <c r="H536" i="3"/>
  <c r="G536" i="3"/>
  <c r="F536" i="3"/>
  <c r="E536" i="3"/>
  <c r="H535" i="3"/>
  <c r="E535" i="3"/>
  <c r="G535" i="3"/>
  <c r="F535" i="3"/>
  <c r="E534" i="3"/>
  <c r="F534" i="3"/>
  <c r="H534" i="3"/>
  <c r="G534" i="3"/>
  <c r="G533" i="3"/>
  <c r="H533" i="3"/>
  <c r="F533" i="3"/>
  <c r="E533" i="3"/>
  <c r="H532" i="3"/>
  <c r="G532" i="3"/>
  <c r="F532" i="3"/>
  <c r="E532" i="3"/>
  <c r="H531" i="3"/>
  <c r="G531" i="3"/>
  <c r="F531" i="3"/>
  <c r="E531" i="3"/>
  <c r="G529" i="3"/>
  <c r="E529" i="3"/>
  <c r="F529" i="3"/>
  <c r="H529" i="3"/>
  <c r="E528" i="3"/>
  <c r="G528" i="3"/>
  <c r="H528" i="3"/>
  <c r="F528" i="3"/>
  <c r="H527" i="3"/>
  <c r="E527" i="3"/>
  <c r="G527" i="3"/>
  <c r="F527" i="3"/>
  <c r="H526" i="3"/>
  <c r="E526" i="3"/>
  <c r="G526" i="3"/>
  <c r="F526" i="3"/>
  <c r="G525" i="3"/>
  <c r="H525" i="3"/>
  <c r="F525" i="3"/>
  <c r="E525" i="3"/>
  <c r="G524" i="3"/>
  <c r="F524" i="3"/>
  <c r="E524" i="3"/>
  <c r="H524" i="3"/>
  <c r="E523" i="3"/>
  <c r="F523" i="3"/>
  <c r="G523" i="3"/>
  <c r="H523" i="3"/>
  <c r="E522" i="3"/>
  <c r="F522" i="3"/>
  <c r="H522" i="3"/>
  <c r="G522" i="3"/>
  <c r="F521" i="3"/>
  <c r="E521" i="3"/>
  <c r="H521" i="3"/>
  <c r="G521" i="3"/>
  <c r="E520" i="3"/>
  <c r="H520" i="3"/>
  <c r="G520" i="3"/>
  <c r="F520" i="3"/>
  <c r="H519" i="3"/>
  <c r="G519" i="3"/>
  <c r="E519" i="3"/>
  <c r="F519" i="3"/>
  <c r="G518" i="3"/>
  <c r="F518" i="3"/>
  <c r="E518" i="3"/>
  <c r="H518" i="3"/>
  <c r="E517" i="3"/>
  <c r="H517" i="3"/>
  <c r="G517" i="3"/>
  <c r="F517" i="3"/>
  <c r="E516" i="3"/>
  <c r="F516" i="3"/>
  <c r="G516" i="3"/>
  <c r="H516" i="3"/>
  <c r="H515" i="3"/>
  <c r="E515" i="3"/>
  <c r="F515" i="3"/>
  <c r="G515" i="3"/>
  <c r="H514" i="3"/>
  <c r="G514" i="3"/>
  <c r="E514" i="3"/>
  <c r="F514" i="3"/>
  <c r="H513" i="3"/>
  <c r="G513" i="3"/>
  <c r="F513" i="3"/>
  <c r="E513" i="3"/>
  <c r="H512" i="3"/>
  <c r="G512" i="3"/>
  <c r="F512" i="3"/>
  <c r="E512" i="3"/>
  <c r="H511" i="3"/>
  <c r="G511" i="3"/>
  <c r="F511" i="3"/>
  <c r="E511" i="3"/>
  <c r="E510" i="3"/>
  <c r="F510" i="3"/>
  <c r="G510" i="3"/>
  <c r="H510" i="3"/>
  <c r="E509" i="3"/>
  <c r="H509" i="3"/>
  <c r="G509" i="3"/>
  <c r="F509" i="3"/>
  <c r="H508" i="3"/>
  <c r="E508" i="3"/>
  <c r="G508" i="3"/>
  <c r="F508" i="3"/>
  <c r="F507" i="3"/>
  <c r="E507" i="3"/>
  <c r="G507" i="3"/>
  <c r="H507" i="3"/>
  <c r="G505" i="3"/>
  <c r="E505" i="3"/>
  <c r="H505" i="3"/>
  <c r="F505" i="3"/>
  <c r="G504" i="3"/>
  <c r="E504" i="3"/>
  <c r="F504" i="3"/>
  <c r="H504" i="3"/>
  <c r="G503" i="3"/>
  <c r="H503" i="3"/>
  <c r="F503" i="3"/>
  <c r="E503" i="3"/>
  <c r="E502" i="3"/>
  <c r="F502" i="3"/>
  <c r="G502" i="3"/>
  <c r="H502" i="3"/>
  <c r="F501" i="3"/>
  <c r="G501" i="3"/>
  <c r="E501" i="3"/>
  <c r="H501" i="3"/>
  <c r="H500" i="3"/>
  <c r="F500" i="3"/>
  <c r="E500" i="3"/>
  <c r="G500" i="3"/>
  <c r="H499" i="3"/>
  <c r="G499" i="3"/>
  <c r="F499" i="3"/>
  <c r="E499" i="3"/>
  <c r="F498" i="3"/>
  <c r="H498" i="3"/>
  <c r="G498" i="3"/>
  <c r="E498" i="3"/>
  <c r="H497" i="3"/>
  <c r="E497" i="3"/>
  <c r="F497" i="3"/>
  <c r="G497" i="3"/>
  <c r="E496" i="3"/>
  <c r="F496" i="3"/>
  <c r="G496" i="3"/>
  <c r="H496" i="3"/>
  <c r="E495" i="3"/>
  <c r="F495" i="3"/>
  <c r="G495" i="3"/>
  <c r="H495" i="3"/>
  <c r="E494" i="3"/>
  <c r="F494" i="3"/>
  <c r="G494" i="3"/>
  <c r="H494" i="3"/>
  <c r="G493" i="3"/>
  <c r="H493" i="3"/>
  <c r="E493" i="3"/>
  <c r="F493" i="3"/>
  <c r="F492" i="3"/>
  <c r="G492" i="3"/>
  <c r="E492" i="3"/>
  <c r="H492" i="3"/>
  <c r="H491" i="3"/>
  <c r="E491" i="3"/>
  <c r="G491" i="3"/>
  <c r="F491" i="3"/>
  <c r="H490" i="3"/>
  <c r="E490" i="3"/>
  <c r="F490" i="3"/>
  <c r="G490" i="3"/>
  <c r="F489" i="3"/>
  <c r="E489" i="3"/>
  <c r="H489" i="3"/>
  <c r="G489" i="3"/>
  <c r="H488" i="3"/>
  <c r="F488" i="3"/>
  <c r="E488" i="3"/>
  <c r="G488" i="3"/>
  <c r="H487" i="3"/>
  <c r="F487" i="3"/>
  <c r="E487" i="3"/>
  <c r="G487" i="3"/>
  <c r="F486" i="3"/>
  <c r="H486" i="3"/>
  <c r="G486" i="3"/>
  <c r="E486" i="3"/>
  <c r="F485" i="3"/>
  <c r="H485" i="3"/>
  <c r="G485" i="3"/>
  <c r="E485" i="3"/>
  <c r="H484" i="3"/>
  <c r="G484" i="3"/>
  <c r="F484" i="3"/>
  <c r="E484" i="3"/>
  <c r="H483" i="3"/>
  <c r="G483" i="3"/>
  <c r="F483" i="3"/>
  <c r="E483" i="3"/>
  <c r="E481" i="3"/>
  <c r="H481" i="3"/>
  <c r="G481" i="3"/>
  <c r="F481" i="3"/>
  <c r="E480" i="3"/>
  <c r="F480" i="3"/>
  <c r="G480" i="3"/>
  <c r="H480" i="3"/>
  <c r="G479" i="3"/>
  <c r="E479" i="3"/>
  <c r="F479" i="3"/>
  <c r="H479" i="3"/>
  <c r="G478" i="3"/>
  <c r="F478" i="3"/>
  <c r="E478" i="3"/>
  <c r="H478" i="3"/>
  <c r="H477" i="3"/>
  <c r="G477" i="3"/>
  <c r="F477" i="3"/>
  <c r="E477" i="3"/>
  <c r="G476" i="3"/>
  <c r="F476" i="3"/>
  <c r="E476" i="3"/>
  <c r="H476" i="3"/>
  <c r="E475" i="3"/>
  <c r="F475" i="3"/>
  <c r="G475" i="3"/>
  <c r="H475" i="3"/>
  <c r="E474" i="3"/>
  <c r="F474" i="3"/>
  <c r="G474" i="3"/>
  <c r="H474" i="3"/>
  <c r="F473" i="3"/>
  <c r="E473" i="3"/>
  <c r="G473" i="3"/>
  <c r="H473" i="3"/>
  <c r="H472" i="3"/>
  <c r="F472" i="3"/>
  <c r="G472" i="3"/>
  <c r="A472" i="3"/>
  <c r="E472" i="3"/>
  <c r="E471" i="3"/>
  <c r="G471" i="3"/>
  <c r="H471" i="3"/>
  <c r="F471" i="3"/>
  <c r="H469" i="3"/>
  <c r="G469" i="3"/>
  <c r="F469" i="3"/>
  <c r="E469" i="3"/>
  <c r="E468" i="3"/>
  <c r="F468" i="3"/>
  <c r="G468" i="3"/>
  <c r="H468" i="3"/>
  <c r="G467" i="3"/>
  <c r="H467" i="3"/>
  <c r="E467" i="3"/>
  <c r="F467" i="3"/>
  <c r="G466" i="3"/>
  <c r="H466" i="3"/>
  <c r="F466" i="3"/>
  <c r="E466" i="3"/>
  <c r="G465" i="3"/>
  <c r="H465" i="3"/>
  <c r="F465" i="3"/>
  <c r="E465" i="3"/>
  <c r="E464" i="3"/>
  <c r="G464" i="3"/>
  <c r="H464" i="3"/>
  <c r="F464" i="3"/>
  <c r="E463" i="3"/>
  <c r="H463" i="3"/>
  <c r="G463" i="3"/>
  <c r="F463" i="3"/>
  <c r="E462" i="3"/>
  <c r="F462" i="3"/>
  <c r="G462" i="3"/>
  <c r="H462" i="3"/>
  <c r="F461" i="3"/>
  <c r="G461" i="3"/>
  <c r="H461" i="3"/>
  <c r="E461" i="3"/>
  <c r="G460" i="3"/>
  <c r="F460" i="3"/>
  <c r="E460" i="3"/>
  <c r="H460" i="3"/>
  <c r="E459" i="3"/>
  <c r="F459" i="3"/>
  <c r="G459" i="3"/>
  <c r="H459" i="3"/>
  <c r="E457" i="3"/>
  <c r="G457" i="3"/>
  <c r="H457" i="3"/>
  <c r="F457" i="3"/>
  <c r="H456" i="3"/>
  <c r="G456" i="3"/>
  <c r="F456" i="3"/>
  <c r="E456" i="3"/>
  <c r="H455" i="3"/>
  <c r="G455" i="3"/>
  <c r="F455" i="3"/>
  <c r="E455" i="3"/>
  <c r="E454" i="3"/>
  <c r="F454" i="3"/>
  <c r="G454" i="3"/>
  <c r="H454" i="3"/>
  <c r="E453" i="3"/>
  <c r="F453" i="3"/>
  <c r="G453" i="3"/>
  <c r="H453" i="3"/>
  <c r="E452" i="3"/>
  <c r="F452" i="3"/>
  <c r="G452" i="3"/>
  <c r="H452" i="3"/>
  <c r="G451" i="3"/>
  <c r="H451" i="3"/>
  <c r="F451" i="3"/>
  <c r="E451" i="3"/>
  <c r="F450" i="3"/>
  <c r="G450" i="3"/>
  <c r="H450" i="3"/>
  <c r="E450" i="3"/>
  <c r="H449" i="3"/>
  <c r="F449" i="3"/>
  <c r="E449" i="3"/>
  <c r="G449" i="3"/>
  <c r="H448" i="3"/>
  <c r="G448" i="3"/>
  <c r="F448" i="3"/>
  <c r="E448" i="3"/>
  <c r="H447" i="3"/>
  <c r="G447" i="3"/>
  <c r="F447" i="3"/>
  <c r="E447" i="3"/>
  <c r="F446" i="3"/>
  <c r="G446" i="3"/>
  <c r="H446" i="3"/>
  <c r="E446" i="3"/>
  <c r="E445" i="3"/>
  <c r="F445" i="3"/>
  <c r="G445" i="3"/>
  <c r="H445" i="3"/>
  <c r="E444" i="3"/>
  <c r="F444" i="3"/>
  <c r="G444" i="3"/>
  <c r="H444" i="3"/>
  <c r="F443" i="3"/>
  <c r="E443" i="3"/>
  <c r="G443" i="3"/>
  <c r="H443" i="3"/>
  <c r="H442" i="3"/>
  <c r="G442" i="3"/>
  <c r="F442" i="3"/>
  <c r="E442" i="3"/>
  <c r="G441" i="3"/>
  <c r="H441" i="3"/>
  <c r="F441" i="3"/>
  <c r="E441" i="3"/>
  <c r="H440" i="3"/>
  <c r="G440" i="3"/>
  <c r="F440" i="3"/>
  <c r="E440" i="3"/>
  <c r="E439" i="3"/>
  <c r="H439" i="3"/>
  <c r="F439" i="3"/>
  <c r="G439" i="3"/>
  <c r="G438" i="3"/>
  <c r="E438" i="3"/>
  <c r="F438" i="3"/>
  <c r="H438" i="3"/>
  <c r="E437" i="3"/>
  <c r="H437" i="3"/>
  <c r="F437" i="3"/>
  <c r="G437" i="3"/>
  <c r="E436" i="3"/>
  <c r="H436" i="3"/>
  <c r="G436" i="3"/>
  <c r="F436" i="3"/>
  <c r="H435" i="3"/>
  <c r="G435" i="3"/>
  <c r="E435" i="3"/>
  <c r="F435" i="3"/>
  <c r="G434" i="3"/>
  <c r="H434" i="3"/>
  <c r="F434" i="3"/>
  <c r="E434" i="3"/>
  <c r="H433" i="3"/>
  <c r="F433" i="3"/>
  <c r="E433" i="3"/>
  <c r="G433" i="3"/>
  <c r="E432" i="3"/>
  <c r="F432" i="3"/>
  <c r="G432" i="3"/>
  <c r="H432" i="3"/>
  <c r="G431" i="3"/>
  <c r="E431" i="3"/>
  <c r="H431" i="3"/>
  <c r="F431" i="3"/>
  <c r="H430" i="3"/>
  <c r="F430" i="3"/>
  <c r="E430" i="3"/>
  <c r="G430" i="3"/>
  <c r="H429" i="3"/>
  <c r="E429" i="3"/>
  <c r="G429" i="3"/>
  <c r="F429" i="3"/>
  <c r="H428" i="3"/>
  <c r="G428" i="3"/>
  <c r="F428" i="3"/>
  <c r="E428" i="3"/>
  <c r="H427" i="3"/>
  <c r="G427" i="3"/>
  <c r="F427" i="3"/>
  <c r="E427" i="3"/>
  <c r="H426" i="3"/>
  <c r="G426" i="3"/>
  <c r="F426" i="3"/>
  <c r="E426" i="3"/>
  <c r="H425" i="3"/>
  <c r="G425" i="3"/>
  <c r="F425" i="3"/>
  <c r="E425" i="3"/>
  <c r="H424" i="3"/>
  <c r="G424" i="3"/>
  <c r="F424" i="3"/>
  <c r="E424" i="3"/>
  <c r="G423" i="3"/>
  <c r="H423" i="3"/>
  <c r="F423" i="3"/>
  <c r="E423" i="3"/>
  <c r="H421" i="3"/>
  <c r="G421" i="3"/>
  <c r="F421" i="3"/>
  <c r="E421" i="3"/>
  <c r="E420" i="3"/>
  <c r="F420" i="3"/>
  <c r="G420" i="3"/>
  <c r="H420" i="3"/>
  <c r="F419" i="3"/>
  <c r="G419" i="3"/>
  <c r="H419" i="3"/>
  <c r="E419" i="3"/>
  <c r="F418" i="3"/>
  <c r="E418" i="3"/>
  <c r="G418" i="3"/>
  <c r="H418" i="3"/>
  <c r="G417" i="3"/>
  <c r="H417" i="3"/>
  <c r="E417" i="3"/>
  <c r="F417" i="3"/>
  <c r="F416" i="3"/>
  <c r="H416" i="3"/>
  <c r="E416" i="3"/>
  <c r="G416" i="3"/>
  <c r="H415" i="3"/>
  <c r="G415" i="3"/>
  <c r="F415" i="3"/>
  <c r="E415" i="3"/>
  <c r="E414" i="3"/>
  <c r="F414" i="3"/>
  <c r="G414" i="3"/>
  <c r="H414" i="3"/>
  <c r="G413" i="3"/>
  <c r="H413" i="3"/>
  <c r="F413" i="3"/>
  <c r="E413" i="3"/>
  <c r="E412" i="3"/>
  <c r="F412" i="3"/>
  <c r="G412" i="3"/>
  <c r="H412" i="3"/>
  <c r="H411" i="3"/>
  <c r="E411" i="3"/>
  <c r="F411" i="3"/>
  <c r="G411" i="3"/>
  <c r="F410" i="3"/>
  <c r="E410" i="3"/>
  <c r="H410" i="3"/>
  <c r="G410" i="3"/>
  <c r="H409" i="3"/>
  <c r="F409" i="3"/>
  <c r="E409" i="3"/>
  <c r="G409" i="3"/>
  <c r="H408" i="3"/>
  <c r="G408" i="3"/>
  <c r="F408" i="3"/>
  <c r="E408" i="3"/>
  <c r="G407" i="3"/>
  <c r="F407" i="3"/>
  <c r="E407" i="3"/>
  <c r="H407" i="3"/>
  <c r="H406" i="3"/>
  <c r="G406" i="3"/>
  <c r="F406" i="3"/>
  <c r="E406" i="3"/>
  <c r="F405" i="3"/>
  <c r="E405" i="3"/>
  <c r="H405" i="3"/>
  <c r="G405" i="3"/>
  <c r="E404" i="3"/>
  <c r="G404" i="3"/>
  <c r="H404" i="3"/>
  <c r="F404" i="3"/>
  <c r="E403" i="3"/>
  <c r="F403" i="3"/>
  <c r="G403" i="3"/>
  <c r="H403" i="3"/>
  <c r="E402" i="3"/>
  <c r="H402" i="3"/>
  <c r="G402" i="3"/>
  <c r="F402" i="3"/>
  <c r="F401" i="3"/>
  <c r="H401" i="3"/>
  <c r="G401" i="3"/>
  <c r="E401" i="3"/>
  <c r="E400" i="3"/>
  <c r="F400" i="3"/>
  <c r="H400" i="3"/>
  <c r="G400" i="3"/>
  <c r="G399" i="3"/>
  <c r="H399" i="3"/>
  <c r="E399" i="3"/>
  <c r="F399" i="3"/>
  <c r="E398" i="3"/>
  <c r="F398" i="3"/>
  <c r="G398" i="3"/>
  <c r="H398" i="3"/>
  <c r="G397" i="3"/>
  <c r="F397" i="3"/>
  <c r="E397" i="3"/>
  <c r="H397" i="3"/>
  <c r="H396" i="3"/>
  <c r="G396" i="3"/>
  <c r="E396" i="3"/>
  <c r="F396" i="3"/>
  <c r="F395" i="3"/>
  <c r="H395" i="3"/>
  <c r="G395" i="3"/>
  <c r="E395" i="3"/>
  <c r="E394" i="3"/>
  <c r="F394" i="3"/>
  <c r="G394" i="3"/>
  <c r="H394" i="3"/>
  <c r="F393" i="3"/>
  <c r="H393" i="3"/>
  <c r="G393" i="3"/>
  <c r="E393" i="3"/>
  <c r="F392" i="3"/>
  <c r="E392" i="3"/>
  <c r="H392" i="3"/>
  <c r="G392" i="3"/>
  <c r="H391" i="3"/>
  <c r="E391" i="3"/>
  <c r="F391" i="3"/>
  <c r="G391" i="3"/>
  <c r="H390" i="3"/>
  <c r="G390" i="3"/>
  <c r="F390" i="3"/>
  <c r="E390" i="3"/>
  <c r="H389" i="3"/>
  <c r="G389" i="3"/>
  <c r="F389" i="3"/>
  <c r="E389" i="3"/>
  <c r="E388" i="3"/>
  <c r="H388" i="3"/>
  <c r="G388" i="3"/>
  <c r="H387" i="3"/>
  <c r="G387" i="3"/>
  <c r="F387" i="3"/>
  <c r="E387" i="3"/>
  <c r="E385" i="3"/>
  <c r="A385" i="3"/>
  <c r="H385" i="3"/>
  <c r="F385" i="3"/>
  <c r="G385" i="3"/>
  <c r="G384" i="3"/>
  <c r="F384" i="3"/>
  <c r="H384" i="3"/>
  <c r="E384" i="3"/>
  <c r="E383" i="3"/>
  <c r="F383" i="3"/>
  <c r="G383" i="3"/>
  <c r="H383" i="3"/>
  <c r="H382" i="3"/>
  <c r="A382" i="3"/>
  <c r="F382" i="3"/>
  <c r="E382" i="3"/>
  <c r="G382" i="3"/>
  <c r="E381" i="3"/>
  <c r="G381" i="3"/>
  <c r="F381" i="3"/>
  <c r="H381" i="3"/>
  <c r="H380" i="3"/>
  <c r="G380" i="3"/>
  <c r="F380" i="3"/>
  <c r="E380" i="3"/>
  <c r="G379" i="3"/>
  <c r="H379" i="3"/>
  <c r="E379" i="3"/>
  <c r="F379" i="3"/>
  <c r="F378" i="3"/>
  <c r="G378" i="3"/>
  <c r="H378" i="3"/>
  <c r="E378" i="3"/>
  <c r="E377" i="3"/>
  <c r="H377" i="3"/>
  <c r="G377" i="3"/>
  <c r="F377" i="3"/>
  <c r="E376" i="3"/>
  <c r="H376" i="3"/>
  <c r="F376" i="3"/>
  <c r="G376" i="3"/>
  <c r="H375" i="3"/>
  <c r="G375" i="3"/>
  <c r="E375" i="3"/>
  <c r="F375" i="3"/>
  <c r="H374" i="3"/>
  <c r="F374" i="3"/>
  <c r="A374" i="3"/>
  <c r="G374" i="3"/>
  <c r="E374" i="3"/>
  <c r="H373" i="3"/>
  <c r="E373" i="3"/>
  <c r="G373" i="3"/>
  <c r="F373" i="3"/>
  <c r="A372" i="3"/>
  <c r="H372" i="3"/>
  <c r="F372" i="3"/>
  <c r="E372" i="3"/>
  <c r="G372" i="3"/>
  <c r="F371" i="3"/>
  <c r="G371" i="3"/>
  <c r="E371" i="3"/>
  <c r="H371" i="3"/>
  <c r="F370" i="3"/>
  <c r="H370" i="3"/>
  <c r="E370" i="3"/>
  <c r="G370" i="3"/>
  <c r="E369" i="3"/>
  <c r="G369" i="3"/>
  <c r="F369" i="3"/>
  <c r="H369" i="3"/>
  <c r="E368" i="3"/>
  <c r="H368" i="3"/>
  <c r="G368" i="3"/>
  <c r="F368" i="3"/>
  <c r="G367" i="3"/>
  <c r="H367" i="3"/>
  <c r="F367" i="3"/>
  <c r="E367" i="3"/>
  <c r="E366" i="3"/>
  <c r="H366" i="3"/>
  <c r="G366" i="3"/>
  <c r="F366" i="3"/>
  <c r="E365" i="3"/>
  <c r="F365" i="3"/>
  <c r="H365" i="3"/>
  <c r="G365" i="3"/>
  <c r="G364" i="3"/>
  <c r="A364" i="3"/>
  <c r="F364" i="3"/>
  <c r="H364" i="3"/>
  <c r="E364" i="3"/>
  <c r="A363" i="3"/>
  <c r="E363" i="3"/>
  <c r="G363" i="3"/>
  <c r="H363" i="3"/>
  <c r="F363" i="3"/>
  <c r="G362" i="3"/>
  <c r="E362" i="3"/>
  <c r="H362" i="3"/>
  <c r="F362" i="3"/>
  <c r="G361" i="3"/>
  <c r="E361" i="3"/>
  <c r="H361" i="3"/>
  <c r="F361" i="3"/>
  <c r="E360" i="3"/>
  <c r="H360" i="3"/>
  <c r="F360" i="3"/>
  <c r="G360" i="3"/>
  <c r="E359" i="3"/>
  <c r="G359" i="3"/>
  <c r="H359" i="3"/>
  <c r="F359" i="3"/>
  <c r="F358" i="3"/>
  <c r="A358" i="3"/>
  <c r="E358" i="3"/>
  <c r="G358" i="3"/>
  <c r="H358" i="3"/>
  <c r="G357" i="3"/>
  <c r="E357" i="3"/>
  <c r="A357" i="3"/>
  <c r="F357" i="3"/>
  <c r="H357" i="3"/>
  <c r="H356" i="3"/>
  <c r="F356" i="3"/>
  <c r="G356" i="3"/>
  <c r="E356" i="3"/>
  <c r="F355" i="3"/>
  <c r="E355" i="3"/>
  <c r="G355" i="3"/>
  <c r="H355" i="3"/>
  <c r="G354" i="3"/>
  <c r="H354" i="3"/>
  <c r="F354" i="3"/>
  <c r="E354" i="3"/>
  <c r="F353" i="3"/>
  <c r="G353" i="3"/>
  <c r="E353" i="3"/>
  <c r="H353" i="3"/>
  <c r="H352" i="3"/>
  <c r="E352" i="3"/>
  <c r="F352" i="3"/>
  <c r="A352" i="3"/>
  <c r="G352" i="3"/>
  <c r="G351" i="3"/>
  <c r="H351" i="3"/>
  <c r="F351" i="3"/>
  <c r="E351" i="3"/>
  <c r="F350" i="3"/>
  <c r="G350" i="3"/>
  <c r="E350" i="3"/>
  <c r="H350" i="3"/>
  <c r="H349" i="3"/>
  <c r="F349" i="3"/>
  <c r="G349" i="3"/>
  <c r="E349" i="3"/>
  <c r="G348" i="3"/>
  <c r="E348" i="3"/>
  <c r="A348" i="3"/>
  <c r="H348" i="3"/>
  <c r="F348" i="3"/>
  <c r="F347" i="3"/>
  <c r="E347" i="3"/>
  <c r="H347" i="3"/>
  <c r="A347" i="3"/>
  <c r="G347" i="3"/>
  <c r="H345" i="3"/>
  <c r="G345" i="3"/>
  <c r="F345" i="3"/>
  <c r="E345" i="3"/>
  <c r="H344" i="3"/>
  <c r="G344" i="3"/>
  <c r="F344" i="3"/>
  <c r="E344" i="3"/>
  <c r="H343" i="3"/>
  <c r="G343" i="3"/>
  <c r="F343" i="3"/>
  <c r="E343" i="3"/>
  <c r="H342" i="3"/>
  <c r="G342" i="3"/>
  <c r="F342" i="3"/>
  <c r="E342" i="3"/>
  <c r="H341" i="3"/>
  <c r="G341" i="3"/>
  <c r="F341" i="3"/>
  <c r="E341" i="3"/>
  <c r="H340" i="3"/>
  <c r="G340" i="3"/>
  <c r="F340" i="3"/>
  <c r="E340" i="3"/>
  <c r="H339" i="3"/>
  <c r="G339" i="3"/>
  <c r="F339" i="3"/>
  <c r="E339" i="3"/>
  <c r="H338" i="3"/>
  <c r="G338" i="3"/>
  <c r="F338" i="3"/>
  <c r="E338" i="3"/>
  <c r="F337" i="3"/>
  <c r="G337" i="3"/>
  <c r="E337" i="3"/>
  <c r="H337" i="3"/>
  <c r="H336" i="3"/>
  <c r="G336" i="3"/>
  <c r="F336" i="3"/>
  <c r="E336" i="3"/>
  <c r="H335" i="3"/>
  <c r="G335" i="3"/>
  <c r="F335" i="3"/>
  <c r="E335" i="3"/>
  <c r="E334" i="3"/>
  <c r="F334" i="3"/>
  <c r="G334" i="3"/>
  <c r="H334" i="3"/>
  <c r="F333" i="3"/>
  <c r="G333" i="3"/>
  <c r="H333" i="3"/>
  <c r="E333" i="3"/>
  <c r="F332" i="3"/>
  <c r="H332" i="3"/>
  <c r="G332" i="3"/>
  <c r="E332" i="3"/>
  <c r="F331" i="3"/>
  <c r="E331" i="3"/>
  <c r="H331" i="3"/>
  <c r="G331" i="3"/>
  <c r="F330" i="3"/>
  <c r="G330" i="3"/>
  <c r="H330" i="3"/>
  <c r="E330" i="3"/>
  <c r="H329" i="3"/>
  <c r="F329" i="3"/>
  <c r="E329" i="3"/>
  <c r="G329" i="3"/>
  <c r="H328" i="3"/>
  <c r="G328" i="3"/>
  <c r="F328" i="3"/>
  <c r="E328" i="3"/>
  <c r="G327" i="3"/>
  <c r="E327" i="3"/>
  <c r="F327" i="3"/>
  <c r="H327" i="3"/>
  <c r="E326" i="3"/>
  <c r="F326" i="3"/>
  <c r="G326" i="3"/>
  <c r="H326" i="3"/>
  <c r="E325" i="3"/>
  <c r="F325" i="3"/>
  <c r="G325" i="3"/>
  <c r="H325" i="3"/>
  <c r="E324" i="3"/>
  <c r="G324" i="3"/>
  <c r="H324" i="3"/>
  <c r="F324" i="3"/>
  <c r="G323" i="3"/>
  <c r="H323" i="3"/>
  <c r="E323" i="3"/>
  <c r="F323" i="3"/>
  <c r="E322" i="3"/>
  <c r="G322" i="3"/>
  <c r="H322" i="3"/>
  <c r="F322" i="3"/>
  <c r="F321" i="3"/>
  <c r="G321" i="3"/>
  <c r="H321" i="3"/>
  <c r="E321" i="3"/>
  <c r="E320" i="3"/>
  <c r="F320" i="3"/>
  <c r="G320" i="3"/>
  <c r="H320" i="3"/>
  <c r="E319" i="3"/>
  <c r="F319" i="3"/>
  <c r="G319" i="3"/>
  <c r="H319" i="3"/>
  <c r="F318" i="3"/>
  <c r="E318" i="3"/>
  <c r="H318" i="3"/>
  <c r="G318" i="3"/>
  <c r="H317" i="3"/>
  <c r="G317" i="3"/>
  <c r="F317" i="3"/>
  <c r="E317" i="3"/>
  <c r="H316" i="3"/>
  <c r="G316" i="3"/>
  <c r="F316" i="3"/>
  <c r="E316" i="3"/>
  <c r="G315" i="3"/>
  <c r="E315" i="3"/>
  <c r="F315" i="3"/>
  <c r="H315" i="3"/>
  <c r="E314" i="3"/>
  <c r="F314" i="3"/>
  <c r="G314" i="3"/>
  <c r="H314" i="3"/>
  <c r="H313" i="3"/>
  <c r="F313" i="3"/>
  <c r="E313" i="3"/>
  <c r="G313" i="3"/>
  <c r="H312" i="3"/>
  <c r="G312" i="3"/>
  <c r="F312" i="3"/>
  <c r="E312" i="3"/>
  <c r="G311" i="3"/>
  <c r="H311" i="3"/>
  <c r="F311" i="3"/>
  <c r="E311" i="3"/>
  <c r="F310" i="3"/>
  <c r="G310" i="3"/>
  <c r="H310" i="3"/>
  <c r="E310" i="3"/>
  <c r="F309" i="3"/>
  <c r="E309" i="3"/>
  <c r="G309" i="3"/>
  <c r="H309" i="3"/>
  <c r="F308" i="3"/>
  <c r="G308" i="3"/>
  <c r="H308" i="3"/>
  <c r="E308" i="3"/>
  <c r="H307" i="3"/>
  <c r="F307" i="3"/>
  <c r="E307" i="3"/>
  <c r="G307" i="3"/>
  <c r="H306" i="3"/>
  <c r="G306" i="3"/>
  <c r="F306" i="3"/>
  <c r="E306" i="3"/>
  <c r="F305" i="3"/>
  <c r="H305" i="3"/>
  <c r="G305" i="3"/>
  <c r="E305" i="3"/>
  <c r="H304" i="3"/>
  <c r="F304" i="3"/>
  <c r="G304" i="3"/>
  <c r="E304" i="3"/>
  <c r="F303" i="3"/>
  <c r="G303" i="3"/>
  <c r="H303" i="3"/>
  <c r="E303" i="3"/>
  <c r="E302" i="3"/>
  <c r="F302" i="3"/>
  <c r="G302" i="3"/>
  <c r="H302" i="3"/>
  <c r="H301" i="3"/>
  <c r="G301" i="3"/>
  <c r="F301" i="3"/>
  <c r="E301" i="3"/>
  <c r="H300" i="3"/>
  <c r="F300" i="3"/>
  <c r="E300" i="3"/>
  <c r="G300" i="3"/>
  <c r="F299" i="3"/>
  <c r="E299" i="3"/>
  <c r="H299" i="3"/>
  <c r="G299" i="3"/>
  <c r="G298" i="3"/>
  <c r="H298" i="3"/>
  <c r="F298" i="3"/>
  <c r="E298" i="3"/>
  <c r="E297" i="3"/>
  <c r="F297" i="3"/>
  <c r="H297" i="3"/>
  <c r="G297" i="3"/>
  <c r="E296" i="3"/>
  <c r="F296" i="3"/>
  <c r="H296" i="3"/>
  <c r="G296" i="3"/>
  <c r="G295" i="3"/>
  <c r="H295" i="3"/>
  <c r="E295" i="3"/>
  <c r="F295" i="3"/>
  <c r="E294" i="3"/>
  <c r="G294" i="3"/>
  <c r="F294" i="3"/>
  <c r="H294" i="3"/>
  <c r="H293" i="3"/>
  <c r="G293" i="3"/>
  <c r="F293" i="3"/>
  <c r="E293" i="3"/>
  <c r="E292" i="3"/>
  <c r="G292" i="3"/>
  <c r="F292" i="3"/>
  <c r="H292" i="3"/>
  <c r="E291" i="3"/>
  <c r="H291" i="3"/>
  <c r="G291" i="3"/>
  <c r="F291" i="3"/>
  <c r="F290" i="3"/>
  <c r="E290" i="3"/>
  <c r="H290" i="3"/>
  <c r="G290" i="3"/>
  <c r="H289" i="3"/>
  <c r="G289" i="3"/>
  <c r="F289" i="3"/>
  <c r="E289" i="3"/>
  <c r="H288" i="3"/>
  <c r="G288" i="3"/>
  <c r="E288" i="3"/>
  <c r="F288" i="3"/>
  <c r="H287" i="3"/>
  <c r="G287" i="3"/>
  <c r="F287" i="3"/>
  <c r="E287" i="3"/>
  <c r="H286" i="3"/>
  <c r="G286" i="3"/>
  <c r="F286" i="3"/>
  <c r="E286" i="3"/>
  <c r="H285" i="3"/>
  <c r="G285" i="3"/>
  <c r="E285" i="3"/>
  <c r="F285" i="3"/>
  <c r="G284" i="3"/>
  <c r="F284" i="3"/>
  <c r="E284" i="3"/>
  <c r="H284" i="3"/>
  <c r="G283" i="3"/>
  <c r="E283" i="3"/>
  <c r="F283" i="3"/>
  <c r="H283" i="3"/>
  <c r="H282" i="3"/>
  <c r="E282" i="3"/>
  <c r="F282" i="3"/>
  <c r="G282" i="3"/>
  <c r="G281" i="3"/>
  <c r="F281" i="3"/>
  <c r="E281" i="3"/>
  <c r="H281" i="3"/>
  <c r="H280" i="3"/>
  <c r="G280" i="3"/>
  <c r="E280" i="3"/>
  <c r="F280" i="3"/>
  <c r="E279" i="3"/>
  <c r="F279" i="3"/>
  <c r="G279" i="3"/>
  <c r="H279" i="3"/>
  <c r="H278" i="3"/>
  <c r="F278" i="3"/>
  <c r="E278" i="3"/>
  <c r="G278" i="3"/>
  <c r="E277" i="3"/>
  <c r="F277" i="3"/>
  <c r="G277" i="3"/>
  <c r="H277" i="3"/>
  <c r="F276" i="3"/>
  <c r="G276" i="3"/>
  <c r="E276" i="3"/>
  <c r="H276" i="3"/>
  <c r="F275" i="3"/>
  <c r="E275" i="3"/>
  <c r="H275" i="3"/>
  <c r="G275" i="3"/>
  <c r="F274" i="3"/>
  <c r="G274" i="3"/>
  <c r="E274" i="3"/>
  <c r="H274" i="3"/>
  <c r="E273" i="3"/>
  <c r="G273" i="3"/>
  <c r="F273" i="3"/>
  <c r="H273" i="3"/>
  <c r="E272" i="3"/>
  <c r="F272" i="3"/>
  <c r="H272" i="3"/>
  <c r="G272" i="3"/>
  <c r="E271" i="3"/>
  <c r="G271" i="3"/>
  <c r="F271" i="3"/>
  <c r="H271" i="3"/>
  <c r="F270" i="3"/>
  <c r="E270" i="3"/>
  <c r="H270" i="3"/>
  <c r="G270" i="3"/>
  <c r="A269" i="3"/>
  <c r="E269" i="3"/>
  <c r="G269" i="3"/>
  <c r="H269" i="3"/>
  <c r="G268" i="3"/>
  <c r="E268" i="3"/>
  <c r="H268" i="3"/>
  <c r="F268" i="3"/>
  <c r="F267" i="3"/>
  <c r="G267" i="3"/>
  <c r="E267" i="3"/>
  <c r="H267" i="3"/>
  <c r="A267" i="3"/>
  <c r="G266" i="3"/>
  <c r="F266" i="3"/>
  <c r="E266" i="3"/>
  <c r="H266" i="3"/>
  <c r="E265" i="3"/>
  <c r="G265" i="3"/>
  <c r="F265" i="3"/>
  <c r="H265" i="3"/>
  <c r="F264" i="3"/>
  <c r="G264" i="3"/>
  <c r="H264" i="3"/>
  <c r="E264" i="3"/>
  <c r="H263" i="3"/>
  <c r="G263" i="3"/>
  <c r="F263" i="3"/>
  <c r="E263" i="3"/>
  <c r="E262" i="3"/>
  <c r="G262" i="3"/>
  <c r="H262" i="3"/>
  <c r="F262" i="3"/>
  <c r="E260" i="3"/>
  <c r="G260" i="3"/>
  <c r="H260" i="3"/>
  <c r="F260" i="3"/>
  <c r="H259" i="3"/>
  <c r="G259" i="3"/>
  <c r="F259" i="3"/>
  <c r="E259" i="3"/>
  <c r="G258" i="3"/>
  <c r="H258" i="3"/>
  <c r="F258" i="3"/>
  <c r="E258" i="3"/>
  <c r="E257" i="3"/>
  <c r="F257" i="3"/>
  <c r="G257" i="3"/>
  <c r="H257" i="3"/>
  <c r="F256" i="3"/>
  <c r="E256" i="3"/>
  <c r="G256" i="3"/>
  <c r="H256" i="3"/>
  <c r="E255" i="3"/>
  <c r="F255" i="3"/>
  <c r="G255" i="3"/>
  <c r="H255" i="3"/>
  <c r="F254" i="3"/>
  <c r="G254" i="3"/>
  <c r="H254" i="3"/>
  <c r="E254" i="3"/>
  <c r="H253" i="3"/>
  <c r="G253" i="3"/>
  <c r="F253" i="3"/>
  <c r="E253" i="3"/>
  <c r="E252" i="3"/>
  <c r="F252" i="3"/>
  <c r="G252" i="3"/>
  <c r="H252" i="3"/>
  <c r="E251" i="3"/>
  <c r="G251" i="3"/>
  <c r="H251" i="3"/>
  <c r="F251" i="3"/>
  <c r="E250" i="3"/>
  <c r="F250" i="3"/>
  <c r="G250" i="3"/>
  <c r="H250" i="3"/>
  <c r="F249" i="3"/>
  <c r="E249" i="3"/>
  <c r="G249" i="3"/>
  <c r="H249" i="3"/>
  <c r="G248" i="3"/>
  <c r="H248" i="3"/>
  <c r="F248" i="3"/>
  <c r="E248" i="3"/>
  <c r="E247" i="3"/>
  <c r="H247" i="3"/>
  <c r="G247" i="3"/>
  <c r="F247" i="3"/>
  <c r="F246" i="3"/>
  <c r="E246" i="3"/>
  <c r="G246" i="3"/>
  <c r="H246" i="3"/>
  <c r="E245" i="3"/>
  <c r="F245" i="3"/>
  <c r="G245" i="3"/>
  <c r="H245" i="3"/>
  <c r="E244" i="3"/>
  <c r="G244" i="3"/>
  <c r="H244" i="3"/>
  <c r="F244" i="3"/>
  <c r="F243" i="3"/>
  <c r="G243" i="3"/>
  <c r="H243" i="3"/>
  <c r="E243" i="3"/>
  <c r="G242" i="3"/>
  <c r="F242" i="3"/>
  <c r="E242" i="3"/>
  <c r="H242" i="3"/>
  <c r="F241" i="3"/>
  <c r="E241" i="3"/>
  <c r="H241" i="3"/>
  <c r="G241" i="3"/>
  <c r="G240" i="3"/>
  <c r="H240" i="3"/>
  <c r="F240" i="3"/>
  <c r="E240" i="3"/>
  <c r="H239" i="3"/>
  <c r="G239" i="3"/>
  <c r="F239" i="3"/>
  <c r="E239" i="3"/>
  <c r="H238" i="3"/>
  <c r="F238" i="3"/>
  <c r="E238" i="3"/>
  <c r="G238" i="3"/>
  <c r="F237" i="3"/>
  <c r="G237" i="3"/>
  <c r="E237" i="3"/>
  <c r="H237" i="3"/>
  <c r="E236" i="3"/>
  <c r="F236" i="3"/>
  <c r="G236" i="3"/>
  <c r="H236" i="3"/>
  <c r="E235" i="3"/>
  <c r="G235" i="3"/>
  <c r="H235" i="3"/>
  <c r="F235" i="3"/>
  <c r="H234" i="3"/>
  <c r="G234" i="3"/>
  <c r="F234" i="3"/>
  <c r="E234" i="3"/>
  <c r="H233" i="3"/>
  <c r="G233" i="3"/>
  <c r="F233" i="3"/>
  <c r="E233" i="3"/>
  <c r="H232" i="3"/>
  <c r="G232" i="3"/>
  <c r="F232" i="3"/>
  <c r="E232" i="3"/>
  <c r="F231" i="3"/>
  <c r="H231" i="3"/>
  <c r="E231" i="3"/>
  <c r="G231" i="3"/>
  <c r="E230" i="3"/>
  <c r="F230" i="3"/>
  <c r="G230" i="3"/>
  <c r="H230" i="3"/>
  <c r="F229" i="3"/>
  <c r="G229" i="3"/>
  <c r="H229" i="3"/>
  <c r="E229" i="3"/>
  <c r="E228" i="3"/>
  <c r="F228" i="3"/>
  <c r="G228" i="3"/>
  <c r="H228" i="3"/>
  <c r="G227" i="3"/>
  <c r="F227" i="3"/>
  <c r="E227" i="3"/>
  <c r="H227" i="3"/>
  <c r="H226" i="3"/>
  <c r="G226" i="3"/>
  <c r="E226" i="3"/>
  <c r="F226" i="3"/>
  <c r="G225" i="3"/>
  <c r="H225" i="3"/>
  <c r="F225" i="3"/>
  <c r="E225" i="3"/>
  <c r="H224" i="3"/>
  <c r="G224" i="3"/>
  <c r="E224" i="3"/>
  <c r="F224" i="3"/>
  <c r="A224" i="3"/>
  <c r="H223" i="3"/>
  <c r="E223" i="3"/>
  <c r="G223" i="3"/>
  <c r="F223" i="3"/>
  <c r="H222" i="3"/>
  <c r="F222" i="3"/>
  <c r="G222" i="3"/>
  <c r="E222" i="3"/>
  <c r="H221" i="3"/>
  <c r="G221" i="3"/>
  <c r="F221" i="3"/>
  <c r="E221" i="3"/>
  <c r="H220" i="3"/>
  <c r="G220" i="3"/>
  <c r="E220" i="3"/>
  <c r="F220" i="3"/>
  <c r="E219" i="3"/>
  <c r="F219" i="3"/>
  <c r="G219" i="3"/>
  <c r="H219" i="3"/>
  <c r="E218" i="3"/>
  <c r="G218" i="3"/>
  <c r="F218" i="3"/>
  <c r="A218" i="3"/>
  <c r="H218" i="3"/>
  <c r="E217" i="3"/>
  <c r="F217" i="3"/>
  <c r="G217" i="3"/>
  <c r="H217" i="3"/>
  <c r="H216" i="3"/>
  <c r="F216" i="3"/>
  <c r="G216" i="3"/>
  <c r="E216" i="3"/>
  <c r="F215" i="3"/>
  <c r="H215" i="3"/>
  <c r="E215" i="3"/>
  <c r="G215" i="3"/>
  <c r="H214" i="3"/>
  <c r="E214" i="3"/>
  <c r="G214" i="3"/>
  <c r="F214" i="3"/>
  <c r="H213" i="3"/>
  <c r="G213" i="3"/>
  <c r="F213" i="3"/>
  <c r="E213" i="3"/>
  <c r="H212" i="3"/>
  <c r="G212" i="3"/>
  <c r="F212" i="3"/>
  <c r="E212" i="3"/>
  <c r="H211" i="3"/>
  <c r="G211" i="3"/>
  <c r="F211" i="3"/>
  <c r="E211" i="3"/>
  <c r="H210" i="3"/>
  <c r="G210" i="3"/>
  <c r="F210" i="3"/>
  <c r="E210" i="3"/>
  <c r="A210" i="3"/>
  <c r="H209" i="3"/>
  <c r="G209" i="3"/>
  <c r="E209" i="3"/>
  <c r="A209" i="3"/>
  <c r="F209" i="3"/>
  <c r="H208" i="3"/>
  <c r="G208" i="3"/>
  <c r="F208" i="3"/>
  <c r="E208" i="3"/>
  <c r="F207" i="3"/>
  <c r="E207" i="3"/>
  <c r="H207" i="3"/>
  <c r="G207" i="3"/>
  <c r="A206" i="3"/>
  <c r="E206" i="3"/>
  <c r="G206" i="3"/>
  <c r="F206" i="3"/>
  <c r="H206" i="3"/>
  <c r="H205" i="3"/>
  <c r="F205" i="3"/>
  <c r="G205" i="3"/>
  <c r="E205" i="3"/>
  <c r="E204" i="3"/>
  <c r="F204" i="3"/>
  <c r="G204" i="3"/>
  <c r="H204" i="3"/>
  <c r="H203" i="3"/>
  <c r="G203" i="3"/>
  <c r="E203" i="3"/>
  <c r="F203" i="3"/>
  <c r="H202" i="3"/>
  <c r="F202" i="3"/>
  <c r="E202" i="3"/>
  <c r="G202" i="3"/>
  <c r="F201" i="3"/>
  <c r="E201" i="3"/>
  <c r="G201" i="3"/>
  <c r="H201" i="3"/>
  <c r="F200" i="3"/>
  <c r="A200" i="3"/>
  <c r="E200" i="3"/>
  <c r="G200" i="3"/>
  <c r="H200" i="3"/>
  <c r="F199" i="3"/>
  <c r="E199" i="3"/>
  <c r="G199" i="3"/>
  <c r="H199" i="3"/>
  <c r="F198" i="3"/>
  <c r="E198" i="3"/>
  <c r="G197" i="3"/>
  <c r="F197" i="3"/>
  <c r="E197" i="3"/>
  <c r="H197" i="3"/>
  <c r="E196" i="3"/>
  <c r="H196" i="3"/>
  <c r="G196" i="3"/>
  <c r="F196" i="3"/>
  <c r="F195" i="3"/>
  <c r="E195" i="3"/>
  <c r="H195" i="3"/>
  <c r="G195" i="3"/>
  <c r="H194" i="3"/>
  <c r="G194" i="3"/>
  <c r="F194" i="3"/>
  <c r="E194" i="3"/>
  <c r="H193" i="3"/>
  <c r="G193" i="3"/>
  <c r="F193" i="3"/>
  <c r="E193" i="3"/>
  <c r="H192" i="3"/>
  <c r="G192" i="3"/>
  <c r="F192" i="3"/>
  <c r="E192" i="3"/>
  <c r="H191" i="3"/>
  <c r="G191" i="3"/>
  <c r="F191" i="3"/>
  <c r="E191" i="3"/>
  <c r="H190" i="3"/>
  <c r="G190" i="3"/>
  <c r="F190" i="3"/>
  <c r="E190" i="3"/>
  <c r="H189" i="3"/>
  <c r="G189" i="3"/>
  <c r="F189" i="3"/>
  <c r="E189" i="3"/>
  <c r="H188" i="3"/>
  <c r="G188" i="3"/>
  <c r="F188" i="3"/>
  <c r="E188" i="3"/>
  <c r="H187" i="3"/>
  <c r="G187" i="3"/>
  <c r="F187" i="3"/>
  <c r="E187" i="3"/>
  <c r="H186" i="3"/>
  <c r="G186" i="3"/>
  <c r="F186" i="3"/>
  <c r="E186" i="3"/>
  <c r="H185" i="3"/>
  <c r="G185" i="3"/>
  <c r="F185" i="3"/>
  <c r="E185" i="3"/>
  <c r="H184" i="3"/>
  <c r="G184" i="3"/>
  <c r="F184" i="3"/>
  <c r="E184" i="3"/>
  <c r="G183" i="3"/>
  <c r="F183" i="3"/>
  <c r="E183" i="3"/>
  <c r="H183" i="3"/>
  <c r="F181" i="3"/>
  <c r="G181" i="3"/>
  <c r="H181" i="3"/>
  <c r="E181" i="3"/>
  <c r="E180" i="3"/>
  <c r="F180" i="3"/>
  <c r="G180" i="3"/>
  <c r="H180" i="3"/>
  <c r="E179" i="3"/>
  <c r="F179" i="3"/>
  <c r="H179" i="3"/>
  <c r="G179" i="3"/>
  <c r="E178" i="3"/>
  <c r="F178" i="3"/>
  <c r="G178" i="3"/>
  <c r="H178" i="3"/>
  <c r="E177" i="3"/>
  <c r="H177" i="3"/>
  <c r="F177" i="3"/>
  <c r="G177" i="3"/>
  <c r="H176" i="3"/>
  <c r="G176" i="3"/>
  <c r="F176" i="3"/>
  <c r="E176" i="3"/>
  <c r="H175" i="3"/>
  <c r="G175" i="3"/>
  <c r="F175" i="3"/>
  <c r="E175" i="3"/>
  <c r="H174" i="3"/>
  <c r="G174" i="3"/>
  <c r="F174" i="3"/>
  <c r="E174" i="3"/>
  <c r="H173" i="3"/>
  <c r="G173" i="3"/>
  <c r="F173" i="3"/>
  <c r="E173" i="3"/>
  <c r="H172" i="3"/>
  <c r="G172" i="3"/>
  <c r="F172" i="3"/>
  <c r="E172" i="3"/>
  <c r="E171" i="3"/>
  <c r="H171" i="3"/>
  <c r="G171" i="3"/>
  <c r="F171" i="3"/>
  <c r="G170" i="3"/>
  <c r="H170" i="3"/>
  <c r="F170" i="3"/>
  <c r="E170" i="3"/>
  <c r="G169" i="3"/>
  <c r="H169" i="3"/>
  <c r="E169" i="3"/>
  <c r="F169" i="3"/>
  <c r="F168" i="3"/>
  <c r="E168" i="3"/>
  <c r="G168" i="3"/>
  <c r="H168" i="3"/>
  <c r="H167" i="3"/>
  <c r="G167" i="3"/>
  <c r="F167" i="3"/>
  <c r="E167" i="3"/>
  <c r="E166" i="3"/>
  <c r="H166" i="3"/>
  <c r="F166" i="3"/>
  <c r="G166" i="3"/>
  <c r="H165" i="3"/>
  <c r="G165" i="3"/>
  <c r="F165" i="3"/>
  <c r="E165" i="3"/>
  <c r="H164" i="3"/>
  <c r="F164" i="3"/>
  <c r="E164" i="3"/>
  <c r="G164" i="3"/>
  <c r="H163" i="3"/>
  <c r="E163" i="3"/>
  <c r="F163" i="3"/>
  <c r="G163" i="3"/>
  <c r="H162" i="3"/>
  <c r="G162" i="3"/>
  <c r="F162" i="3"/>
  <c r="E162" i="3"/>
  <c r="G161" i="3"/>
  <c r="F161" i="3"/>
  <c r="E161" i="3"/>
  <c r="H161" i="3"/>
  <c r="E160" i="3"/>
  <c r="G160" i="3"/>
  <c r="H160" i="3"/>
  <c r="F160" i="3"/>
  <c r="E159" i="3"/>
  <c r="F159" i="3"/>
  <c r="G159" i="3"/>
  <c r="H159" i="3"/>
  <c r="F158" i="3"/>
  <c r="G158" i="3"/>
  <c r="H158" i="3"/>
  <c r="E158" i="3"/>
  <c r="E157" i="3"/>
  <c r="F157" i="3"/>
  <c r="G157" i="3"/>
  <c r="H157" i="3"/>
  <c r="G156" i="3"/>
  <c r="H156" i="3"/>
  <c r="E156" i="3"/>
  <c r="F156" i="3"/>
  <c r="E155" i="3"/>
  <c r="F155" i="3"/>
  <c r="H155" i="3"/>
  <c r="G155" i="3"/>
  <c r="G154" i="3"/>
  <c r="H154" i="3"/>
  <c r="E154" i="3"/>
  <c r="F154" i="3"/>
  <c r="E153" i="3"/>
  <c r="G153" i="3"/>
  <c r="H153" i="3"/>
  <c r="F153" i="3"/>
  <c r="H152" i="3"/>
  <c r="E152" i="3"/>
  <c r="G152" i="3"/>
  <c r="F152" i="3"/>
  <c r="G151" i="3"/>
  <c r="F151" i="3"/>
  <c r="H151" i="3"/>
  <c r="E151" i="3"/>
  <c r="H150" i="3"/>
  <c r="G150" i="3"/>
  <c r="F150" i="3"/>
  <c r="E150" i="3"/>
  <c r="H149" i="3"/>
  <c r="G149" i="3"/>
  <c r="F149" i="3"/>
  <c r="E149" i="3"/>
  <c r="H148" i="3"/>
  <c r="G148" i="3"/>
  <c r="F148" i="3"/>
  <c r="E148" i="3"/>
  <c r="H147" i="3"/>
  <c r="G147" i="3"/>
  <c r="F147" i="3"/>
  <c r="E147" i="3"/>
  <c r="H146" i="3"/>
  <c r="G146" i="3"/>
  <c r="F146" i="3"/>
  <c r="E146" i="3"/>
  <c r="H145" i="3"/>
  <c r="G145" i="3"/>
  <c r="F145" i="3"/>
  <c r="E145" i="3"/>
  <c r="G144" i="3"/>
  <c r="F144" i="3"/>
  <c r="E144" i="3"/>
  <c r="H144" i="3"/>
  <c r="G143" i="3"/>
  <c r="F143" i="3"/>
  <c r="E143" i="3"/>
  <c r="H143" i="3"/>
  <c r="G142" i="3"/>
  <c r="F142" i="3"/>
  <c r="E142" i="3"/>
  <c r="H142" i="3"/>
  <c r="H141" i="3"/>
  <c r="G141" i="3"/>
  <c r="F141" i="3"/>
  <c r="E141" i="3"/>
  <c r="H140" i="3"/>
  <c r="G140" i="3"/>
  <c r="E140" i="3"/>
  <c r="F140" i="3"/>
  <c r="H139" i="3"/>
  <c r="G139" i="3"/>
  <c r="F139" i="3"/>
  <c r="E139" i="3"/>
  <c r="H138" i="3"/>
  <c r="G138" i="3"/>
  <c r="F138" i="3"/>
  <c r="E138" i="3"/>
  <c r="H137" i="3"/>
  <c r="G137" i="3"/>
  <c r="F137" i="3"/>
  <c r="E137" i="3"/>
  <c r="G136" i="3"/>
  <c r="H136" i="3"/>
  <c r="E136" i="3"/>
  <c r="F136" i="3"/>
  <c r="E135" i="3"/>
  <c r="H135" i="3"/>
  <c r="G135" i="3"/>
  <c r="F135" i="3"/>
  <c r="E134" i="3"/>
  <c r="F134" i="3"/>
  <c r="G134" i="3"/>
  <c r="H134" i="3"/>
  <c r="H133" i="3"/>
  <c r="G133" i="3"/>
  <c r="E133" i="3"/>
  <c r="F133" i="3"/>
  <c r="F132" i="3"/>
  <c r="G132" i="3"/>
  <c r="H132" i="3"/>
  <c r="E132" i="3"/>
  <c r="G131" i="3"/>
  <c r="F131" i="3"/>
  <c r="H131" i="3"/>
  <c r="E131" i="3"/>
  <c r="E130" i="3"/>
  <c r="F130" i="3"/>
  <c r="G130" i="3"/>
  <c r="H130" i="3"/>
  <c r="G129" i="3"/>
  <c r="E129" i="3"/>
  <c r="F129" i="3"/>
  <c r="H129" i="3"/>
  <c r="F128" i="3"/>
  <c r="E128" i="3"/>
  <c r="H128" i="3"/>
  <c r="G128" i="3"/>
  <c r="F127" i="3"/>
  <c r="G127" i="3"/>
  <c r="E127" i="3"/>
  <c r="H127" i="3"/>
  <c r="G126" i="3"/>
  <c r="E126" i="3"/>
  <c r="F126" i="3"/>
  <c r="H126" i="3"/>
  <c r="F125" i="3"/>
  <c r="H125" i="3"/>
  <c r="G125" i="3"/>
  <c r="E125" i="3"/>
  <c r="E124" i="3"/>
  <c r="F124" i="3"/>
  <c r="G124" i="3"/>
  <c r="H124" i="3"/>
  <c r="G123" i="3"/>
  <c r="H123" i="3"/>
  <c r="E123" i="3"/>
  <c r="F123" i="3"/>
  <c r="F122" i="3"/>
  <c r="E122" i="3"/>
  <c r="G122" i="3"/>
  <c r="H122" i="3"/>
  <c r="E121" i="3"/>
  <c r="F121" i="3"/>
  <c r="G121" i="3"/>
  <c r="H121" i="3"/>
  <c r="H120" i="3"/>
  <c r="G120" i="3"/>
  <c r="E120" i="3"/>
  <c r="F120" i="3"/>
  <c r="H119" i="3"/>
  <c r="G119" i="3"/>
  <c r="F119" i="3"/>
  <c r="E119" i="3"/>
  <c r="G118" i="3"/>
  <c r="H118" i="3"/>
  <c r="E118" i="3"/>
  <c r="F118" i="3"/>
  <c r="F117" i="3"/>
  <c r="H117" i="3"/>
  <c r="G117" i="3"/>
  <c r="E117" i="3"/>
  <c r="G116" i="3"/>
  <c r="E116" i="3"/>
  <c r="F116" i="3"/>
  <c r="H116" i="3"/>
  <c r="H115" i="3"/>
  <c r="G115" i="3"/>
  <c r="E115" i="3"/>
  <c r="F115" i="3"/>
  <c r="F114" i="3"/>
  <c r="E114" i="3"/>
  <c r="G114" i="3"/>
  <c r="H114" i="3"/>
  <c r="F113" i="3"/>
  <c r="G113" i="3"/>
  <c r="H113" i="3"/>
  <c r="E113" i="3"/>
  <c r="H112" i="3"/>
  <c r="G112" i="3"/>
  <c r="E112" i="3"/>
  <c r="F112" i="3"/>
  <c r="E111" i="3"/>
  <c r="H111" i="3"/>
  <c r="G111" i="3"/>
  <c r="F111" i="3"/>
  <c r="F110" i="3"/>
  <c r="G110" i="3"/>
  <c r="E110" i="3"/>
  <c r="H110" i="3"/>
  <c r="F109" i="3"/>
  <c r="E109" i="3"/>
  <c r="H109" i="3"/>
  <c r="G109" i="3"/>
  <c r="H108" i="3"/>
  <c r="G108" i="3"/>
  <c r="F108" i="3"/>
  <c r="E108" i="3"/>
  <c r="H107" i="3"/>
  <c r="G107" i="3"/>
  <c r="E107" i="3"/>
  <c r="F107" i="3"/>
  <c r="H106" i="3"/>
  <c r="E106" i="3"/>
  <c r="G106" i="3"/>
  <c r="F106" i="3"/>
  <c r="H105" i="3"/>
  <c r="G105" i="3"/>
  <c r="F105" i="3"/>
  <c r="E105" i="3"/>
  <c r="H104" i="3"/>
  <c r="G104" i="3"/>
  <c r="F104" i="3"/>
  <c r="E104" i="3"/>
  <c r="G103" i="3"/>
  <c r="F103" i="3"/>
  <c r="E103" i="3"/>
  <c r="H103" i="3"/>
  <c r="H102" i="3"/>
  <c r="G102" i="3"/>
  <c r="F102" i="3"/>
  <c r="E102" i="3"/>
  <c r="H101" i="3"/>
  <c r="G101" i="3"/>
  <c r="F101" i="3"/>
  <c r="E101" i="3"/>
  <c r="H100" i="3"/>
  <c r="G100" i="3"/>
  <c r="F100" i="3"/>
  <c r="E100" i="3"/>
  <c r="H99" i="3"/>
  <c r="G99" i="3"/>
  <c r="F99" i="3"/>
  <c r="E99" i="3"/>
  <c r="H98" i="3"/>
  <c r="G98" i="3"/>
  <c r="F98" i="3"/>
  <c r="E98" i="3"/>
  <c r="E97" i="3"/>
  <c r="H97" i="3"/>
  <c r="G97" i="3"/>
  <c r="F97" i="3"/>
  <c r="H96" i="3"/>
  <c r="G96" i="3"/>
  <c r="F96" i="3"/>
  <c r="E96" i="3"/>
  <c r="H95" i="3"/>
  <c r="G95" i="3"/>
  <c r="F95" i="3"/>
  <c r="E95" i="3"/>
  <c r="H94" i="3"/>
  <c r="G94" i="3"/>
  <c r="F94" i="3"/>
  <c r="E94" i="3"/>
  <c r="H93" i="3"/>
  <c r="F93" i="3"/>
  <c r="E93" i="3"/>
  <c r="G93" i="3"/>
  <c r="H92" i="3"/>
  <c r="G92" i="3"/>
  <c r="F92" i="3"/>
  <c r="E92" i="3"/>
  <c r="E91" i="3"/>
  <c r="F91" i="3"/>
  <c r="G91" i="3"/>
  <c r="H91" i="3"/>
  <c r="E90" i="3"/>
  <c r="F90" i="3"/>
  <c r="G90" i="3"/>
  <c r="H90" i="3"/>
  <c r="E89" i="3"/>
  <c r="F89" i="3"/>
  <c r="G89" i="3"/>
  <c r="H89" i="3"/>
  <c r="E88" i="3"/>
  <c r="H88" i="3"/>
  <c r="G88" i="3"/>
  <c r="F88" i="3"/>
  <c r="H87" i="3"/>
  <c r="G87" i="3"/>
  <c r="F87" i="3"/>
  <c r="E87" i="3"/>
  <c r="E86" i="3"/>
  <c r="H86" i="3"/>
  <c r="G86" i="3"/>
  <c r="F86" i="3"/>
  <c r="E85" i="3"/>
  <c r="H85" i="3"/>
  <c r="G85" i="3"/>
  <c r="F85" i="3"/>
  <c r="H84" i="3"/>
  <c r="F84" i="3"/>
  <c r="E84" i="3"/>
  <c r="G84" i="3"/>
  <c r="E83" i="3"/>
  <c r="F83" i="3"/>
  <c r="G83" i="3"/>
  <c r="H83" i="3"/>
  <c r="E82" i="3"/>
  <c r="H82" i="3"/>
  <c r="F82" i="3"/>
  <c r="A82" i="3"/>
  <c r="G82" i="3"/>
  <c r="G81" i="3"/>
  <c r="F81" i="3"/>
  <c r="E81" i="3"/>
  <c r="H81" i="3"/>
  <c r="E80" i="3"/>
  <c r="G80" i="3"/>
  <c r="H80" i="3"/>
  <c r="A80" i="3"/>
  <c r="F80" i="3"/>
  <c r="E79" i="3"/>
  <c r="H79" i="3"/>
  <c r="A79" i="3"/>
  <c r="G79" i="3"/>
  <c r="F79" i="3"/>
  <c r="F78" i="3"/>
  <c r="H78" i="3"/>
  <c r="A78" i="3"/>
  <c r="E78" i="3"/>
  <c r="G78" i="3"/>
  <c r="E77" i="3"/>
  <c r="H77" i="3"/>
  <c r="A77" i="3"/>
  <c r="F77" i="3"/>
  <c r="G77" i="3"/>
  <c r="F76" i="3"/>
  <c r="E76" i="3"/>
  <c r="H76" i="3"/>
  <c r="A76" i="3"/>
  <c r="G76" i="3"/>
  <c r="A75" i="3"/>
  <c r="F75" i="3"/>
  <c r="H75" i="3"/>
  <c r="E75" i="3"/>
  <c r="G75" i="3"/>
  <c r="H74" i="3"/>
  <c r="F74" i="3"/>
  <c r="E74" i="3"/>
  <c r="G74" i="3"/>
  <c r="A74" i="3"/>
  <c r="E73" i="3"/>
  <c r="F73" i="3"/>
  <c r="H73" i="3"/>
  <c r="A73" i="3"/>
  <c r="G73" i="3"/>
  <c r="H72" i="3"/>
  <c r="G72" i="3"/>
  <c r="F72" i="3"/>
  <c r="E72" i="3"/>
  <c r="H71" i="3"/>
  <c r="F71" i="3"/>
  <c r="E71" i="3"/>
  <c r="G71" i="3"/>
  <c r="G70" i="3"/>
  <c r="H70" i="3"/>
  <c r="E70" i="3"/>
  <c r="F70" i="3"/>
  <c r="F69" i="3"/>
  <c r="H69" i="3"/>
  <c r="E69" i="3"/>
  <c r="G69" i="3"/>
  <c r="H68" i="3"/>
  <c r="G68" i="3"/>
  <c r="F68" i="3"/>
  <c r="E68" i="3"/>
  <c r="F67" i="3"/>
  <c r="H67" i="3"/>
  <c r="G67" i="3"/>
  <c r="E67" i="3"/>
  <c r="H66" i="3"/>
  <c r="G66" i="3"/>
  <c r="F66" i="3"/>
  <c r="E66" i="3"/>
  <c r="H65" i="3"/>
  <c r="F65" i="3"/>
  <c r="E65" i="3"/>
  <c r="G65" i="3"/>
  <c r="H64" i="3"/>
  <c r="G64" i="3"/>
  <c r="F64" i="3"/>
  <c r="E64" i="3"/>
  <c r="G63" i="3"/>
  <c r="H63" i="3"/>
  <c r="E63" i="3"/>
  <c r="F63" i="3"/>
  <c r="H62" i="3"/>
  <c r="G62" i="3"/>
  <c r="F62" i="3"/>
  <c r="E62" i="3"/>
  <c r="G61" i="3"/>
  <c r="E61" i="3"/>
  <c r="H61" i="3"/>
  <c r="F61" i="3"/>
  <c r="H60" i="3"/>
  <c r="G60" i="3"/>
  <c r="F60" i="3"/>
  <c r="E60" i="3"/>
  <c r="G59" i="3"/>
  <c r="F59" i="3"/>
  <c r="E59" i="3"/>
  <c r="H59" i="3"/>
  <c r="H57" i="3"/>
  <c r="G57" i="3"/>
  <c r="F57" i="3"/>
  <c r="E57" i="3"/>
  <c r="H56" i="3"/>
  <c r="E56" i="3"/>
  <c r="G56" i="3"/>
  <c r="F56" i="3"/>
  <c r="F55" i="3"/>
  <c r="G55" i="3"/>
  <c r="H55" i="3"/>
  <c r="E55" i="3"/>
  <c r="E54" i="3"/>
  <c r="F54" i="3"/>
  <c r="G54" i="3"/>
  <c r="H54" i="3"/>
  <c r="F53" i="3"/>
  <c r="G53" i="3"/>
  <c r="H53" i="3"/>
  <c r="E53" i="3"/>
  <c r="H52" i="3"/>
  <c r="E52" i="3"/>
  <c r="F52" i="3"/>
  <c r="G52" i="3"/>
  <c r="G51" i="3"/>
  <c r="F51" i="3"/>
  <c r="E51" i="3"/>
  <c r="H51" i="3"/>
  <c r="G50" i="3"/>
  <c r="H50" i="3"/>
  <c r="F50" i="3"/>
  <c r="E50" i="3"/>
  <c r="F49" i="3"/>
  <c r="H49" i="3"/>
  <c r="G49" i="3"/>
  <c r="E49" i="3"/>
  <c r="E48" i="3"/>
  <c r="H48" i="3"/>
  <c r="G48" i="3"/>
  <c r="F48" i="3"/>
  <c r="E47" i="3"/>
  <c r="H47" i="3"/>
  <c r="F47" i="3"/>
  <c r="G47" i="3"/>
  <c r="F46" i="3"/>
  <c r="H46" i="3"/>
  <c r="E46" i="3"/>
  <c r="G46" i="3"/>
  <c r="H45" i="3"/>
  <c r="F45" i="3"/>
  <c r="E45" i="3"/>
  <c r="G45" i="3"/>
  <c r="F44" i="3"/>
  <c r="H44" i="3"/>
  <c r="E44" i="3"/>
  <c r="G44" i="3"/>
  <c r="E43" i="3"/>
  <c r="F43" i="3"/>
  <c r="G43" i="3"/>
  <c r="H43" i="3"/>
  <c r="E42" i="3"/>
  <c r="H42" i="3"/>
  <c r="F42" i="3"/>
  <c r="G42" i="3"/>
  <c r="G41" i="3"/>
  <c r="H41" i="3"/>
  <c r="F41" i="3"/>
  <c r="E41" i="3"/>
  <c r="E40" i="3"/>
  <c r="F40" i="3"/>
  <c r="G40" i="3"/>
  <c r="H40" i="3"/>
  <c r="H39" i="3"/>
  <c r="G39" i="3"/>
  <c r="F39" i="3"/>
  <c r="E39" i="3"/>
  <c r="G38" i="3"/>
  <c r="F38" i="3"/>
  <c r="E38" i="3"/>
  <c r="H38" i="3"/>
  <c r="H37" i="3"/>
  <c r="G37" i="3"/>
  <c r="F37" i="3"/>
  <c r="E37" i="3"/>
  <c r="H36" i="3"/>
  <c r="E36" i="3"/>
  <c r="F36" i="3"/>
  <c r="G36" i="3"/>
  <c r="F35" i="3"/>
  <c r="E35" i="3"/>
  <c r="H35" i="3"/>
  <c r="G35" i="3"/>
  <c r="H34" i="3"/>
  <c r="F34" i="3"/>
  <c r="E34" i="3"/>
  <c r="G34" i="3"/>
  <c r="E33" i="3"/>
  <c r="F33" i="3"/>
  <c r="G33" i="3"/>
  <c r="H33" i="3"/>
  <c r="F32" i="3"/>
  <c r="E32" i="3"/>
  <c r="G32" i="3"/>
  <c r="H32" i="3"/>
  <c r="E31" i="3"/>
  <c r="F31" i="3"/>
  <c r="G31" i="3"/>
  <c r="H31" i="3"/>
  <c r="E30" i="3"/>
  <c r="F30" i="3"/>
  <c r="G30" i="3"/>
  <c r="H30" i="3"/>
  <c r="E29" i="3"/>
  <c r="F29" i="3"/>
  <c r="H29" i="3"/>
  <c r="G29" i="3"/>
  <c r="E28" i="3"/>
  <c r="H28" i="3"/>
  <c r="G28" i="3"/>
  <c r="F28" i="3"/>
  <c r="H27" i="3"/>
  <c r="F27" i="3"/>
  <c r="E27" i="3"/>
  <c r="G27" i="3"/>
  <c r="H26" i="3"/>
  <c r="G26" i="3"/>
  <c r="E26" i="3"/>
  <c r="F26" i="3"/>
  <c r="E25" i="3"/>
  <c r="H25" i="3"/>
  <c r="F25" i="3"/>
  <c r="G25" i="3"/>
  <c r="G24" i="3"/>
  <c r="H24" i="3"/>
  <c r="E24" i="3"/>
  <c r="F24" i="3"/>
  <c r="E23" i="3"/>
  <c r="F23" i="3"/>
  <c r="G23" i="3"/>
  <c r="H23" i="3"/>
  <c r="E22" i="3"/>
  <c r="F22" i="3"/>
  <c r="G22" i="3"/>
  <c r="H22" i="3"/>
  <c r="F21" i="3"/>
  <c r="E21" i="3"/>
  <c r="H21" i="3"/>
  <c r="G21" i="3"/>
  <c r="H20" i="3"/>
  <c r="E20" i="3"/>
  <c r="F20" i="3"/>
  <c r="G20" i="3"/>
  <c r="E19" i="3"/>
  <c r="F19" i="3"/>
  <c r="G19" i="3"/>
  <c r="H19" i="3"/>
  <c r="H18" i="3"/>
  <c r="E18" i="3"/>
  <c r="F18" i="3"/>
  <c r="G18" i="3"/>
  <c r="F17" i="3"/>
  <c r="H17" i="3"/>
  <c r="E17" i="3"/>
  <c r="G17" i="3"/>
  <c r="H16" i="3"/>
  <c r="E16" i="3"/>
  <c r="F16" i="3"/>
  <c r="G16" i="3"/>
  <c r="E15" i="3"/>
  <c r="G15" i="3"/>
  <c r="H15" i="3"/>
  <c r="F15" i="3"/>
  <c r="G14" i="3"/>
  <c r="E14" i="3"/>
  <c r="F14" i="3"/>
  <c r="H14" i="3"/>
  <c r="E13" i="3"/>
  <c r="G13" i="3"/>
  <c r="H13" i="3"/>
  <c r="F13" i="3"/>
  <c r="H12" i="3"/>
  <c r="F12" i="3"/>
  <c r="G12" i="3"/>
  <c r="E12" i="3"/>
  <c r="H11" i="3"/>
  <c r="F11" i="3"/>
  <c r="E11" i="3"/>
  <c r="G11" i="3"/>
  <c r="H10" i="3"/>
  <c r="F10" i="3"/>
  <c r="E10" i="3"/>
  <c r="G10" i="3"/>
  <c r="E9" i="3"/>
  <c r="F9" i="3"/>
  <c r="G9" i="3"/>
  <c r="H9" i="3"/>
  <c r="H8" i="3"/>
  <c r="E8" i="3"/>
  <c r="F8" i="3"/>
  <c r="G8" i="3"/>
  <c r="H7" i="3"/>
  <c r="G7" i="3"/>
  <c r="F7" i="3"/>
  <c r="E7" i="3"/>
  <c r="H6" i="3"/>
  <c r="G6" i="3"/>
  <c r="F6" i="3"/>
  <c r="E6" i="3"/>
  <c r="F5" i="3"/>
  <c r="H5" i="3"/>
  <c r="G5" i="3"/>
  <c r="E5" i="3"/>
  <c r="H4" i="3"/>
  <c r="G4" i="3"/>
  <c r="F4" i="3"/>
  <c r="E4" i="3"/>
  <c r="H3" i="3"/>
  <c r="G3" i="3"/>
  <c r="F3" i="3"/>
  <c r="E3" i="3"/>
  <c r="H2" i="3"/>
  <c r="G2" i="3"/>
  <c r="F2" i="3"/>
  <c r="E2" i="3"/>
  <c r="E1714" i="3"/>
  <c r="F1714" i="3"/>
  <c r="G1714" i="3"/>
  <c r="H1714" i="3"/>
  <c r="A1714" i="3"/>
  <c r="E562" i="3"/>
  <c r="F562" i="3"/>
  <c r="G562" i="3"/>
  <c r="H562" i="3"/>
  <c r="A562" i="3"/>
  <c r="E1698" i="3"/>
  <c r="F1698" i="3"/>
  <c r="G1698" i="3"/>
  <c r="H1698" i="3"/>
  <c r="A1698" i="3"/>
  <c r="E834" i="3"/>
  <c r="F834" i="3"/>
  <c r="G834" i="3"/>
  <c r="H834" i="3"/>
  <c r="A834" i="3"/>
  <c r="E1970" i="3"/>
  <c r="F1970" i="3"/>
  <c r="G1970" i="3"/>
  <c r="H1970" i="3"/>
  <c r="A1970" i="3"/>
  <c r="D818" i="3"/>
  <c r="D1064" i="3"/>
  <c r="D1352" i="3"/>
  <c r="D1058" i="3"/>
  <c r="D470" i="3"/>
  <c r="D1046" i="3"/>
  <c r="D182" i="3"/>
  <c r="D1852" i="3"/>
  <c r="E722" i="3"/>
  <c r="F722" i="3"/>
  <c r="G722" i="3"/>
  <c r="H722" i="3"/>
  <c r="A722" i="3"/>
  <c r="D794" i="3"/>
  <c r="D710" i="3"/>
  <c r="D506" i="3"/>
  <c r="D422" i="3"/>
  <c r="D458" i="3"/>
  <c r="E58" i="3"/>
  <c r="F58" i="3"/>
  <c r="G58" i="3"/>
  <c r="H58" i="3"/>
  <c r="A58" i="3"/>
  <c r="G60" i="1" l="1"/>
  <c r="H60" i="1"/>
  <c r="I196" i="1"/>
  <c r="I60" i="1" s="1"/>
  <c r="E734" i="3"/>
  <c r="H734" i="3"/>
  <c r="F734" i="3"/>
  <c r="G734" i="3"/>
  <c r="E482" i="3"/>
  <c r="H482" i="3"/>
  <c r="G482" i="3"/>
  <c r="F482" i="3"/>
  <c r="H346" i="3"/>
  <c r="F346" i="3"/>
  <c r="G346" i="3"/>
  <c r="A346" i="3"/>
  <c r="E346" i="3"/>
  <c r="H922" i="3"/>
  <c r="G922" i="3"/>
  <c r="E922" i="3"/>
  <c r="F922" i="3"/>
  <c r="E740" i="3"/>
  <c r="F740" i="3"/>
  <c r="G740" i="3"/>
  <c r="H740" i="3"/>
  <c r="E1028" i="3"/>
  <c r="H1028" i="3"/>
  <c r="G1028" i="3"/>
  <c r="F1028" i="3"/>
  <c r="G1586" i="3"/>
  <c r="E1586" i="3"/>
  <c r="F1586" i="3"/>
  <c r="H1586" i="3"/>
  <c r="H1010" i="3"/>
  <c r="G1010" i="3"/>
  <c r="E1010" i="3"/>
  <c r="F1010" i="3"/>
  <c r="A1664" i="3"/>
  <c r="F1664" i="3"/>
  <c r="H1664" i="3"/>
  <c r="E1664" i="3"/>
  <c r="G1664" i="3"/>
  <c r="E1604" i="3"/>
  <c r="F1604" i="3"/>
  <c r="H1604" i="3"/>
  <c r="G1604" i="3"/>
  <c r="A1892" i="3"/>
  <c r="F1892" i="3"/>
  <c r="E1892" i="3"/>
  <c r="H1892" i="3"/>
  <c r="G1892" i="3"/>
  <c r="G1874" i="3"/>
  <c r="F1874" i="3"/>
  <c r="A1874" i="3"/>
  <c r="E1874" i="3"/>
  <c r="H1874" i="3"/>
  <c r="A1022" i="3"/>
  <c r="F1022" i="3"/>
  <c r="H1022" i="3"/>
  <c r="E1022" i="3"/>
  <c r="G1022" i="3"/>
  <c r="A530" i="3"/>
  <c r="E530" i="3"/>
  <c r="F530" i="3"/>
  <c r="G530" i="3"/>
  <c r="H530" i="3"/>
  <c r="A1286" i="3"/>
  <c r="E1286" i="3"/>
  <c r="F1286" i="3"/>
  <c r="H1286" i="3"/>
  <c r="G1286" i="3"/>
  <c r="A386" i="3"/>
  <c r="E386" i="3"/>
  <c r="G386" i="3"/>
  <c r="H386" i="3"/>
  <c r="F386" i="3"/>
  <c r="E1370" i="3"/>
  <c r="H1370" i="3"/>
  <c r="A1370" i="3"/>
  <c r="G1370" i="3"/>
  <c r="F1370" i="3"/>
  <c r="E1082" i="3"/>
  <c r="F1082" i="3"/>
  <c r="G1082" i="3"/>
  <c r="H1082" i="3"/>
  <c r="A1082" i="3"/>
  <c r="D1310" i="3"/>
  <c r="E1952" i="3"/>
  <c r="G1952" i="3"/>
  <c r="F1952" i="3"/>
  <c r="H1952" i="3"/>
  <c r="A1862" i="3"/>
  <c r="G1862" i="3"/>
  <c r="F1862" i="3"/>
  <c r="E1862" i="3"/>
  <c r="H1862" i="3"/>
  <c r="E1946" i="3"/>
  <c r="G1946" i="3"/>
  <c r="H1946" i="3"/>
  <c r="A1946" i="3"/>
  <c r="F1946" i="3"/>
  <c r="A1298" i="3"/>
  <c r="F1298" i="3"/>
  <c r="G1298" i="3"/>
  <c r="H1298" i="3"/>
  <c r="E1298" i="3"/>
  <c r="F998" i="3"/>
  <c r="G998" i="3"/>
  <c r="A998" i="3"/>
  <c r="H998" i="3"/>
  <c r="E998" i="3"/>
  <c r="D1394" i="3"/>
  <c r="D1106" i="3"/>
  <c r="E818" i="3"/>
  <c r="F818" i="3"/>
  <c r="G818" i="3"/>
  <c r="H818" i="3"/>
  <c r="A818" i="3"/>
  <c r="E1064" i="3"/>
  <c r="F1064" i="3"/>
  <c r="G1064" i="3"/>
  <c r="H1064" i="3"/>
  <c r="A1064" i="3"/>
  <c r="E1352" i="3"/>
  <c r="F1352" i="3"/>
  <c r="G1352" i="3"/>
  <c r="H1352" i="3"/>
  <c r="A1352" i="3"/>
  <c r="E1058" i="3"/>
  <c r="F1058" i="3"/>
  <c r="G1058" i="3"/>
  <c r="H1058" i="3"/>
  <c r="A1058" i="3"/>
  <c r="D1346" i="3"/>
  <c r="E470" i="3"/>
  <c r="F470" i="3"/>
  <c r="G470" i="3"/>
  <c r="H470" i="3"/>
  <c r="A470" i="3"/>
  <c r="E1046" i="3"/>
  <c r="F1046" i="3"/>
  <c r="G1046" i="3"/>
  <c r="H1046" i="3"/>
  <c r="A1046" i="3"/>
  <c r="D758" i="3"/>
  <c r="E182" i="3"/>
  <c r="F182" i="3"/>
  <c r="G182" i="3"/>
  <c r="H182" i="3"/>
  <c r="A182" i="3"/>
  <c r="F1622" i="3"/>
  <c r="A1622" i="3"/>
  <c r="G1622" i="3"/>
  <c r="E1622" i="3"/>
  <c r="H1622" i="3"/>
  <c r="E1852" i="3"/>
  <c r="F1852" i="3"/>
  <c r="G1852" i="3"/>
  <c r="H1852" i="3"/>
  <c r="A1852" i="3"/>
  <c r="E794" i="3"/>
  <c r="F794" i="3"/>
  <c r="G794" i="3"/>
  <c r="H794" i="3"/>
  <c r="A794" i="3"/>
  <c r="E710" i="3"/>
  <c r="F710" i="3"/>
  <c r="G710" i="3"/>
  <c r="H710" i="3"/>
  <c r="A710" i="3"/>
  <c r="E506" i="3"/>
  <c r="F506" i="3"/>
  <c r="G506" i="3"/>
  <c r="H506" i="3"/>
  <c r="A506" i="3"/>
  <c r="E422" i="3"/>
  <c r="F422" i="3"/>
  <c r="G422" i="3"/>
  <c r="H422" i="3"/>
  <c r="A422" i="3"/>
  <c r="D1250" i="3"/>
  <c r="D1034" i="3"/>
  <c r="D1210" i="3"/>
  <c r="E458" i="3"/>
  <c r="F458" i="3"/>
  <c r="G458" i="3"/>
  <c r="H458" i="3"/>
  <c r="A458" i="3"/>
  <c r="E634" i="3"/>
  <c r="F634" i="3"/>
  <c r="G634" i="3"/>
  <c r="H634" i="3"/>
  <c r="A634" i="3"/>
  <c r="D1886" i="3" l="1"/>
  <c r="D1598" i="3"/>
  <c r="E1310" i="3"/>
  <c r="G1310" i="3"/>
  <c r="H1310" i="3"/>
  <c r="F1310" i="3"/>
  <c r="A1310" i="3"/>
  <c r="F1394" i="3"/>
  <c r="E1394" i="3"/>
  <c r="H1394" i="3"/>
  <c r="G1394" i="3"/>
  <c r="A1394" i="3"/>
  <c r="G1106" i="3"/>
  <c r="E1106" i="3"/>
  <c r="F1106" i="3"/>
  <c r="H1106" i="3"/>
  <c r="A1106" i="3"/>
  <c r="D1922" i="3"/>
  <c r="D1634" i="3"/>
  <c r="E1346" i="3"/>
  <c r="F1346" i="3"/>
  <c r="G1346" i="3"/>
  <c r="H1346" i="3"/>
  <c r="A1346" i="3"/>
  <c r="D1334" i="3"/>
  <c r="E758" i="3"/>
  <c r="F758" i="3"/>
  <c r="G758" i="3"/>
  <c r="H758" i="3"/>
  <c r="A758" i="3"/>
  <c r="D1538" i="3"/>
  <c r="D1322" i="3"/>
  <c r="D1498" i="3"/>
  <c r="E1250" i="3"/>
  <c r="F1250" i="3"/>
  <c r="G1250" i="3"/>
  <c r="H1250" i="3"/>
  <c r="A1250" i="3"/>
  <c r="E1034" i="3"/>
  <c r="F1034" i="3"/>
  <c r="G1034" i="3"/>
  <c r="H1034" i="3"/>
  <c r="A1034" i="3"/>
  <c r="E1210" i="3"/>
  <c r="F1210" i="3"/>
  <c r="G1210" i="3"/>
  <c r="H1210" i="3"/>
  <c r="A1210" i="3"/>
  <c r="A1886" i="3" l="1"/>
  <c r="H1886" i="3"/>
  <c r="G1886" i="3"/>
  <c r="F1886" i="3"/>
  <c r="E1886" i="3"/>
  <c r="F1598" i="3"/>
  <c r="G1598" i="3"/>
  <c r="H1598" i="3"/>
  <c r="E1598" i="3"/>
  <c r="A1598" i="3"/>
  <c r="E1922" i="3"/>
  <c r="F1922" i="3"/>
  <c r="G1922" i="3"/>
  <c r="H1922" i="3"/>
  <c r="A1922" i="3"/>
  <c r="F1634" i="3"/>
  <c r="H1634" i="3"/>
  <c r="A1634" i="3"/>
  <c r="E1634" i="3"/>
  <c r="G1634" i="3"/>
  <c r="E1334" i="3"/>
  <c r="F1334" i="3"/>
  <c r="G1334" i="3"/>
  <c r="H1334" i="3"/>
  <c r="A1334" i="3"/>
  <c r="D1910" i="3"/>
  <c r="D1564" i="3"/>
  <c r="D1898" i="3"/>
  <c r="D1826" i="3"/>
  <c r="D1610" i="3"/>
  <c r="D1786" i="3"/>
  <c r="E1538" i="3"/>
  <c r="F1538" i="3"/>
  <c r="G1538" i="3"/>
  <c r="H1538" i="3"/>
  <c r="A1538" i="3"/>
  <c r="E1322" i="3"/>
  <c r="F1322" i="3"/>
  <c r="G1322" i="3"/>
  <c r="H1322" i="3"/>
  <c r="A1322" i="3"/>
  <c r="E1498" i="3"/>
  <c r="F1498" i="3"/>
  <c r="G1498" i="3"/>
  <c r="H1498" i="3"/>
  <c r="A1498" i="3"/>
  <c r="E1910" i="3" l="1"/>
  <c r="F1910" i="3"/>
  <c r="G1910" i="3"/>
  <c r="H1910" i="3"/>
  <c r="A1910" i="3"/>
  <c r="E1564" i="3"/>
  <c r="F1564" i="3"/>
  <c r="G1564" i="3"/>
  <c r="H1564" i="3"/>
  <c r="A1564" i="3"/>
  <c r="E1898" i="3"/>
  <c r="F1898" i="3"/>
  <c r="G1898" i="3"/>
  <c r="H1898" i="3"/>
  <c r="A1898" i="3"/>
  <c r="E1826" i="3"/>
  <c r="F1826" i="3"/>
  <c r="G1826" i="3"/>
  <c r="H1826" i="3"/>
  <c r="A1826" i="3"/>
  <c r="H1610" i="3"/>
  <c r="E1610" i="3"/>
  <c r="A1610" i="3"/>
  <c r="F1610" i="3"/>
  <c r="G1610" i="3"/>
  <c r="E1786" i="3"/>
  <c r="F1786" i="3"/>
  <c r="G1786" i="3"/>
  <c r="H1786" i="3"/>
  <c r="A1786" i="3"/>
  <c r="K217" i="3" l="1"/>
  <c r="K202" i="3"/>
  <c r="R202" i="3" s="1"/>
  <c r="K81" i="3"/>
  <c r="K139" i="3"/>
  <c r="K301" i="3"/>
  <c r="K150" i="3"/>
  <c r="K199" i="3"/>
  <c r="K180" i="3"/>
  <c r="K90" i="3"/>
  <c r="K201" i="3"/>
  <c r="K158" i="3"/>
  <c r="K164" i="3"/>
  <c r="K124" i="3"/>
  <c r="K274" i="3"/>
  <c r="K176" i="3"/>
  <c r="K287" i="3"/>
  <c r="K157" i="3"/>
  <c r="K9" i="3"/>
  <c r="K60" i="3"/>
  <c r="K263" i="3"/>
  <c r="K18" i="3"/>
  <c r="K194" i="3"/>
  <c r="K190" i="3"/>
  <c r="K70" i="3"/>
  <c r="K231" i="3"/>
  <c r="K7" i="3"/>
  <c r="K8" i="3"/>
  <c r="K232" i="3"/>
  <c r="K22" i="3"/>
  <c r="K27" i="3"/>
  <c r="K16" i="3"/>
  <c r="K120" i="3"/>
  <c r="K23" i="3"/>
  <c r="K91" i="3"/>
  <c r="K101" i="3"/>
  <c r="K114" i="3"/>
  <c r="K122" i="3"/>
  <c r="K92" i="3"/>
  <c r="K242" i="3"/>
  <c r="K250" i="3"/>
  <c r="K118" i="3"/>
  <c r="K181" i="3"/>
  <c r="K12" i="3"/>
  <c r="K296" i="3"/>
  <c r="K163" i="3"/>
  <c r="K135" i="3"/>
  <c r="K43" i="3"/>
  <c r="K89" i="3"/>
  <c r="K140" i="3"/>
  <c r="K141" i="3"/>
  <c r="K204" i="3"/>
  <c r="K215" i="3"/>
  <c r="R215" i="3" s="1"/>
  <c r="K142" i="3"/>
  <c r="K172" i="3"/>
  <c r="K236" i="3"/>
  <c r="K230" i="3"/>
  <c r="K26" i="3"/>
  <c r="K193" i="3"/>
  <c r="K186" i="3"/>
  <c r="K24" i="3"/>
  <c r="K233" i="3"/>
  <c r="K187" i="3"/>
  <c r="K195" i="3"/>
  <c r="K189" i="3"/>
  <c r="K229" i="3"/>
  <c r="K25" i="3"/>
  <c r="K29" i="3"/>
  <c r="K295" i="3"/>
  <c r="K284" i="3"/>
  <c r="K84" i="3"/>
  <c r="K205" i="3"/>
  <c r="K188" i="3"/>
  <c r="K69" i="3"/>
  <c r="K192" i="3"/>
  <c r="K3" i="3"/>
  <c r="K14" i="3"/>
  <c r="K121" i="3"/>
  <c r="K30" i="3"/>
  <c r="K165" i="3"/>
  <c r="K239" i="3"/>
  <c r="K240" i="3"/>
  <c r="K166" i="3"/>
  <c r="K167" i="3"/>
  <c r="K95" i="3"/>
  <c r="K256" i="3"/>
  <c r="K260" i="3"/>
  <c r="K66" i="3"/>
  <c r="K65" i="3"/>
  <c r="K64" i="3"/>
  <c r="K63" i="3"/>
  <c r="K68" i="3"/>
  <c r="K297" i="3"/>
  <c r="K175" i="3"/>
  <c r="K2" i="3"/>
  <c r="K197" i="3"/>
  <c r="K196" i="3"/>
  <c r="K169" i="3"/>
  <c r="K160" i="3"/>
  <c r="K161" i="3"/>
  <c r="K243" i="3"/>
  <c r="K170" i="3"/>
  <c r="K162" i="3"/>
  <c r="K159" i="3"/>
  <c r="K244" i="3"/>
  <c r="K279" i="3"/>
  <c r="K245" i="3"/>
  <c r="K131" i="3"/>
  <c r="K280" i="3"/>
  <c r="K129" i="3"/>
  <c r="K128" i="3"/>
  <c r="K127" i="3"/>
  <c r="K126" i="3"/>
  <c r="K247" i="3"/>
  <c r="K281" i="3"/>
  <c r="K125" i="3"/>
  <c r="K13" i="3"/>
  <c r="K154" i="3"/>
  <c r="K153" i="3"/>
  <c r="K134" i="3"/>
  <c r="K133" i="3"/>
  <c r="K132" i="3"/>
  <c r="K130" i="3"/>
  <c r="K246" i="3"/>
  <c r="K271" i="3"/>
  <c r="K273" i="3"/>
  <c r="K123" i="3"/>
  <c r="K155" i="3"/>
  <c r="K269" i="3"/>
  <c r="K113" i="3"/>
  <c r="K111" i="3"/>
  <c r="K110" i="3"/>
  <c r="K272" i="3"/>
  <c r="K278" i="3"/>
  <c r="K252" i="3"/>
  <c r="K285" i="3"/>
  <c r="K109" i="3"/>
  <c r="K108" i="3"/>
  <c r="K107" i="3"/>
  <c r="K253" i="3"/>
  <c r="K238" i="3"/>
  <c r="K119" i="3"/>
  <c r="K115" i="3"/>
  <c r="K251" i="3"/>
  <c r="K112" i="3"/>
  <c r="K106" i="3"/>
  <c r="K286" i="3"/>
  <c r="K105" i="3"/>
  <c r="K104" i="3"/>
  <c r="K254" i="3"/>
  <c r="K103" i="3"/>
  <c r="K152" i="3"/>
  <c r="K102" i="3"/>
  <c r="K291" i="3"/>
  <c r="K100" i="3"/>
  <c r="K99" i="3"/>
  <c r="K98" i="3"/>
  <c r="K255" i="3"/>
  <c r="K288" i="3"/>
  <c r="K97" i="3"/>
  <c r="K185" i="3"/>
  <c r="K184" i="3"/>
  <c r="K94" i="3"/>
  <c r="K289" i="3"/>
  <c r="K93" i="3"/>
  <c r="K298" i="3"/>
  <c r="K275" i="3"/>
  <c r="K258" i="3"/>
  <c r="K151" i="3"/>
  <c r="K191" i="3"/>
  <c r="K171" i="3"/>
  <c r="K241" i="3"/>
  <c r="K277" i="3"/>
  <c r="K248" i="3"/>
  <c r="K282" i="3"/>
  <c r="K249" i="3"/>
  <c r="K283" i="3"/>
  <c r="K116" i="3"/>
  <c r="K6" i="3"/>
  <c r="K148" i="3"/>
  <c r="K146" i="3"/>
  <c r="K10" i="3"/>
  <c r="K183" i="3"/>
  <c r="K71" i="3"/>
  <c r="K15" i="3"/>
  <c r="K17" i="3"/>
  <c r="K19" i="3"/>
  <c r="K20" i="3"/>
  <c r="K21" i="3"/>
  <c r="K31" i="3"/>
  <c r="K270" i="3"/>
  <c r="K149" i="3"/>
  <c r="K39" i="3"/>
  <c r="K32" i="3"/>
  <c r="K36" i="3"/>
  <c r="K168" i="3"/>
  <c r="K33" i="3"/>
  <c r="K34" i="3"/>
  <c r="K37" i="3"/>
  <c r="K38" i="3"/>
  <c r="K40" i="3"/>
  <c r="K41" i="3"/>
  <c r="K11" i="3"/>
  <c r="K259" i="3"/>
  <c r="K294" i="3"/>
  <c r="K48" i="3"/>
  <c r="K49" i="3"/>
  <c r="K50" i="3"/>
  <c r="K51" i="3"/>
  <c r="K52" i="3"/>
  <c r="K53" i="3"/>
  <c r="K54" i="3"/>
  <c r="K179" i="3"/>
  <c r="K267" i="3"/>
  <c r="K4" i="3"/>
  <c r="K290" i="3"/>
  <c r="K35" i="3"/>
  <c r="K47" i="3"/>
  <c r="K178" i="3"/>
  <c r="K173" i="3"/>
  <c r="K156" i="3"/>
  <c r="K276" i="3"/>
  <c r="K46" i="3"/>
  <c r="K177" i="3"/>
  <c r="K237" i="3"/>
  <c r="K147" i="3"/>
  <c r="K67" i="3"/>
  <c r="K117" i="3"/>
  <c r="K293" i="3"/>
  <c r="K292" i="3"/>
  <c r="K216" i="3"/>
  <c r="K213" i="3"/>
  <c r="K212" i="3"/>
  <c r="K78" i="3"/>
  <c r="K268" i="3"/>
  <c r="K262" i="3"/>
  <c r="K56" i="3"/>
  <c r="K61" i="3"/>
  <c r="K222" i="3"/>
  <c r="K221" i="3"/>
  <c r="K211" i="3"/>
  <c r="K210" i="3"/>
  <c r="K208" i="3"/>
  <c r="K207" i="3"/>
  <c r="K206" i="3"/>
  <c r="K203" i="3"/>
  <c r="K219" i="3"/>
  <c r="K77" i="3"/>
  <c r="K209" i="3"/>
  <c r="K76" i="3"/>
  <c r="K75" i="3"/>
  <c r="K145" i="3"/>
  <c r="K144" i="3"/>
  <c r="K143" i="3"/>
  <c r="K73" i="3"/>
  <c r="K200" i="3"/>
  <c r="K138" i="3"/>
  <c r="K137" i="3"/>
  <c r="K136" i="3"/>
  <c r="K58" i="3"/>
  <c r="K226" i="3"/>
  <c r="K55" i="3"/>
  <c r="K85" i="3"/>
  <c r="K220" i="3"/>
  <c r="K88" i="3"/>
  <c r="K265" i="3"/>
  <c r="K45" i="3"/>
  <c r="K218" i="3"/>
  <c r="K87" i="3"/>
  <c r="K86" i="3"/>
  <c r="K198" i="3"/>
  <c r="K42" i="3"/>
  <c r="K74" i="3"/>
  <c r="K264" i="3"/>
  <c r="K299" i="3"/>
  <c r="K96" i="3"/>
  <c r="K57" i="3"/>
  <c r="K62" i="3"/>
  <c r="K223" i="3"/>
  <c r="K44" i="3"/>
  <c r="K82" i="3"/>
  <c r="K59" i="3"/>
  <c r="K261" i="3"/>
  <c r="K300" i="3"/>
  <c r="K79" i="3"/>
  <c r="K225" i="3"/>
  <c r="K224" i="3"/>
  <c r="K80" i="3"/>
  <c r="K83" i="3"/>
  <c r="K72" i="3"/>
  <c r="K182" i="3"/>
  <c r="K174" i="3"/>
  <c r="K5" i="3"/>
  <c r="K234" i="3"/>
  <c r="K28" i="3"/>
  <c r="K214" i="3"/>
  <c r="K228" i="3"/>
  <c r="K266" i="3"/>
  <c r="K235" i="3"/>
  <c r="K227" i="3"/>
  <c r="K257" i="3"/>
  <c r="O217" i="3" l="1"/>
  <c r="S217" i="3" s="1"/>
  <c r="P217" i="3"/>
  <c r="R217" i="3"/>
  <c r="M217" i="3"/>
  <c r="L217" i="3"/>
  <c r="L81" i="3"/>
  <c r="O81" i="3"/>
  <c r="S81" i="3" s="1"/>
  <c r="M81" i="3"/>
  <c r="E81" i="4"/>
  <c r="R81" i="3"/>
  <c r="P81" i="3"/>
  <c r="O202" i="3"/>
  <c r="S202" i="3" s="1"/>
  <c r="L202" i="3"/>
  <c r="E202" i="4"/>
  <c r="P202" i="3"/>
  <c r="M202" i="3"/>
  <c r="L150" i="3"/>
  <c r="M150" i="3"/>
  <c r="O150" i="3"/>
  <c r="S150" i="3" s="1"/>
  <c r="P150" i="3"/>
  <c r="R150" i="3"/>
  <c r="E150" i="4"/>
  <c r="L90" i="3"/>
  <c r="M90" i="3"/>
  <c r="O90" i="3"/>
  <c r="S90" i="3" s="1"/>
  <c r="E139" i="4"/>
  <c r="R139" i="3"/>
  <c r="P139" i="3"/>
  <c r="O139" i="3"/>
  <c r="S139" i="3" s="1"/>
  <c r="M139" i="3"/>
  <c r="L139" i="3"/>
  <c r="R301" i="3"/>
  <c r="P301" i="3"/>
  <c r="O301" i="3"/>
  <c r="M301" i="3"/>
  <c r="L301" i="3"/>
  <c r="O199" i="3"/>
  <c r="S199" i="3" s="1"/>
  <c r="R199" i="3"/>
  <c r="E199" i="4"/>
  <c r="L199" i="3"/>
  <c r="P199" i="3"/>
  <c r="M199" i="3"/>
  <c r="L180" i="3"/>
  <c r="M180" i="3"/>
  <c r="O180" i="3"/>
  <c r="S180" i="3" s="1"/>
  <c r="P180" i="3"/>
  <c r="R180" i="3"/>
  <c r="E180" i="4"/>
  <c r="P90" i="3"/>
  <c r="R90" i="3"/>
  <c r="E90" i="4"/>
  <c r="E201" i="4"/>
  <c r="R201" i="3"/>
  <c r="P201" i="3"/>
  <c r="M201" i="3"/>
  <c r="L201" i="3"/>
  <c r="O201" i="3"/>
  <c r="S201" i="3" s="1"/>
  <c r="L287" i="3"/>
  <c r="M287" i="3"/>
  <c r="R287" i="3"/>
  <c r="O287" i="3"/>
  <c r="P287" i="3"/>
  <c r="P158" i="3"/>
  <c r="L158" i="3"/>
  <c r="M158" i="3"/>
  <c r="O158" i="3"/>
  <c r="S158" i="3" s="1"/>
  <c r="E158" i="4"/>
  <c r="R158" i="3"/>
  <c r="E164" i="4"/>
  <c r="L164" i="3"/>
  <c r="M164" i="3"/>
  <c r="O164" i="3"/>
  <c r="S164" i="3" s="1"/>
  <c r="P164" i="3"/>
  <c r="R164" i="3"/>
  <c r="E124" i="4"/>
  <c r="L124" i="3"/>
  <c r="M124" i="3"/>
  <c r="O124" i="3"/>
  <c r="S124" i="3" s="1"/>
  <c r="P124" i="3"/>
  <c r="R124" i="3"/>
  <c r="L274" i="3"/>
  <c r="M274" i="3"/>
  <c r="O274" i="3"/>
  <c r="P274" i="3"/>
  <c r="R274" i="3"/>
  <c r="P176" i="3"/>
  <c r="R176" i="3"/>
  <c r="E176" i="4"/>
  <c r="O176" i="3"/>
  <c r="S176" i="3" s="1"/>
  <c r="L176" i="3"/>
  <c r="M176" i="3"/>
  <c r="L157" i="3"/>
  <c r="M157" i="3"/>
  <c r="O157" i="3"/>
  <c r="S157" i="3" s="1"/>
  <c r="P157" i="3"/>
  <c r="E157" i="4"/>
  <c r="R157" i="3"/>
  <c r="L9" i="3"/>
  <c r="E9" i="4"/>
  <c r="R9" i="3"/>
  <c r="P9" i="3"/>
  <c r="O9" i="3"/>
  <c r="S9" i="3" s="1"/>
  <c r="M9" i="3"/>
  <c r="E60" i="4"/>
  <c r="R60" i="3"/>
  <c r="P60" i="3"/>
  <c r="O60" i="3"/>
  <c r="S60" i="3" s="1"/>
  <c r="L60" i="3"/>
  <c r="M60" i="3"/>
  <c r="M263" i="3"/>
  <c r="O263" i="3"/>
  <c r="S263" i="3" s="1"/>
  <c r="R263" i="3"/>
  <c r="L263" i="3"/>
  <c r="P263" i="3"/>
  <c r="R236" i="3"/>
  <c r="P236" i="3"/>
  <c r="O18" i="3"/>
  <c r="E18" i="4"/>
  <c r="R18" i="3"/>
  <c r="P18" i="3"/>
  <c r="M18" i="3"/>
  <c r="L18" i="3"/>
  <c r="O194" i="3"/>
  <c r="S194" i="3" s="1"/>
  <c r="L194" i="3"/>
  <c r="M194" i="3"/>
  <c r="P194" i="3"/>
  <c r="R194" i="3"/>
  <c r="E194" i="4"/>
  <c r="M190" i="3"/>
  <c r="L190" i="3"/>
  <c r="E190" i="4"/>
  <c r="R190" i="3"/>
  <c r="P190" i="3"/>
  <c r="O190" i="3"/>
  <c r="S190" i="3" s="1"/>
  <c r="E70" i="4"/>
  <c r="R70" i="3"/>
  <c r="P70" i="3"/>
  <c r="O70" i="3"/>
  <c r="S70" i="3" s="1"/>
  <c r="M70" i="3"/>
  <c r="L70" i="3"/>
  <c r="R231" i="3"/>
  <c r="L231" i="3"/>
  <c r="M231" i="3"/>
  <c r="O231" i="3"/>
  <c r="S231" i="3" s="1"/>
  <c r="P231" i="3"/>
  <c r="L7" i="3"/>
  <c r="M7" i="3"/>
  <c r="E7" i="4"/>
  <c r="R7" i="3"/>
  <c r="P7" i="3"/>
  <c r="O7" i="3"/>
  <c r="S7" i="3" s="1"/>
  <c r="P8" i="3"/>
  <c r="R8" i="3"/>
  <c r="E8" i="4"/>
  <c r="O8" i="3"/>
  <c r="S8" i="3" s="1"/>
  <c r="L8" i="3"/>
  <c r="M8" i="3"/>
  <c r="L232" i="3"/>
  <c r="M232" i="3"/>
  <c r="O232" i="3"/>
  <c r="S232" i="3" s="1"/>
  <c r="P232" i="3"/>
  <c r="R232" i="3"/>
  <c r="R22" i="3"/>
  <c r="P22" i="3"/>
  <c r="M22" i="3"/>
  <c r="E22" i="4"/>
  <c r="O22" i="3"/>
  <c r="S22" i="3" s="1"/>
  <c r="L22" i="3"/>
  <c r="E27" i="4"/>
  <c r="L27" i="3"/>
  <c r="O27" i="3"/>
  <c r="S27" i="3" s="1"/>
  <c r="R27" i="3"/>
  <c r="P27" i="3"/>
  <c r="M27" i="3"/>
  <c r="R16" i="3"/>
  <c r="E16" i="4"/>
  <c r="L16" i="3"/>
  <c r="M16" i="3"/>
  <c r="O16" i="3"/>
  <c r="S16" i="3" s="1"/>
  <c r="P16" i="3"/>
  <c r="E120" i="4"/>
  <c r="P120" i="3"/>
  <c r="R120" i="3"/>
  <c r="M120" i="3"/>
  <c r="L120" i="3"/>
  <c r="O120" i="3"/>
  <c r="S120" i="3" s="1"/>
  <c r="P23" i="3"/>
  <c r="O23" i="3"/>
  <c r="S23" i="3" s="1"/>
  <c r="M23" i="3"/>
  <c r="E23" i="4"/>
  <c r="R23" i="3"/>
  <c r="L23" i="3"/>
  <c r="E91" i="4"/>
  <c r="O91" i="3"/>
  <c r="S91" i="3" s="1"/>
  <c r="L91" i="3"/>
  <c r="M91" i="3"/>
  <c r="P91" i="3"/>
  <c r="R91" i="3"/>
  <c r="E101" i="4"/>
  <c r="M101" i="3"/>
  <c r="O101" i="3"/>
  <c r="S101" i="3" s="1"/>
  <c r="P101" i="3"/>
  <c r="R101" i="3"/>
  <c r="L101" i="3"/>
  <c r="P114" i="3"/>
  <c r="E114" i="4"/>
  <c r="O114" i="3"/>
  <c r="S114" i="3" s="1"/>
  <c r="M114" i="3"/>
  <c r="R114" i="3"/>
  <c r="L114" i="3"/>
  <c r="E122" i="4"/>
  <c r="L122" i="3"/>
  <c r="M122" i="3"/>
  <c r="R122" i="3"/>
  <c r="P122" i="3"/>
  <c r="O122" i="3"/>
  <c r="S122" i="3" s="1"/>
  <c r="L92" i="3"/>
  <c r="M92" i="3"/>
  <c r="O92" i="3"/>
  <c r="S92" i="3" s="1"/>
  <c r="P92" i="3"/>
  <c r="R92" i="3"/>
  <c r="E92" i="4"/>
  <c r="L242" i="3"/>
  <c r="M242" i="3"/>
  <c r="R242" i="3"/>
  <c r="P242" i="3"/>
  <c r="O242" i="3"/>
  <c r="S242" i="3" s="1"/>
  <c r="P250" i="3"/>
  <c r="O250" i="3"/>
  <c r="S250" i="3" s="1"/>
  <c r="R250" i="3"/>
  <c r="L250" i="3"/>
  <c r="M250" i="3"/>
  <c r="R118" i="3"/>
  <c r="O118" i="3"/>
  <c r="S118" i="3" s="1"/>
  <c r="L118" i="3"/>
  <c r="E118" i="4"/>
  <c r="P118" i="3"/>
  <c r="M118" i="3"/>
  <c r="L181" i="3"/>
  <c r="M181" i="3"/>
  <c r="O181" i="3"/>
  <c r="S181" i="3" s="1"/>
  <c r="P181" i="3"/>
  <c r="R181" i="3"/>
  <c r="E181" i="4"/>
  <c r="P12" i="3"/>
  <c r="R12" i="3"/>
  <c r="O12" i="3"/>
  <c r="S12" i="3" s="1"/>
  <c r="E12" i="4"/>
  <c r="M12" i="3"/>
  <c r="L12" i="3"/>
  <c r="L296" i="3"/>
  <c r="M296" i="3"/>
  <c r="P296" i="3"/>
  <c r="R296" i="3"/>
  <c r="O296" i="3"/>
  <c r="R163" i="3"/>
  <c r="P163" i="3"/>
  <c r="E163" i="4"/>
  <c r="M163" i="3"/>
  <c r="O163" i="3"/>
  <c r="S163" i="3" s="1"/>
  <c r="L163" i="3"/>
  <c r="P135" i="3"/>
  <c r="E135" i="4"/>
  <c r="O135" i="3"/>
  <c r="S135" i="3" s="1"/>
  <c r="L135" i="3"/>
  <c r="R135" i="3"/>
  <c r="M135" i="3"/>
  <c r="R43" i="3"/>
  <c r="P43" i="3"/>
  <c r="E43" i="4"/>
  <c r="M43" i="3"/>
  <c r="O43" i="3"/>
  <c r="S43" i="3" s="1"/>
  <c r="L43" i="3"/>
  <c r="R89" i="3"/>
  <c r="M89" i="3"/>
  <c r="E89" i="4"/>
  <c r="L89" i="3"/>
  <c r="O89" i="3"/>
  <c r="S89" i="3" s="1"/>
  <c r="P89" i="3"/>
  <c r="M140" i="3"/>
  <c r="L140" i="3"/>
  <c r="E140" i="4"/>
  <c r="R140" i="3"/>
  <c r="P140" i="3"/>
  <c r="O140" i="3"/>
  <c r="S140" i="3" s="1"/>
  <c r="M141" i="3"/>
  <c r="P141" i="3"/>
  <c r="O141" i="3"/>
  <c r="S141" i="3" s="1"/>
  <c r="L141" i="3"/>
  <c r="E141" i="4"/>
  <c r="R141" i="3"/>
  <c r="M204" i="3"/>
  <c r="O204" i="3"/>
  <c r="S204" i="3" s="1"/>
  <c r="R204" i="3"/>
  <c r="L204" i="3"/>
  <c r="P204" i="3"/>
  <c r="E204" i="4"/>
  <c r="L215" i="3"/>
  <c r="M215" i="3"/>
  <c r="O215" i="3"/>
  <c r="S215" i="3" s="1"/>
  <c r="P215" i="3"/>
  <c r="O142" i="3"/>
  <c r="S142" i="3" s="1"/>
  <c r="M142" i="3"/>
  <c r="L142" i="3"/>
  <c r="E142" i="4"/>
  <c r="R142" i="3"/>
  <c r="P142" i="3"/>
  <c r="M172" i="3"/>
  <c r="R172" i="3"/>
  <c r="L172" i="3"/>
  <c r="E172" i="4"/>
  <c r="O172" i="3"/>
  <c r="S172" i="3" s="1"/>
  <c r="P172" i="3"/>
  <c r="O236" i="3"/>
  <c r="S236" i="3" s="1"/>
  <c r="L236" i="3"/>
  <c r="M236" i="3"/>
  <c r="P230" i="3"/>
  <c r="O230" i="3"/>
  <c r="S230" i="3" s="1"/>
  <c r="M230" i="3"/>
  <c r="L230" i="3"/>
  <c r="R230" i="3"/>
  <c r="L84" i="3"/>
  <c r="M84" i="3"/>
  <c r="O84" i="3"/>
  <c r="S84" i="3" s="1"/>
  <c r="P84" i="3"/>
  <c r="R84" i="3"/>
  <c r="E84" i="4"/>
  <c r="R205" i="3"/>
  <c r="P205" i="3"/>
  <c r="O205" i="3"/>
  <c r="S205" i="3" s="1"/>
  <c r="L205" i="3"/>
  <c r="M205" i="3"/>
  <c r="E26" i="4"/>
  <c r="R26" i="3"/>
  <c r="P26" i="3"/>
  <c r="O26" i="3"/>
  <c r="M26" i="3"/>
  <c r="L26" i="3"/>
  <c r="M193" i="3"/>
  <c r="E193" i="4"/>
  <c r="R193" i="3"/>
  <c r="P193" i="3"/>
  <c r="O193" i="3"/>
  <c r="S193" i="3" s="1"/>
  <c r="L193" i="3"/>
  <c r="M186" i="3"/>
  <c r="L186" i="3"/>
  <c r="E186" i="4"/>
  <c r="R186" i="3"/>
  <c r="P186" i="3"/>
  <c r="O186" i="3"/>
  <c r="S186" i="3" s="1"/>
  <c r="E24" i="4"/>
  <c r="L24" i="3"/>
  <c r="M24" i="3"/>
  <c r="O24" i="3"/>
  <c r="S24" i="3" s="1"/>
  <c r="P24" i="3"/>
  <c r="R24" i="3"/>
  <c r="L233" i="3"/>
  <c r="R233" i="3"/>
  <c r="P233" i="3"/>
  <c r="O233" i="3"/>
  <c r="S233" i="3" s="1"/>
  <c r="M233" i="3"/>
  <c r="P187" i="3"/>
  <c r="E187" i="4"/>
  <c r="R187" i="3"/>
  <c r="O187" i="3"/>
  <c r="S187" i="3" s="1"/>
  <c r="M187" i="3"/>
  <c r="L187" i="3"/>
  <c r="P195" i="3"/>
  <c r="L195" i="3"/>
  <c r="M195" i="3"/>
  <c r="O195" i="3"/>
  <c r="S195" i="3" s="1"/>
  <c r="E195" i="4"/>
  <c r="R195" i="3"/>
  <c r="O189" i="3"/>
  <c r="S189" i="3" s="1"/>
  <c r="M189" i="3"/>
  <c r="L189" i="3"/>
  <c r="P189" i="3"/>
  <c r="R189" i="3"/>
  <c r="E189" i="4"/>
  <c r="L229" i="3"/>
  <c r="M229" i="3"/>
  <c r="O229" i="3"/>
  <c r="S229" i="3" s="1"/>
  <c r="R229" i="3"/>
  <c r="P229" i="3"/>
  <c r="P25" i="3"/>
  <c r="R25" i="3"/>
  <c r="E25" i="4"/>
  <c r="O25" i="3"/>
  <c r="S25" i="3" s="1"/>
  <c r="M25" i="3"/>
  <c r="L25" i="3"/>
  <c r="E29" i="4"/>
  <c r="R29" i="3"/>
  <c r="P29" i="3"/>
  <c r="O29" i="3"/>
  <c r="S29" i="3" s="1"/>
  <c r="M29" i="3"/>
  <c r="L29" i="3"/>
  <c r="L295" i="3"/>
  <c r="M295" i="3"/>
  <c r="O295" i="3"/>
  <c r="P295" i="3"/>
  <c r="R295" i="3"/>
  <c r="R284" i="3"/>
  <c r="L284" i="3"/>
  <c r="M284" i="3"/>
  <c r="O284" i="3"/>
  <c r="P284" i="3"/>
  <c r="M188" i="3"/>
  <c r="O188" i="3"/>
  <c r="S188" i="3" s="1"/>
  <c r="P188" i="3"/>
  <c r="R188" i="3"/>
  <c r="E188" i="4"/>
  <c r="L188" i="3"/>
  <c r="L69" i="3"/>
  <c r="M69" i="3"/>
  <c r="O69" i="3"/>
  <c r="S69" i="3" s="1"/>
  <c r="R69" i="3"/>
  <c r="E69" i="4"/>
  <c r="P69" i="3"/>
  <c r="L192" i="3"/>
  <c r="M192" i="3"/>
  <c r="O192" i="3"/>
  <c r="S192" i="3" s="1"/>
  <c r="P192" i="3"/>
  <c r="R192" i="3"/>
  <c r="E192" i="4"/>
  <c r="E3" i="4"/>
  <c r="R3" i="3"/>
  <c r="P3" i="3"/>
  <c r="O3" i="3"/>
  <c r="S3" i="3" s="1"/>
  <c r="M3" i="3"/>
  <c r="L3" i="3"/>
  <c r="M14" i="3"/>
  <c r="L14" i="3"/>
  <c r="E14" i="4"/>
  <c r="R14" i="3"/>
  <c r="P14" i="3"/>
  <c r="O14" i="3"/>
  <c r="S14" i="3" s="1"/>
  <c r="E121" i="4"/>
  <c r="M121" i="3"/>
  <c r="L121" i="3"/>
  <c r="P121" i="3"/>
  <c r="R121" i="3"/>
  <c r="O121" i="3"/>
  <c r="L30" i="3"/>
  <c r="M30" i="3"/>
  <c r="O30" i="3"/>
  <c r="S30" i="3" s="1"/>
  <c r="P30" i="3"/>
  <c r="R30" i="3"/>
  <c r="E30" i="4"/>
  <c r="L165" i="3"/>
  <c r="M165" i="3"/>
  <c r="O165" i="3"/>
  <c r="S165" i="3" s="1"/>
  <c r="P165" i="3"/>
  <c r="R165" i="3"/>
  <c r="E165" i="4"/>
  <c r="L239" i="3"/>
  <c r="M239" i="3"/>
  <c r="O239" i="3"/>
  <c r="S239" i="3" s="1"/>
  <c r="P239" i="3"/>
  <c r="R239" i="3"/>
  <c r="L240" i="3"/>
  <c r="M240" i="3"/>
  <c r="O240" i="3"/>
  <c r="S240" i="3" s="1"/>
  <c r="P240" i="3"/>
  <c r="R240" i="3"/>
  <c r="L166" i="3"/>
  <c r="M166" i="3"/>
  <c r="O166" i="3"/>
  <c r="S166" i="3" s="1"/>
  <c r="P166" i="3"/>
  <c r="R166" i="3"/>
  <c r="E166" i="4"/>
  <c r="L167" i="3"/>
  <c r="M167" i="3"/>
  <c r="O167" i="3"/>
  <c r="S167" i="3" s="1"/>
  <c r="P167" i="3"/>
  <c r="R167" i="3"/>
  <c r="E167" i="4"/>
  <c r="L95" i="3"/>
  <c r="M95" i="3"/>
  <c r="O95" i="3"/>
  <c r="S95" i="3" s="1"/>
  <c r="P95" i="3"/>
  <c r="R95" i="3"/>
  <c r="E95" i="4"/>
  <c r="L256" i="3"/>
  <c r="M256" i="3"/>
  <c r="O256" i="3"/>
  <c r="S256" i="3" s="1"/>
  <c r="P256" i="3"/>
  <c r="R256" i="3"/>
  <c r="L260" i="3"/>
  <c r="M260" i="3"/>
  <c r="O260" i="3"/>
  <c r="S260" i="3" s="1"/>
  <c r="P260" i="3"/>
  <c r="R260" i="3"/>
  <c r="L66" i="3"/>
  <c r="M66" i="3"/>
  <c r="O66" i="3"/>
  <c r="S66" i="3" s="1"/>
  <c r="P66" i="3"/>
  <c r="R66" i="3"/>
  <c r="E66" i="4"/>
  <c r="L65" i="3"/>
  <c r="M65" i="3"/>
  <c r="O65" i="3"/>
  <c r="S65" i="3" s="1"/>
  <c r="P65" i="3"/>
  <c r="R65" i="3"/>
  <c r="E65" i="4"/>
  <c r="L64" i="3"/>
  <c r="M64" i="3"/>
  <c r="O64" i="3"/>
  <c r="S64" i="3" s="1"/>
  <c r="P64" i="3"/>
  <c r="R64" i="3"/>
  <c r="E64" i="4"/>
  <c r="L63" i="3"/>
  <c r="M63" i="3"/>
  <c r="O63" i="3"/>
  <c r="S63" i="3" s="1"/>
  <c r="P63" i="3"/>
  <c r="R63" i="3"/>
  <c r="E63" i="4"/>
  <c r="L68" i="3"/>
  <c r="M68" i="3"/>
  <c r="O68" i="3"/>
  <c r="S68" i="3" s="1"/>
  <c r="P68" i="3"/>
  <c r="R68" i="3"/>
  <c r="E68" i="4"/>
  <c r="L297" i="3"/>
  <c r="M297" i="3"/>
  <c r="O297" i="3"/>
  <c r="P297" i="3"/>
  <c r="R297" i="3"/>
  <c r="L175" i="3"/>
  <c r="M175" i="3"/>
  <c r="O175" i="3"/>
  <c r="S175" i="3" s="1"/>
  <c r="P175" i="3"/>
  <c r="R175" i="3"/>
  <c r="E175" i="4"/>
  <c r="L2" i="3"/>
  <c r="M2" i="3"/>
  <c r="O2" i="3"/>
  <c r="S2" i="3" s="1"/>
  <c r="P2" i="3"/>
  <c r="R2" i="3"/>
  <c r="E2" i="4"/>
  <c r="L197" i="3"/>
  <c r="M197" i="3"/>
  <c r="O197" i="3"/>
  <c r="S197" i="3" s="1"/>
  <c r="P197" i="3"/>
  <c r="R197" i="3"/>
  <c r="E197" i="4"/>
  <c r="L196" i="3"/>
  <c r="M196" i="3"/>
  <c r="O196" i="3"/>
  <c r="S196" i="3" s="1"/>
  <c r="P196" i="3"/>
  <c r="R196" i="3"/>
  <c r="E196" i="4"/>
  <c r="L169" i="3"/>
  <c r="M169" i="3"/>
  <c r="O169" i="3"/>
  <c r="S169" i="3" s="1"/>
  <c r="P169" i="3"/>
  <c r="R169" i="3"/>
  <c r="E169" i="4"/>
  <c r="L160" i="3"/>
  <c r="M160" i="3"/>
  <c r="O160" i="3"/>
  <c r="S160" i="3" s="1"/>
  <c r="P160" i="3"/>
  <c r="R160" i="3"/>
  <c r="E160" i="4"/>
  <c r="L161" i="3"/>
  <c r="M161" i="3"/>
  <c r="O161" i="3"/>
  <c r="S161" i="3" s="1"/>
  <c r="P161" i="3"/>
  <c r="R161" i="3"/>
  <c r="E161" i="4"/>
  <c r="L243" i="3"/>
  <c r="M243" i="3"/>
  <c r="O243" i="3"/>
  <c r="S243" i="3" s="1"/>
  <c r="P243" i="3"/>
  <c r="R243" i="3"/>
  <c r="L170" i="3"/>
  <c r="M170" i="3"/>
  <c r="O170" i="3"/>
  <c r="S170" i="3" s="1"/>
  <c r="P170" i="3"/>
  <c r="R170" i="3"/>
  <c r="E170" i="4"/>
  <c r="L162" i="3"/>
  <c r="M162" i="3"/>
  <c r="O162" i="3"/>
  <c r="S162" i="3" s="1"/>
  <c r="P162" i="3"/>
  <c r="R162" i="3"/>
  <c r="E162" i="4"/>
  <c r="L159" i="3"/>
  <c r="M159" i="3"/>
  <c r="O159" i="3"/>
  <c r="S159" i="3" s="1"/>
  <c r="P159" i="3"/>
  <c r="R159" i="3"/>
  <c r="E159" i="4"/>
  <c r="L244" i="3"/>
  <c r="M244" i="3"/>
  <c r="O244" i="3"/>
  <c r="S244" i="3" s="1"/>
  <c r="P244" i="3"/>
  <c r="R244" i="3"/>
  <c r="L279" i="3"/>
  <c r="M279" i="3"/>
  <c r="O279" i="3"/>
  <c r="P279" i="3"/>
  <c r="R279" i="3"/>
  <c r="L245" i="3"/>
  <c r="M245" i="3"/>
  <c r="O245" i="3"/>
  <c r="S245" i="3" s="1"/>
  <c r="P245" i="3"/>
  <c r="R245" i="3"/>
  <c r="L131" i="3"/>
  <c r="M131" i="3"/>
  <c r="O131" i="3"/>
  <c r="S131" i="3" s="1"/>
  <c r="P131" i="3"/>
  <c r="R131" i="3"/>
  <c r="E131" i="4"/>
  <c r="L280" i="3"/>
  <c r="M280" i="3"/>
  <c r="O280" i="3"/>
  <c r="P280" i="3"/>
  <c r="R280" i="3"/>
  <c r="L129" i="3"/>
  <c r="M129" i="3"/>
  <c r="O129" i="3"/>
  <c r="S129" i="3" s="1"/>
  <c r="P129" i="3"/>
  <c r="R129" i="3"/>
  <c r="E129" i="4"/>
  <c r="L128" i="3"/>
  <c r="M128" i="3"/>
  <c r="O128" i="3"/>
  <c r="S128" i="3" s="1"/>
  <c r="P128" i="3"/>
  <c r="R128" i="3"/>
  <c r="E128" i="4"/>
  <c r="L127" i="3"/>
  <c r="M127" i="3"/>
  <c r="O127" i="3"/>
  <c r="S127" i="3" s="1"/>
  <c r="P127" i="3"/>
  <c r="R127" i="3"/>
  <c r="E127" i="4"/>
  <c r="L126" i="3"/>
  <c r="M126" i="3"/>
  <c r="O126" i="3"/>
  <c r="S126" i="3" s="1"/>
  <c r="P126" i="3"/>
  <c r="R126" i="3"/>
  <c r="E126" i="4"/>
  <c r="L247" i="3"/>
  <c r="M247" i="3"/>
  <c r="O247" i="3"/>
  <c r="S247" i="3" s="1"/>
  <c r="P247" i="3"/>
  <c r="R247" i="3"/>
  <c r="L281" i="3"/>
  <c r="M281" i="3"/>
  <c r="O281" i="3"/>
  <c r="P281" i="3"/>
  <c r="R281" i="3"/>
  <c r="L125" i="3"/>
  <c r="M125" i="3"/>
  <c r="O125" i="3"/>
  <c r="S125" i="3" s="1"/>
  <c r="P125" i="3"/>
  <c r="R125" i="3"/>
  <c r="E125" i="4"/>
  <c r="L13" i="3"/>
  <c r="M13" i="3"/>
  <c r="O13" i="3"/>
  <c r="S13" i="3" s="1"/>
  <c r="P13" i="3"/>
  <c r="R13" i="3"/>
  <c r="E13" i="4"/>
  <c r="L154" i="3"/>
  <c r="M154" i="3"/>
  <c r="O154" i="3"/>
  <c r="S154" i="3" s="1"/>
  <c r="P154" i="3"/>
  <c r="R154" i="3"/>
  <c r="E154" i="4"/>
  <c r="L153" i="3"/>
  <c r="M153" i="3"/>
  <c r="O153" i="3"/>
  <c r="S153" i="3" s="1"/>
  <c r="P153" i="3"/>
  <c r="R153" i="3"/>
  <c r="E153" i="4"/>
  <c r="L134" i="3"/>
  <c r="M134" i="3"/>
  <c r="O134" i="3"/>
  <c r="S134" i="3" s="1"/>
  <c r="P134" i="3"/>
  <c r="R134" i="3"/>
  <c r="E134" i="4"/>
  <c r="L133" i="3"/>
  <c r="M133" i="3"/>
  <c r="O133" i="3"/>
  <c r="S133" i="3" s="1"/>
  <c r="P133" i="3"/>
  <c r="R133" i="3"/>
  <c r="E133" i="4"/>
  <c r="L132" i="3"/>
  <c r="M132" i="3"/>
  <c r="O132" i="3"/>
  <c r="S132" i="3" s="1"/>
  <c r="P132" i="3"/>
  <c r="R132" i="3"/>
  <c r="E132" i="4"/>
  <c r="L130" i="3"/>
  <c r="M130" i="3"/>
  <c r="O130" i="3"/>
  <c r="S130" i="3" s="1"/>
  <c r="P130" i="3"/>
  <c r="R130" i="3"/>
  <c r="E130" i="4"/>
  <c r="L246" i="3"/>
  <c r="M246" i="3"/>
  <c r="O246" i="3"/>
  <c r="S246" i="3" s="1"/>
  <c r="P246" i="3"/>
  <c r="R246" i="3"/>
  <c r="L271" i="3"/>
  <c r="M271" i="3"/>
  <c r="O271" i="3"/>
  <c r="S271" i="3" s="1"/>
  <c r="P271" i="3"/>
  <c r="R271" i="3"/>
  <c r="L273" i="3"/>
  <c r="M273" i="3"/>
  <c r="O273" i="3"/>
  <c r="P273" i="3"/>
  <c r="R273" i="3"/>
  <c r="L123" i="3"/>
  <c r="M123" i="3"/>
  <c r="O123" i="3"/>
  <c r="S123" i="3" s="1"/>
  <c r="P123" i="3"/>
  <c r="R123" i="3"/>
  <c r="E123" i="4"/>
  <c r="L155" i="3"/>
  <c r="M155" i="3"/>
  <c r="O155" i="3"/>
  <c r="S155" i="3" s="1"/>
  <c r="P155" i="3"/>
  <c r="R155" i="3"/>
  <c r="E155" i="4"/>
  <c r="L269" i="3"/>
  <c r="M269" i="3"/>
  <c r="O269" i="3"/>
  <c r="S269" i="3" s="1"/>
  <c r="P269" i="3"/>
  <c r="R269" i="3"/>
  <c r="L113" i="3"/>
  <c r="M113" i="3"/>
  <c r="O113" i="3"/>
  <c r="S113" i="3" s="1"/>
  <c r="P113" i="3"/>
  <c r="R113" i="3"/>
  <c r="E113" i="4"/>
  <c r="L111" i="3"/>
  <c r="M111" i="3"/>
  <c r="O111" i="3"/>
  <c r="S111" i="3" s="1"/>
  <c r="P111" i="3"/>
  <c r="R111" i="3"/>
  <c r="E111" i="4"/>
  <c r="L110" i="3"/>
  <c r="M110" i="3"/>
  <c r="O110" i="3"/>
  <c r="S110" i="3" s="1"/>
  <c r="P110" i="3"/>
  <c r="R110" i="3"/>
  <c r="E110" i="4"/>
  <c r="L272" i="3"/>
  <c r="M272" i="3"/>
  <c r="O272" i="3"/>
  <c r="P272" i="3"/>
  <c r="R272" i="3"/>
  <c r="L278" i="3"/>
  <c r="M278" i="3"/>
  <c r="O278" i="3"/>
  <c r="P278" i="3"/>
  <c r="R278" i="3"/>
  <c r="L252" i="3"/>
  <c r="M252" i="3"/>
  <c r="O252" i="3"/>
  <c r="S252" i="3" s="1"/>
  <c r="P252" i="3"/>
  <c r="R252" i="3"/>
  <c r="L285" i="3"/>
  <c r="M285" i="3"/>
  <c r="O285" i="3"/>
  <c r="P285" i="3"/>
  <c r="R285" i="3"/>
  <c r="L109" i="3"/>
  <c r="M109" i="3"/>
  <c r="O109" i="3"/>
  <c r="S109" i="3" s="1"/>
  <c r="P109" i="3"/>
  <c r="R109" i="3"/>
  <c r="E109" i="4"/>
  <c r="L108" i="3"/>
  <c r="M108" i="3"/>
  <c r="O108" i="3"/>
  <c r="S108" i="3" s="1"/>
  <c r="P108" i="3"/>
  <c r="R108" i="3"/>
  <c r="E108" i="4"/>
  <c r="L107" i="3"/>
  <c r="M107" i="3"/>
  <c r="O107" i="3"/>
  <c r="S107" i="3" s="1"/>
  <c r="P107" i="3"/>
  <c r="R107" i="3"/>
  <c r="E107" i="4"/>
  <c r="L253" i="3"/>
  <c r="M253" i="3"/>
  <c r="O253" i="3"/>
  <c r="S253" i="3" s="1"/>
  <c r="P253" i="3"/>
  <c r="R253" i="3"/>
  <c r="L238" i="3"/>
  <c r="M238" i="3"/>
  <c r="O238" i="3"/>
  <c r="S238" i="3" s="1"/>
  <c r="P238" i="3"/>
  <c r="R238" i="3"/>
  <c r="L119" i="3"/>
  <c r="M119" i="3"/>
  <c r="O119" i="3"/>
  <c r="S119" i="3" s="1"/>
  <c r="P119" i="3"/>
  <c r="R119" i="3"/>
  <c r="E119" i="4"/>
  <c r="L115" i="3"/>
  <c r="M115" i="3"/>
  <c r="O115" i="3"/>
  <c r="S115" i="3" s="1"/>
  <c r="P115" i="3"/>
  <c r="R115" i="3"/>
  <c r="E115" i="4"/>
  <c r="L251" i="3"/>
  <c r="M251" i="3"/>
  <c r="O251" i="3"/>
  <c r="S251" i="3" s="1"/>
  <c r="P251" i="3"/>
  <c r="R251" i="3"/>
  <c r="L112" i="3"/>
  <c r="M112" i="3"/>
  <c r="O112" i="3"/>
  <c r="S112" i="3" s="1"/>
  <c r="P112" i="3"/>
  <c r="R112" i="3"/>
  <c r="E112" i="4"/>
  <c r="L106" i="3"/>
  <c r="M106" i="3"/>
  <c r="O106" i="3"/>
  <c r="S106" i="3" s="1"/>
  <c r="P106" i="3"/>
  <c r="R106" i="3"/>
  <c r="E106" i="4"/>
  <c r="L286" i="3"/>
  <c r="M286" i="3"/>
  <c r="O286" i="3"/>
  <c r="P286" i="3"/>
  <c r="R286" i="3"/>
  <c r="L105" i="3"/>
  <c r="M105" i="3"/>
  <c r="O105" i="3"/>
  <c r="S105" i="3" s="1"/>
  <c r="P105" i="3"/>
  <c r="R105" i="3"/>
  <c r="E105" i="4"/>
  <c r="L104" i="3"/>
  <c r="M104" i="3"/>
  <c r="O104" i="3"/>
  <c r="S104" i="3" s="1"/>
  <c r="P104" i="3"/>
  <c r="R104" i="3"/>
  <c r="E104" i="4"/>
  <c r="L254" i="3"/>
  <c r="M254" i="3"/>
  <c r="O254" i="3"/>
  <c r="S254" i="3" s="1"/>
  <c r="P254" i="3"/>
  <c r="R254" i="3"/>
  <c r="L103" i="3"/>
  <c r="M103" i="3"/>
  <c r="O103" i="3"/>
  <c r="S103" i="3" s="1"/>
  <c r="P103" i="3"/>
  <c r="R103" i="3"/>
  <c r="E103" i="4"/>
  <c r="L152" i="3"/>
  <c r="M152" i="3"/>
  <c r="O152" i="3"/>
  <c r="S152" i="3" s="1"/>
  <c r="P152" i="3"/>
  <c r="R152" i="3"/>
  <c r="E152" i="4"/>
  <c r="L102" i="3"/>
  <c r="M102" i="3"/>
  <c r="O102" i="3"/>
  <c r="S102" i="3" s="1"/>
  <c r="P102" i="3"/>
  <c r="R102" i="3"/>
  <c r="E102" i="4"/>
  <c r="L291" i="3"/>
  <c r="M291" i="3"/>
  <c r="O291" i="3"/>
  <c r="P291" i="3"/>
  <c r="R291" i="3"/>
  <c r="L100" i="3"/>
  <c r="M100" i="3"/>
  <c r="O100" i="3"/>
  <c r="S100" i="3" s="1"/>
  <c r="P100" i="3"/>
  <c r="R100" i="3"/>
  <c r="E100" i="4"/>
  <c r="L99" i="3"/>
  <c r="M99" i="3"/>
  <c r="O99" i="3"/>
  <c r="S99" i="3" s="1"/>
  <c r="P99" i="3"/>
  <c r="R99" i="3"/>
  <c r="E99" i="4"/>
  <c r="L98" i="3"/>
  <c r="M98" i="3"/>
  <c r="O98" i="3"/>
  <c r="S98" i="3" s="1"/>
  <c r="P98" i="3"/>
  <c r="R98" i="3"/>
  <c r="E98" i="4"/>
  <c r="L255" i="3"/>
  <c r="M255" i="3"/>
  <c r="O255" i="3"/>
  <c r="S255" i="3" s="1"/>
  <c r="P255" i="3"/>
  <c r="R255" i="3"/>
  <c r="L288" i="3"/>
  <c r="M288" i="3"/>
  <c r="O288" i="3"/>
  <c r="P288" i="3"/>
  <c r="R288" i="3"/>
  <c r="L97" i="3"/>
  <c r="M97" i="3"/>
  <c r="O97" i="3"/>
  <c r="S97" i="3" s="1"/>
  <c r="P97" i="3"/>
  <c r="R97" i="3"/>
  <c r="E97" i="4"/>
  <c r="L185" i="3"/>
  <c r="M185" i="3"/>
  <c r="O185" i="3"/>
  <c r="S185" i="3" s="1"/>
  <c r="P185" i="3"/>
  <c r="R185" i="3"/>
  <c r="E185" i="4"/>
  <c r="L184" i="3"/>
  <c r="M184" i="3"/>
  <c r="O184" i="3"/>
  <c r="S184" i="3" s="1"/>
  <c r="P184" i="3"/>
  <c r="R184" i="3"/>
  <c r="E184" i="4"/>
  <c r="L94" i="3"/>
  <c r="M94" i="3"/>
  <c r="O94" i="3"/>
  <c r="S94" i="3" s="1"/>
  <c r="P94" i="3"/>
  <c r="R94" i="3"/>
  <c r="E94" i="4"/>
  <c r="L289" i="3"/>
  <c r="M289" i="3"/>
  <c r="O289" i="3"/>
  <c r="P289" i="3"/>
  <c r="R289" i="3"/>
  <c r="L93" i="3"/>
  <c r="M93" i="3"/>
  <c r="O93" i="3"/>
  <c r="S93" i="3" s="1"/>
  <c r="P93" i="3"/>
  <c r="R93" i="3"/>
  <c r="E93" i="4"/>
  <c r="L298" i="3"/>
  <c r="M298" i="3"/>
  <c r="O298" i="3"/>
  <c r="P298" i="3"/>
  <c r="R298" i="3"/>
  <c r="L275" i="3"/>
  <c r="M275" i="3"/>
  <c r="O275" i="3"/>
  <c r="P275" i="3"/>
  <c r="R275" i="3"/>
  <c r="L258" i="3"/>
  <c r="M258" i="3"/>
  <c r="O258" i="3"/>
  <c r="S258" i="3" s="1"/>
  <c r="P258" i="3"/>
  <c r="R258" i="3"/>
  <c r="L151" i="3"/>
  <c r="M151" i="3"/>
  <c r="O151" i="3"/>
  <c r="S151" i="3" s="1"/>
  <c r="P151" i="3"/>
  <c r="R151" i="3"/>
  <c r="E151" i="4"/>
  <c r="L191" i="3"/>
  <c r="M191" i="3"/>
  <c r="O191" i="3"/>
  <c r="S191" i="3" s="1"/>
  <c r="P191" i="3"/>
  <c r="R191" i="3"/>
  <c r="E191" i="4"/>
  <c r="L171" i="3"/>
  <c r="M171" i="3"/>
  <c r="O171" i="3"/>
  <c r="S171" i="3" s="1"/>
  <c r="P171" i="3"/>
  <c r="R171" i="3"/>
  <c r="E171" i="4"/>
  <c r="L241" i="3"/>
  <c r="M241" i="3"/>
  <c r="O241" i="3"/>
  <c r="S241" i="3" s="1"/>
  <c r="P241" i="3"/>
  <c r="R241" i="3"/>
  <c r="L277" i="3"/>
  <c r="M277" i="3"/>
  <c r="O277" i="3"/>
  <c r="P277" i="3"/>
  <c r="R277" i="3"/>
  <c r="L248" i="3"/>
  <c r="M248" i="3"/>
  <c r="O248" i="3"/>
  <c r="S248" i="3" s="1"/>
  <c r="P248" i="3"/>
  <c r="R248" i="3"/>
  <c r="L282" i="3"/>
  <c r="M282" i="3"/>
  <c r="O282" i="3"/>
  <c r="P282" i="3"/>
  <c r="R282" i="3"/>
  <c r="L249" i="3"/>
  <c r="M249" i="3"/>
  <c r="O249" i="3"/>
  <c r="S249" i="3" s="1"/>
  <c r="P249" i="3"/>
  <c r="R249" i="3"/>
  <c r="L283" i="3"/>
  <c r="M283" i="3"/>
  <c r="O283" i="3"/>
  <c r="P283" i="3"/>
  <c r="R283" i="3"/>
  <c r="L116" i="3"/>
  <c r="M116" i="3"/>
  <c r="O116" i="3"/>
  <c r="S116" i="3" s="1"/>
  <c r="P116" i="3"/>
  <c r="R116" i="3"/>
  <c r="E116" i="4"/>
  <c r="L6" i="3"/>
  <c r="M6" i="3"/>
  <c r="O6" i="3"/>
  <c r="S6" i="3" s="1"/>
  <c r="P6" i="3"/>
  <c r="R6" i="3"/>
  <c r="E6" i="4"/>
  <c r="L148" i="3"/>
  <c r="M148" i="3"/>
  <c r="O148" i="3"/>
  <c r="S148" i="3" s="1"/>
  <c r="P148" i="3"/>
  <c r="R148" i="3"/>
  <c r="E148" i="4"/>
  <c r="L146" i="3"/>
  <c r="M146" i="3"/>
  <c r="O146" i="3"/>
  <c r="S146" i="3" s="1"/>
  <c r="P146" i="3"/>
  <c r="R146" i="3"/>
  <c r="E146" i="4"/>
  <c r="L10" i="3"/>
  <c r="M10" i="3"/>
  <c r="O10" i="3"/>
  <c r="S10" i="3" s="1"/>
  <c r="P10" i="3"/>
  <c r="R10" i="3"/>
  <c r="E10" i="4"/>
  <c r="L183" i="3"/>
  <c r="M183" i="3"/>
  <c r="O183" i="3"/>
  <c r="S183" i="3" s="1"/>
  <c r="P183" i="3"/>
  <c r="R183" i="3"/>
  <c r="E183" i="4"/>
  <c r="L71" i="3"/>
  <c r="M71" i="3"/>
  <c r="O71" i="3"/>
  <c r="S71" i="3" s="1"/>
  <c r="P71" i="3"/>
  <c r="R71" i="3"/>
  <c r="E71" i="4"/>
  <c r="L15" i="3"/>
  <c r="M15" i="3"/>
  <c r="O15" i="3"/>
  <c r="S15" i="3" s="1"/>
  <c r="P15" i="3"/>
  <c r="R15" i="3"/>
  <c r="E15" i="4"/>
  <c r="L17" i="3"/>
  <c r="M17" i="3"/>
  <c r="O17" i="3"/>
  <c r="S17" i="3" s="1"/>
  <c r="P17" i="3"/>
  <c r="R17" i="3"/>
  <c r="E17" i="4"/>
  <c r="L19" i="3"/>
  <c r="M19" i="3"/>
  <c r="O19" i="3"/>
  <c r="S19" i="3" s="1"/>
  <c r="P19" i="3"/>
  <c r="R19" i="3"/>
  <c r="E19" i="4"/>
  <c r="L20" i="3"/>
  <c r="M20" i="3"/>
  <c r="O20" i="3"/>
  <c r="S20" i="3" s="1"/>
  <c r="P20" i="3"/>
  <c r="R20" i="3"/>
  <c r="E20" i="4"/>
  <c r="L21" i="3"/>
  <c r="M21" i="3"/>
  <c r="O21" i="3"/>
  <c r="S21" i="3" s="1"/>
  <c r="P21" i="3"/>
  <c r="R21" i="3"/>
  <c r="E21" i="4"/>
  <c r="L31" i="3"/>
  <c r="M31" i="3"/>
  <c r="O31" i="3"/>
  <c r="S31" i="3" s="1"/>
  <c r="P31" i="3"/>
  <c r="R31" i="3"/>
  <c r="E31" i="4"/>
  <c r="L270" i="3"/>
  <c r="M270" i="3"/>
  <c r="O270" i="3"/>
  <c r="S270" i="3" s="1"/>
  <c r="P270" i="3"/>
  <c r="R270" i="3"/>
  <c r="L149" i="3"/>
  <c r="M149" i="3"/>
  <c r="O149" i="3"/>
  <c r="S149" i="3" s="1"/>
  <c r="P149" i="3"/>
  <c r="R149" i="3"/>
  <c r="E149" i="4"/>
  <c r="L39" i="3"/>
  <c r="M39" i="3"/>
  <c r="O39" i="3"/>
  <c r="S39" i="3" s="1"/>
  <c r="P39" i="3"/>
  <c r="R39" i="3"/>
  <c r="E39" i="4"/>
  <c r="L32" i="3"/>
  <c r="M32" i="3"/>
  <c r="O32" i="3"/>
  <c r="S32" i="3" s="1"/>
  <c r="P32" i="3"/>
  <c r="R32" i="3"/>
  <c r="E32" i="4"/>
  <c r="L36" i="3"/>
  <c r="M36" i="3"/>
  <c r="O36" i="3"/>
  <c r="S36" i="3" s="1"/>
  <c r="P36" i="3"/>
  <c r="R36" i="3"/>
  <c r="E36" i="4"/>
  <c r="L168" i="3"/>
  <c r="M168" i="3"/>
  <c r="O168" i="3"/>
  <c r="S168" i="3" s="1"/>
  <c r="P168" i="3"/>
  <c r="R168" i="3"/>
  <c r="E168" i="4"/>
  <c r="L33" i="3"/>
  <c r="M33" i="3"/>
  <c r="O33" i="3"/>
  <c r="S33" i="3" s="1"/>
  <c r="P33" i="3"/>
  <c r="R33" i="3"/>
  <c r="E33" i="4"/>
  <c r="L34" i="3"/>
  <c r="M34" i="3"/>
  <c r="O34" i="3"/>
  <c r="S34" i="3" s="1"/>
  <c r="P34" i="3"/>
  <c r="R34" i="3"/>
  <c r="E34" i="4"/>
  <c r="L37" i="3"/>
  <c r="M37" i="3"/>
  <c r="O37" i="3"/>
  <c r="S37" i="3" s="1"/>
  <c r="P37" i="3"/>
  <c r="R37" i="3"/>
  <c r="E37" i="4"/>
  <c r="L38" i="3"/>
  <c r="M38" i="3"/>
  <c r="O38" i="3"/>
  <c r="S38" i="3" s="1"/>
  <c r="P38" i="3"/>
  <c r="R38" i="3"/>
  <c r="E38" i="4"/>
  <c r="L40" i="3"/>
  <c r="M40" i="3"/>
  <c r="O40" i="3"/>
  <c r="S40" i="3" s="1"/>
  <c r="P40" i="3"/>
  <c r="R40" i="3"/>
  <c r="E40" i="4"/>
  <c r="L41" i="3"/>
  <c r="M41" i="3"/>
  <c r="O41" i="3"/>
  <c r="S41" i="3" s="1"/>
  <c r="P41" i="3"/>
  <c r="R41" i="3"/>
  <c r="E41" i="4"/>
  <c r="L11" i="3"/>
  <c r="M11" i="3"/>
  <c r="O11" i="3"/>
  <c r="S11" i="3" s="1"/>
  <c r="P11" i="3"/>
  <c r="R11" i="3"/>
  <c r="E11" i="4"/>
  <c r="L259" i="3"/>
  <c r="M259" i="3"/>
  <c r="O259" i="3"/>
  <c r="S259" i="3" s="1"/>
  <c r="P259" i="3"/>
  <c r="R259" i="3"/>
  <c r="L294" i="3"/>
  <c r="M294" i="3"/>
  <c r="O294" i="3"/>
  <c r="P294" i="3"/>
  <c r="R294" i="3"/>
  <c r="L48" i="3"/>
  <c r="M48" i="3"/>
  <c r="O48" i="3"/>
  <c r="S48" i="3" s="1"/>
  <c r="P48" i="3"/>
  <c r="R48" i="3"/>
  <c r="E48" i="4"/>
  <c r="L49" i="3"/>
  <c r="M49" i="3"/>
  <c r="O49" i="3"/>
  <c r="S49" i="3" s="1"/>
  <c r="P49" i="3"/>
  <c r="R49" i="3"/>
  <c r="E49" i="4"/>
  <c r="L50" i="3"/>
  <c r="M50" i="3"/>
  <c r="O50" i="3"/>
  <c r="S50" i="3" s="1"/>
  <c r="P50" i="3"/>
  <c r="R50" i="3"/>
  <c r="E50" i="4"/>
  <c r="L51" i="3"/>
  <c r="M51" i="3"/>
  <c r="O51" i="3"/>
  <c r="S51" i="3" s="1"/>
  <c r="P51" i="3"/>
  <c r="R51" i="3"/>
  <c r="E51" i="4"/>
  <c r="L52" i="3"/>
  <c r="M52" i="3"/>
  <c r="O52" i="3"/>
  <c r="S52" i="3" s="1"/>
  <c r="P52" i="3"/>
  <c r="R52" i="3"/>
  <c r="E52" i="4"/>
  <c r="L53" i="3"/>
  <c r="M53" i="3"/>
  <c r="O53" i="3"/>
  <c r="S53" i="3" s="1"/>
  <c r="P53" i="3"/>
  <c r="R53" i="3"/>
  <c r="E53" i="4"/>
  <c r="L54" i="3"/>
  <c r="M54" i="3"/>
  <c r="O54" i="3"/>
  <c r="S54" i="3" s="1"/>
  <c r="P54" i="3"/>
  <c r="R54" i="3"/>
  <c r="E54" i="4"/>
  <c r="L179" i="3"/>
  <c r="M179" i="3"/>
  <c r="O179" i="3"/>
  <c r="S179" i="3" s="1"/>
  <c r="P179" i="3"/>
  <c r="R179" i="3"/>
  <c r="E179" i="4"/>
  <c r="L267" i="3"/>
  <c r="O267" i="3"/>
  <c r="S267" i="3" s="1"/>
  <c r="M267" i="3"/>
  <c r="P267" i="3"/>
  <c r="R267" i="3"/>
  <c r="L4" i="3"/>
  <c r="M4" i="3"/>
  <c r="O4" i="3"/>
  <c r="S4" i="3" s="1"/>
  <c r="P4" i="3"/>
  <c r="R4" i="3"/>
  <c r="E4" i="4"/>
  <c r="L290" i="3"/>
  <c r="M290" i="3"/>
  <c r="O290" i="3"/>
  <c r="P290" i="3"/>
  <c r="R290" i="3"/>
  <c r="L35" i="3"/>
  <c r="M35" i="3"/>
  <c r="O35" i="3"/>
  <c r="S35" i="3" s="1"/>
  <c r="P35" i="3"/>
  <c r="R35" i="3"/>
  <c r="E35" i="4"/>
  <c r="L47" i="3"/>
  <c r="M47" i="3"/>
  <c r="O47" i="3"/>
  <c r="S47" i="3" s="1"/>
  <c r="P47" i="3"/>
  <c r="R47" i="3"/>
  <c r="E47" i="4"/>
  <c r="L178" i="3"/>
  <c r="M178" i="3"/>
  <c r="O178" i="3"/>
  <c r="S178" i="3" s="1"/>
  <c r="P178" i="3"/>
  <c r="R178" i="3"/>
  <c r="E178" i="4"/>
  <c r="L173" i="3"/>
  <c r="M173" i="3"/>
  <c r="O173" i="3"/>
  <c r="S173" i="3" s="1"/>
  <c r="P173" i="3"/>
  <c r="R173" i="3"/>
  <c r="E173" i="4"/>
  <c r="L156" i="3"/>
  <c r="M156" i="3"/>
  <c r="O156" i="3"/>
  <c r="S156" i="3" s="1"/>
  <c r="P156" i="3"/>
  <c r="R156" i="3"/>
  <c r="E156" i="4"/>
  <c r="L276" i="3"/>
  <c r="M276" i="3"/>
  <c r="O276" i="3"/>
  <c r="P276" i="3"/>
  <c r="R276" i="3"/>
  <c r="L46" i="3"/>
  <c r="M46" i="3"/>
  <c r="O46" i="3"/>
  <c r="S46" i="3" s="1"/>
  <c r="P46" i="3"/>
  <c r="R46" i="3"/>
  <c r="E46" i="4"/>
  <c r="L177" i="3"/>
  <c r="M177" i="3"/>
  <c r="O177" i="3"/>
  <c r="S177" i="3" s="1"/>
  <c r="P177" i="3"/>
  <c r="R177" i="3"/>
  <c r="E177" i="4"/>
  <c r="L237" i="3"/>
  <c r="M237" i="3"/>
  <c r="O237" i="3"/>
  <c r="S237" i="3" s="1"/>
  <c r="P237" i="3"/>
  <c r="R237" i="3"/>
  <c r="L147" i="3"/>
  <c r="M147" i="3"/>
  <c r="O147" i="3"/>
  <c r="S147" i="3" s="1"/>
  <c r="P147" i="3"/>
  <c r="R147" i="3"/>
  <c r="E147" i="4"/>
  <c r="L67" i="3"/>
  <c r="M67" i="3"/>
  <c r="O67" i="3"/>
  <c r="S67" i="3" s="1"/>
  <c r="P67" i="3"/>
  <c r="R67" i="3"/>
  <c r="E67" i="4"/>
  <c r="L117" i="3"/>
  <c r="M117" i="3"/>
  <c r="O117" i="3"/>
  <c r="S117" i="3" s="1"/>
  <c r="P117" i="3"/>
  <c r="R117" i="3"/>
  <c r="E117" i="4"/>
  <c r="L293" i="3"/>
  <c r="M293" i="3"/>
  <c r="O293" i="3"/>
  <c r="P293" i="3"/>
  <c r="R293" i="3"/>
  <c r="R292" i="3"/>
  <c r="P292" i="3"/>
  <c r="O292" i="3"/>
  <c r="M292" i="3"/>
  <c r="L292" i="3"/>
  <c r="R216" i="3"/>
  <c r="P216" i="3"/>
  <c r="O216" i="3"/>
  <c r="S216" i="3" s="1"/>
  <c r="M216" i="3"/>
  <c r="L216" i="3"/>
  <c r="R213" i="3"/>
  <c r="P213" i="3"/>
  <c r="O213" i="3"/>
  <c r="S213" i="3" s="1"/>
  <c r="M213" i="3"/>
  <c r="L213" i="3"/>
  <c r="R212" i="3"/>
  <c r="P212" i="3"/>
  <c r="O212" i="3"/>
  <c r="S212" i="3" s="1"/>
  <c r="M212" i="3"/>
  <c r="L212" i="3"/>
  <c r="M78" i="3"/>
  <c r="P78" i="3"/>
  <c r="E78" i="4"/>
  <c r="O78" i="3"/>
  <c r="S78" i="3" s="1"/>
  <c r="L78" i="3"/>
  <c r="R78" i="3"/>
  <c r="O268" i="3"/>
  <c r="S268" i="3" s="1"/>
  <c r="M268" i="3"/>
  <c r="R268" i="3"/>
  <c r="P268" i="3"/>
  <c r="L268" i="3"/>
  <c r="L262" i="3"/>
  <c r="O262" i="3"/>
  <c r="S262" i="3" s="1"/>
  <c r="R262" i="3"/>
  <c r="M262" i="3"/>
  <c r="P262" i="3"/>
  <c r="E56" i="4"/>
  <c r="R56" i="3"/>
  <c r="P56" i="3"/>
  <c r="O56" i="3"/>
  <c r="S56" i="3" s="1"/>
  <c r="M56" i="3"/>
  <c r="L56" i="3"/>
  <c r="E61" i="4"/>
  <c r="R61" i="3"/>
  <c r="P61" i="3"/>
  <c r="O61" i="3"/>
  <c r="S61" i="3" s="1"/>
  <c r="M61" i="3"/>
  <c r="L61" i="3"/>
  <c r="M222" i="3"/>
  <c r="O222" i="3"/>
  <c r="S222" i="3" s="1"/>
  <c r="P222" i="3"/>
  <c r="R222" i="3"/>
  <c r="L222" i="3"/>
  <c r="P221" i="3"/>
  <c r="R221" i="3"/>
  <c r="L221" i="3"/>
  <c r="M221" i="3"/>
  <c r="O221" i="3"/>
  <c r="S221" i="3" s="1"/>
  <c r="R211" i="3"/>
  <c r="O211" i="3"/>
  <c r="S211" i="3" s="1"/>
  <c r="L211" i="3"/>
  <c r="P211" i="3"/>
  <c r="M211" i="3"/>
  <c r="R210" i="3"/>
  <c r="P210" i="3"/>
  <c r="L210" i="3"/>
  <c r="O210" i="3"/>
  <c r="S210" i="3" s="1"/>
  <c r="M210" i="3"/>
  <c r="P208" i="3"/>
  <c r="M208" i="3"/>
  <c r="O208" i="3"/>
  <c r="S208" i="3" s="1"/>
  <c r="L208" i="3"/>
  <c r="R208" i="3"/>
  <c r="P207" i="3"/>
  <c r="L207" i="3"/>
  <c r="R207" i="3"/>
  <c r="O207" i="3"/>
  <c r="S207" i="3" s="1"/>
  <c r="M207" i="3"/>
  <c r="P206" i="3"/>
  <c r="M206" i="3"/>
  <c r="R206" i="3"/>
  <c r="O206" i="3"/>
  <c r="S206" i="3" s="1"/>
  <c r="L206" i="3"/>
  <c r="M203" i="3"/>
  <c r="R203" i="3"/>
  <c r="O203" i="3"/>
  <c r="S203" i="3" s="1"/>
  <c r="L203" i="3"/>
  <c r="E203" i="4"/>
  <c r="P203" i="3"/>
  <c r="L219" i="3"/>
  <c r="P219" i="3"/>
  <c r="R219" i="3"/>
  <c r="M219" i="3"/>
  <c r="O219" i="3"/>
  <c r="S219" i="3" s="1"/>
  <c r="M77" i="3"/>
  <c r="O77" i="3"/>
  <c r="S77" i="3" s="1"/>
  <c r="E77" i="4"/>
  <c r="L77" i="3"/>
  <c r="R77" i="3"/>
  <c r="P77" i="3"/>
  <c r="R209" i="3"/>
  <c r="P209" i="3"/>
  <c r="L209" i="3"/>
  <c r="O209" i="3"/>
  <c r="S209" i="3" s="1"/>
  <c r="M209" i="3"/>
  <c r="L76" i="3"/>
  <c r="E76" i="4"/>
  <c r="P76" i="3"/>
  <c r="M76" i="3"/>
  <c r="O76" i="3"/>
  <c r="S76" i="3" s="1"/>
  <c r="R76" i="3"/>
  <c r="P75" i="3"/>
  <c r="E75" i="4"/>
  <c r="O75" i="3"/>
  <c r="S75" i="3" s="1"/>
  <c r="L75" i="3"/>
  <c r="R75" i="3"/>
  <c r="M75" i="3"/>
  <c r="E145" i="4"/>
  <c r="R145" i="3"/>
  <c r="P145" i="3"/>
  <c r="O145" i="3"/>
  <c r="S145" i="3" s="1"/>
  <c r="M145" i="3"/>
  <c r="L145" i="3"/>
  <c r="E144" i="4"/>
  <c r="R144" i="3"/>
  <c r="P144" i="3"/>
  <c r="O144" i="3"/>
  <c r="S144" i="3" s="1"/>
  <c r="M144" i="3"/>
  <c r="L144" i="3"/>
  <c r="E143" i="4"/>
  <c r="R143" i="3"/>
  <c r="P143" i="3"/>
  <c r="O143" i="3"/>
  <c r="S143" i="3" s="1"/>
  <c r="M143" i="3"/>
  <c r="L143" i="3"/>
  <c r="O73" i="3"/>
  <c r="S73" i="3" s="1"/>
  <c r="R73" i="3"/>
  <c r="P73" i="3"/>
  <c r="M73" i="3"/>
  <c r="L73" i="3"/>
  <c r="E73" i="4"/>
  <c r="E200" i="4"/>
  <c r="O200" i="3"/>
  <c r="S200" i="3" s="1"/>
  <c r="L200" i="3"/>
  <c r="R200" i="3"/>
  <c r="P200" i="3"/>
  <c r="M200" i="3"/>
  <c r="E138" i="4"/>
  <c r="R138" i="3"/>
  <c r="P138" i="3"/>
  <c r="O138" i="3"/>
  <c r="S138" i="3" s="1"/>
  <c r="M138" i="3"/>
  <c r="L138" i="3"/>
  <c r="E137" i="4"/>
  <c r="R137" i="3"/>
  <c r="P137" i="3"/>
  <c r="O137" i="3"/>
  <c r="S137" i="3" s="1"/>
  <c r="M137" i="3"/>
  <c r="L137" i="3"/>
  <c r="E136" i="4"/>
  <c r="R136" i="3"/>
  <c r="P136" i="3"/>
  <c r="O136" i="3"/>
  <c r="S136" i="3" s="1"/>
  <c r="M136" i="3"/>
  <c r="L136" i="3"/>
  <c r="E58" i="4"/>
  <c r="R58" i="3"/>
  <c r="P58" i="3"/>
  <c r="O58" i="3"/>
  <c r="S58" i="3" s="1"/>
  <c r="M58" i="3"/>
  <c r="L58" i="3"/>
  <c r="R226" i="3"/>
  <c r="P226" i="3"/>
  <c r="O226" i="3"/>
  <c r="S226" i="3" s="1"/>
  <c r="M226" i="3"/>
  <c r="L226" i="3"/>
  <c r="E55" i="4"/>
  <c r="R55" i="3"/>
  <c r="P55" i="3"/>
  <c r="O55" i="3"/>
  <c r="S55" i="3" s="1"/>
  <c r="M55" i="3"/>
  <c r="L55" i="3"/>
  <c r="L85" i="3"/>
  <c r="M85" i="3"/>
  <c r="O85" i="3"/>
  <c r="S85" i="3" s="1"/>
  <c r="P85" i="3"/>
  <c r="R85" i="3"/>
  <c r="E85" i="4"/>
  <c r="L220" i="3"/>
  <c r="O220" i="3"/>
  <c r="S220" i="3" s="1"/>
  <c r="P220" i="3"/>
  <c r="R220" i="3"/>
  <c r="M220" i="3"/>
  <c r="L88" i="3"/>
  <c r="M88" i="3"/>
  <c r="O88" i="3"/>
  <c r="S88" i="3" s="1"/>
  <c r="P88" i="3"/>
  <c r="R88" i="3"/>
  <c r="E88" i="4"/>
  <c r="L265" i="3"/>
  <c r="P265" i="3"/>
  <c r="R265" i="3"/>
  <c r="O265" i="3"/>
  <c r="S265" i="3" s="1"/>
  <c r="M265" i="3"/>
  <c r="E45" i="4"/>
  <c r="R45" i="3"/>
  <c r="P45" i="3"/>
  <c r="O45" i="3"/>
  <c r="S45" i="3" s="1"/>
  <c r="M45" i="3"/>
  <c r="L45" i="3"/>
  <c r="M218" i="3"/>
  <c r="P218" i="3"/>
  <c r="R218" i="3"/>
  <c r="L218" i="3"/>
  <c r="O218" i="3"/>
  <c r="S218" i="3" s="1"/>
  <c r="L87" i="3"/>
  <c r="M87" i="3"/>
  <c r="O87" i="3"/>
  <c r="S87" i="3" s="1"/>
  <c r="P87" i="3"/>
  <c r="R87" i="3"/>
  <c r="E87" i="4"/>
  <c r="L86" i="3"/>
  <c r="M86" i="3"/>
  <c r="O86" i="3"/>
  <c r="S86" i="3" s="1"/>
  <c r="P86" i="3"/>
  <c r="R86" i="3"/>
  <c r="E86" i="4"/>
  <c r="M198" i="3"/>
  <c r="P198" i="3"/>
  <c r="R198" i="3"/>
  <c r="E198" i="4"/>
  <c r="L198" i="3"/>
  <c r="O198" i="3"/>
  <c r="S198" i="3" s="1"/>
  <c r="E42" i="4"/>
  <c r="R42" i="3"/>
  <c r="P42" i="3"/>
  <c r="O42" i="3"/>
  <c r="S42" i="3" s="1"/>
  <c r="M42" i="3"/>
  <c r="L42" i="3"/>
  <c r="R74" i="3"/>
  <c r="L74" i="3"/>
  <c r="P74" i="3"/>
  <c r="M74" i="3"/>
  <c r="O74" i="3"/>
  <c r="S74" i="3" s="1"/>
  <c r="E74" i="4"/>
  <c r="M264" i="3"/>
  <c r="O264" i="3"/>
  <c r="S264" i="3" s="1"/>
  <c r="L264" i="3"/>
  <c r="P264" i="3"/>
  <c r="R264" i="3"/>
  <c r="R299" i="3"/>
  <c r="P299" i="3"/>
  <c r="O299" i="3"/>
  <c r="M299" i="3"/>
  <c r="L299" i="3"/>
  <c r="E96" i="4"/>
  <c r="R96" i="3"/>
  <c r="P96" i="3"/>
  <c r="O96" i="3"/>
  <c r="S96" i="3" s="1"/>
  <c r="M96" i="3"/>
  <c r="L96" i="3"/>
  <c r="E57" i="4"/>
  <c r="R57" i="3"/>
  <c r="P57" i="3"/>
  <c r="O57" i="3"/>
  <c r="S57" i="3" s="1"/>
  <c r="M57" i="3"/>
  <c r="L57" i="3"/>
  <c r="E62" i="4"/>
  <c r="R62" i="3"/>
  <c r="P62" i="3"/>
  <c r="O62" i="3"/>
  <c r="S62" i="3" s="1"/>
  <c r="M62" i="3"/>
  <c r="L62" i="3"/>
  <c r="M223" i="3"/>
  <c r="O223" i="3"/>
  <c r="S223" i="3" s="1"/>
  <c r="L223" i="3"/>
  <c r="P223" i="3"/>
  <c r="R223" i="3"/>
  <c r="E44" i="4"/>
  <c r="R44" i="3"/>
  <c r="P44" i="3"/>
  <c r="O44" i="3"/>
  <c r="S44" i="3" s="1"/>
  <c r="M44" i="3"/>
  <c r="L44" i="3"/>
  <c r="L82" i="3"/>
  <c r="M82" i="3"/>
  <c r="O82" i="3"/>
  <c r="S82" i="3" s="1"/>
  <c r="P82" i="3"/>
  <c r="E82" i="4"/>
  <c r="R82" i="3"/>
  <c r="E59" i="4"/>
  <c r="R59" i="3"/>
  <c r="P59" i="3"/>
  <c r="O59" i="3"/>
  <c r="S59" i="3" s="1"/>
  <c r="M59" i="3"/>
  <c r="L59" i="3"/>
  <c r="M261" i="3"/>
  <c r="P261" i="3"/>
  <c r="R261" i="3"/>
  <c r="L261" i="3"/>
  <c r="O261" i="3"/>
  <c r="S261" i="3" s="1"/>
  <c r="R300" i="3"/>
  <c r="P300" i="3"/>
  <c r="O300" i="3"/>
  <c r="M300" i="3"/>
  <c r="L300" i="3"/>
  <c r="P79" i="3"/>
  <c r="L79" i="3"/>
  <c r="M79" i="3"/>
  <c r="O79" i="3"/>
  <c r="S79" i="3" s="1"/>
  <c r="R79" i="3"/>
  <c r="E79" i="4"/>
  <c r="L225" i="3"/>
  <c r="M225" i="3"/>
  <c r="O225" i="3"/>
  <c r="S225" i="3" s="1"/>
  <c r="P225" i="3"/>
  <c r="R225" i="3"/>
  <c r="L224" i="3"/>
  <c r="M224" i="3"/>
  <c r="O224" i="3"/>
  <c r="S224" i="3" s="1"/>
  <c r="P224" i="3"/>
  <c r="R224" i="3"/>
  <c r="R80" i="3"/>
  <c r="M80" i="3"/>
  <c r="E80" i="4"/>
  <c r="L80" i="3"/>
  <c r="P80" i="3"/>
  <c r="O80" i="3"/>
  <c r="S80" i="3" s="1"/>
  <c r="L83" i="3"/>
  <c r="M83" i="3"/>
  <c r="O83" i="3"/>
  <c r="S83" i="3" s="1"/>
  <c r="P83" i="3"/>
  <c r="R83" i="3"/>
  <c r="E83" i="4"/>
  <c r="R72" i="3"/>
  <c r="M72" i="3"/>
  <c r="E72" i="4"/>
  <c r="O72" i="3"/>
  <c r="S72" i="3" s="1"/>
  <c r="L72" i="3"/>
  <c r="P72" i="3"/>
  <c r="L182" i="3"/>
  <c r="M182" i="3"/>
  <c r="O182" i="3"/>
  <c r="S182" i="3" s="1"/>
  <c r="P182" i="3"/>
  <c r="R182" i="3"/>
  <c r="E182" i="4"/>
  <c r="L174" i="3"/>
  <c r="M174" i="3"/>
  <c r="O174" i="3"/>
  <c r="S174" i="3" s="1"/>
  <c r="P174" i="3"/>
  <c r="R174" i="3"/>
  <c r="E174" i="4"/>
  <c r="L5" i="3"/>
  <c r="M5" i="3"/>
  <c r="O5" i="3"/>
  <c r="S5" i="3" s="1"/>
  <c r="P5" i="3"/>
  <c r="R5" i="3"/>
  <c r="E5" i="4"/>
  <c r="L234" i="3"/>
  <c r="M234" i="3"/>
  <c r="O234" i="3"/>
  <c r="S234" i="3" s="1"/>
  <c r="P234" i="3"/>
  <c r="R234" i="3"/>
  <c r="L28" i="3"/>
  <c r="M28" i="3"/>
  <c r="O28" i="3"/>
  <c r="S28" i="3" s="1"/>
  <c r="P28" i="3"/>
  <c r="R28" i="3"/>
  <c r="E28" i="4"/>
  <c r="L214" i="3"/>
  <c r="M214" i="3"/>
  <c r="O214" i="3"/>
  <c r="S214" i="3" s="1"/>
  <c r="P214" i="3"/>
  <c r="R214" i="3"/>
  <c r="L228" i="3"/>
  <c r="M228" i="3"/>
  <c r="O228" i="3"/>
  <c r="S228" i="3" s="1"/>
  <c r="P228" i="3"/>
  <c r="R228" i="3"/>
  <c r="L266" i="3"/>
  <c r="P266" i="3"/>
  <c r="M266" i="3"/>
  <c r="O266" i="3"/>
  <c r="S266" i="3" s="1"/>
  <c r="R266" i="3"/>
  <c r="L235" i="3"/>
  <c r="M235" i="3"/>
  <c r="O235" i="3"/>
  <c r="S235" i="3" s="1"/>
  <c r="P235" i="3"/>
  <c r="R235" i="3"/>
  <c r="L227" i="3"/>
  <c r="M227" i="3"/>
  <c r="O227" i="3"/>
  <c r="S227" i="3" s="1"/>
  <c r="P227" i="3"/>
  <c r="R227" i="3"/>
  <c r="R257" i="3"/>
  <c r="P257" i="3"/>
  <c r="O257" i="3"/>
  <c r="S257" i="3" s="1"/>
  <c r="M257" i="3"/>
  <c r="L257" i="3"/>
  <c r="Q18" i="3" l="1"/>
  <c r="H18" i="4" s="1"/>
  <c r="S18" i="3"/>
  <c r="Q26" i="3"/>
  <c r="H26" i="4" s="1"/>
  <c r="S26" i="3"/>
  <c r="Q121" i="3"/>
  <c r="H121" i="4" s="1"/>
  <c r="S121" i="3"/>
  <c r="Q217" i="3"/>
  <c r="Q81" i="3"/>
  <c r="H81" i="4" s="1"/>
  <c r="B81" i="4"/>
  <c r="Q202" i="3"/>
  <c r="H202" i="4" s="1"/>
  <c r="B202" i="4"/>
  <c r="B180" i="4"/>
  <c r="B90" i="4"/>
  <c r="B124" i="4"/>
  <c r="N201" i="3"/>
  <c r="F201" i="4" s="1"/>
  <c r="Q150" i="3"/>
  <c r="H150" i="4" s="1"/>
  <c r="B150" i="4"/>
  <c r="N22" i="3"/>
  <c r="F22" i="4" s="1"/>
  <c r="Q90" i="3"/>
  <c r="H90" i="4" s="1"/>
  <c r="Q180" i="3"/>
  <c r="H180" i="4" s="1"/>
  <c r="N163" i="3"/>
  <c r="F163" i="4" s="1"/>
  <c r="Q139" i="3"/>
  <c r="H139" i="4" s="1"/>
  <c r="B139" i="4"/>
  <c r="Q301" i="3"/>
  <c r="S301" i="3"/>
  <c r="Q199" i="3"/>
  <c r="H199" i="4" s="1"/>
  <c r="B199" i="4"/>
  <c r="Q201" i="3"/>
  <c r="H201" i="4" s="1"/>
  <c r="B201" i="4"/>
  <c r="S287" i="3"/>
  <c r="Q287" i="3"/>
  <c r="Q158" i="3"/>
  <c r="H158" i="4" s="1"/>
  <c r="B158" i="4"/>
  <c r="B164" i="4"/>
  <c r="Q164" i="3"/>
  <c r="H164" i="4" s="1"/>
  <c r="Q124" i="3"/>
  <c r="H124" i="4" s="1"/>
  <c r="N157" i="3"/>
  <c r="F157" i="4" s="1"/>
  <c r="Q274" i="3"/>
  <c r="S274" i="3"/>
  <c r="N175" i="3"/>
  <c r="F175" i="4" s="1"/>
  <c r="Q176" i="3"/>
  <c r="H176" i="4" s="1"/>
  <c r="B176" i="4"/>
  <c r="B157" i="4"/>
  <c r="Q157" i="3"/>
  <c r="H157" i="4" s="1"/>
  <c r="Q9" i="3"/>
  <c r="H9" i="4" s="1"/>
  <c r="B9" i="4"/>
  <c r="Q60" i="3"/>
  <c r="H60" i="4" s="1"/>
  <c r="B60" i="4"/>
  <c r="Q263" i="3"/>
  <c r="N139" i="3"/>
  <c r="F139" i="4" s="1"/>
  <c r="N198" i="3"/>
  <c r="F198" i="4" s="1"/>
  <c r="B142" i="4"/>
  <c r="N180" i="3"/>
  <c r="F180" i="4" s="1"/>
  <c r="N89" i="3"/>
  <c r="F89" i="4" s="1"/>
  <c r="N186" i="3"/>
  <c r="F186" i="4" s="1"/>
  <c r="N26" i="3"/>
  <c r="F26" i="4" s="1"/>
  <c r="N142" i="3"/>
  <c r="F142" i="4" s="1"/>
  <c r="N83" i="3"/>
  <c r="F83" i="4" s="1"/>
  <c r="N135" i="3"/>
  <c r="F135" i="4" s="1"/>
  <c r="Q215" i="3"/>
  <c r="Q142" i="3"/>
  <c r="H142" i="4" s="1"/>
  <c r="Q236" i="3"/>
  <c r="Q230" i="3"/>
  <c r="N202" i="3"/>
  <c r="F202" i="4" s="1"/>
  <c r="N54" i="3"/>
  <c r="F54" i="4" s="1"/>
  <c r="N43" i="3"/>
  <c r="F43" i="4" s="1"/>
  <c r="B18" i="4"/>
  <c r="Q194" i="3"/>
  <c r="H194" i="4" s="1"/>
  <c r="B194" i="4"/>
  <c r="Q190" i="3"/>
  <c r="H190" i="4" s="1"/>
  <c r="B190" i="4"/>
  <c r="Q70" i="3"/>
  <c r="H70" i="4" s="1"/>
  <c r="B70" i="4"/>
  <c r="Q231" i="3"/>
  <c r="Q7" i="3"/>
  <c r="H7" i="4" s="1"/>
  <c r="B7" i="4"/>
  <c r="Q8" i="3"/>
  <c r="H8" i="4" s="1"/>
  <c r="B8" i="4"/>
  <c r="N7" i="3"/>
  <c r="F7" i="4" s="1"/>
  <c r="N8" i="3"/>
  <c r="F8" i="4" s="1"/>
  <c r="Q232" i="3"/>
  <c r="Q22" i="3"/>
  <c r="H22" i="4" s="1"/>
  <c r="B22" i="4"/>
  <c r="Q27" i="3"/>
  <c r="H27" i="4" s="1"/>
  <c r="B27" i="4"/>
  <c r="Q16" i="3"/>
  <c r="H16" i="4" s="1"/>
  <c r="B16" i="4"/>
  <c r="B120" i="4"/>
  <c r="Q120" i="3"/>
  <c r="H120" i="4" s="1"/>
  <c r="Q23" i="3"/>
  <c r="H23" i="4" s="1"/>
  <c r="B23" i="4"/>
  <c r="Q91" i="3"/>
  <c r="H91" i="4" s="1"/>
  <c r="B91" i="4"/>
  <c r="N90" i="3"/>
  <c r="F90" i="4" s="1"/>
  <c r="N91" i="3"/>
  <c r="F91" i="4" s="1"/>
  <c r="Q101" i="3"/>
  <c r="H101" i="4" s="1"/>
  <c r="B101" i="4"/>
  <c r="Q114" i="3"/>
  <c r="H114" i="4" s="1"/>
  <c r="B114" i="4"/>
  <c r="Q122" i="3"/>
  <c r="H122" i="4" s="1"/>
  <c r="B122" i="4"/>
  <c r="B92" i="4"/>
  <c r="Q92" i="3"/>
  <c r="H92" i="4" s="1"/>
  <c r="Q242" i="3"/>
  <c r="Q250" i="3"/>
  <c r="Q118" i="3"/>
  <c r="H118" i="4" s="1"/>
  <c r="B118" i="4"/>
  <c r="Q181" i="3"/>
  <c r="H181" i="4" s="1"/>
  <c r="B181" i="4"/>
  <c r="Q12" i="3"/>
  <c r="H12" i="4" s="1"/>
  <c r="B12" i="4"/>
  <c r="Q296" i="3"/>
  <c r="S296" i="3"/>
  <c r="B163" i="4"/>
  <c r="Q163" i="3"/>
  <c r="H163" i="4" s="1"/>
  <c r="B135" i="4"/>
  <c r="Q135" i="3"/>
  <c r="H135" i="4" s="1"/>
  <c r="Q43" i="3"/>
  <c r="H43" i="4" s="1"/>
  <c r="B43" i="4"/>
  <c r="Q89" i="3"/>
  <c r="H89" i="4" s="1"/>
  <c r="B89" i="4"/>
  <c r="Q140" i="3"/>
  <c r="H140" i="4" s="1"/>
  <c r="B140" i="4"/>
  <c r="Q141" i="3"/>
  <c r="H141" i="4" s="1"/>
  <c r="B141" i="4"/>
  <c r="N140" i="3"/>
  <c r="F140" i="4" s="1"/>
  <c r="N141" i="3"/>
  <c r="F141" i="4" s="1"/>
  <c r="Q204" i="3"/>
  <c r="H204" i="4" s="1"/>
  <c r="B204" i="4"/>
  <c r="B172" i="4"/>
  <c r="Q172" i="3"/>
  <c r="H172" i="4" s="1"/>
  <c r="N79" i="3"/>
  <c r="F79" i="4" s="1"/>
  <c r="N80" i="3"/>
  <c r="F80" i="4" s="1"/>
  <c r="N203" i="3"/>
  <c r="F203" i="4" s="1"/>
  <c r="N71" i="3"/>
  <c r="F71" i="4" s="1"/>
  <c r="Q84" i="3"/>
  <c r="H84" i="4" s="1"/>
  <c r="B84" i="4"/>
  <c r="Q205" i="3"/>
  <c r="N187" i="3"/>
  <c r="F187" i="4" s="1"/>
  <c r="N69" i="3"/>
  <c r="F69" i="4" s="1"/>
  <c r="N149" i="3"/>
  <c r="F149" i="4" s="1"/>
  <c r="N11" i="3"/>
  <c r="F11" i="4" s="1"/>
  <c r="N100" i="3"/>
  <c r="F100" i="4" s="1"/>
  <c r="N117" i="3"/>
  <c r="F117" i="4" s="1"/>
  <c r="N143" i="3"/>
  <c r="F143" i="4" s="1"/>
  <c r="N119" i="3"/>
  <c r="F119" i="4" s="1"/>
  <c r="B26" i="4"/>
  <c r="Q193" i="3"/>
  <c r="H193" i="4" s="1"/>
  <c r="B193" i="4"/>
  <c r="Q186" i="3"/>
  <c r="H186" i="4" s="1"/>
  <c r="B186" i="4"/>
  <c r="Q24" i="3"/>
  <c r="H24" i="4" s="1"/>
  <c r="B24" i="4"/>
  <c r="Q233" i="3"/>
  <c r="Q187" i="3"/>
  <c r="H187" i="4" s="1"/>
  <c r="B187" i="4"/>
  <c r="B195" i="4"/>
  <c r="Q195" i="3"/>
  <c r="H195" i="4" s="1"/>
  <c r="B189" i="4"/>
  <c r="Q189" i="3"/>
  <c r="H189" i="4" s="1"/>
  <c r="Q229" i="3"/>
  <c r="Q25" i="3"/>
  <c r="H25" i="4" s="1"/>
  <c r="B25" i="4"/>
  <c r="Q29" i="3"/>
  <c r="H29" i="4" s="1"/>
  <c r="B29" i="4"/>
  <c r="Q69" i="3"/>
  <c r="H69" i="4" s="1"/>
  <c r="B69" i="4"/>
  <c r="B192" i="4"/>
  <c r="Q192" i="3"/>
  <c r="H192" i="4" s="1"/>
  <c r="Q3" i="3"/>
  <c r="H3" i="4" s="1"/>
  <c r="B3" i="4"/>
  <c r="Q14" i="3"/>
  <c r="H14" i="4" s="1"/>
  <c r="B14" i="4"/>
  <c r="N171" i="3"/>
  <c r="F171" i="4" s="1"/>
  <c r="N146" i="3"/>
  <c r="F146" i="4" s="1"/>
  <c r="N33" i="3"/>
  <c r="F33" i="4" s="1"/>
  <c r="N37" i="3"/>
  <c r="F37" i="4" s="1"/>
  <c r="N196" i="3"/>
  <c r="F196" i="4" s="1"/>
  <c r="N154" i="3"/>
  <c r="F154" i="4" s="1"/>
  <c r="N156" i="3"/>
  <c r="F156" i="4" s="1"/>
  <c r="N152" i="3"/>
  <c r="F152" i="4" s="1"/>
  <c r="N60" i="3"/>
  <c r="F60" i="4" s="1"/>
  <c r="N88" i="3"/>
  <c r="F88" i="4" s="1"/>
  <c r="N56" i="3"/>
  <c r="F56" i="4" s="1"/>
  <c r="N61" i="3"/>
  <c r="F61" i="4" s="1"/>
  <c r="N81" i="3"/>
  <c r="F81" i="4" s="1"/>
  <c r="N123" i="3"/>
  <c r="F123" i="4" s="1"/>
  <c r="N113" i="3"/>
  <c r="F113" i="4" s="1"/>
  <c r="N111" i="3"/>
  <c r="F111" i="4" s="1"/>
  <c r="N105" i="3"/>
  <c r="F105" i="4" s="1"/>
  <c r="N194" i="3"/>
  <c r="F194" i="4" s="1"/>
  <c r="N23" i="3"/>
  <c r="F23" i="4" s="1"/>
  <c r="N192" i="3"/>
  <c r="F192" i="4" s="1"/>
  <c r="N193" i="3"/>
  <c r="F193" i="4" s="1"/>
  <c r="N189" i="3"/>
  <c r="F189" i="4" s="1"/>
  <c r="N188" i="3"/>
  <c r="F188" i="4" s="1"/>
  <c r="N25" i="3"/>
  <c r="F25" i="4" s="1"/>
  <c r="N24" i="3"/>
  <c r="F24" i="4" s="1"/>
  <c r="Q295" i="3"/>
  <c r="S295" i="3"/>
  <c r="Q284" i="3"/>
  <c r="S284" i="3"/>
  <c r="Q188" i="3"/>
  <c r="H188" i="4" s="1"/>
  <c r="B188" i="4"/>
  <c r="N121" i="3"/>
  <c r="F121" i="4" s="1"/>
  <c r="N120" i="3"/>
  <c r="F120" i="4" s="1"/>
  <c r="B121" i="4"/>
  <c r="Q30" i="3"/>
  <c r="H30" i="4" s="1"/>
  <c r="B30" i="4"/>
  <c r="Q165" i="3"/>
  <c r="H165" i="4" s="1"/>
  <c r="B165" i="4"/>
  <c r="Q239" i="3"/>
  <c r="Q240" i="3"/>
  <c r="Q166" i="3"/>
  <c r="H166" i="4" s="1"/>
  <c r="B166" i="4"/>
  <c r="Q167" i="3"/>
  <c r="H167" i="4" s="1"/>
  <c r="B167" i="4"/>
  <c r="Q95" i="3"/>
  <c r="H95" i="4" s="1"/>
  <c r="B95" i="4"/>
  <c r="Q256" i="3"/>
  <c r="Q260" i="3"/>
  <c r="Q66" i="3"/>
  <c r="H66" i="4" s="1"/>
  <c r="B66" i="4"/>
  <c r="Q65" i="3"/>
  <c r="H65" i="4" s="1"/>
  <c r="B65" i="4"/>
  <c r="Q64" i="3"/>
  <c r="H64" i="4" s="1"/>
  <c r="B64" i="4"/>
  <c r="Q63" i="3"/>
  <c r="H63" i="4" s="1"/>
  <c r="B63" i="4"/>
  <c r="N68" i="3"/>
  <c r="F68" i="4" s="1"/>
  <c r="N67" i="3"/>
  <c r="F67" i="4" s="1"/>
  <c r="Q68" i="3"/>
  <c r="H68" i="4" s="1"/>
  <c r="B68" i="4"/>
  <c r="Q297" i="3"/>
  <c r="S297" i="3"/>
  <c r="Q175" i="3"/>
  <c r="H175" i="4" s="1"/>
  <c r="B175" i="4"/>
  <c r="N216" i="3"/>
  <c r="N300" i="3"/>
  <c r="N214" i="3"/>
  <c r="N262" i="3"/>
  <c r="N204" i="3"/>
  <c r="F204" i="4" s="1"/>
  <c r="N283" i="3"/>
  <c r="N273" i="3"/>
  <c r="N249" i="3"/>
  <c r="N241" i="3"/>
  <c r="N286" i="3"/>
  <c r="N295" i="3"/>
  <c r="N294" i="3"/>
  <c r="N230" i="3"/>
  <c r="N228" i="3"/>
  <c r="N2" i="3"/>
  <c r="F2" i="4" s="1"/>
  <c r="N231" i="3"/>
  <c r="N232" i="3"/>
  <c r="N229" i="3"/>
  <c r="N235" i="3"/>
  <c r="N301" i="3"/>
  <c r="Q2" i="3"/>
  <c r="H2" i="4" s="1"/>
  <c r="B2" i="4"/>
  <c r="Q197" i="3"/>
  <c r="H197" i="4" s="1"/>
  <c r="B197" i="4"/>
  <c r="Q196" i="3"/>
  <c r="H196" i="4" s="1"/>
  <c r="B196" i="4"/>
  <c r="Q169" i="3"/>
  <c r="H169" i="4" s="1"/>
  <c r="B169" i="4"/>
  <c r="Q160" i="3"/>
  <c r="H160" i="4" s="1"/>
  <c r="B160" i="4"/>
  <c r="Q161" i="3"/>
  <c r="H161" i="4" s="1"/>
  <c r="B161" i="4"/>
  <c r="Q243" i="3"/>
  <c r="Q170" i="3"/>
  <c r="H170" i="4" s="1"/>
  <c r="B170" i="4"/>
  <c r="Q162" i="3"/>
  <c r="H162" i="4" s="1"/>
  <c r="B162" i="4"/>
  <c r="Q159" i="3"/>
  <c r="H159" i="4" s="1"/>
  <c r="B159" i="4"/>
  <c r="Q244" i="3"/>
  <c r="Q279" i="3"/>
  <c r="S279" i="3"/>
  <c r="Q245" i="3"/>
  <c r="Q131" i="3"/>
  <c r="H131" i="4" s="1"/>
  <c r="B131" i="4"/>
  <c r="Q280" i="3"/>
  <c r="S280" i="3"/>
  <c r="Q129" i="3"/>
  <c r="H129" i="4" s="1"/>
  <c r="B129" i="4"/>
  <c r="Q128" i="3"/>
  <c r="H128" i="4" s="1"/>
  <c r="B128" i="4"/>
  <c r="Q127" i="3"/>
  <c r="H127" i="4" s="1"/>
  <c r="B127" i="4"/>
  <c r="Q126" i="3"/>
  <c r="H126" i="4" s="1"/>
  <c r="B126" i="4"/>
  <c r="Q247" i="3"/>
  <c r="Q281" i="3"/>
  <c r="S281" i="3"/>
  <c r="Q125" i="3"/>
  <c r="H125" i="4" s="1"/>
  <c r="B125" i="4"/>
  <c r="N13" i="3"/>
  <c r="F13" i="4" s="1"/>
  <c r="N12" i="3"/>
  <c r="F12" i="4" s="1"/>
  <c r="Q13" i="3"/>
  <c r="H13" i="4" s="1"/>
  <c r="B13" i="4"/>
  <c r="Q154" i="3"/>
  <c r="H154" i="4" s="1"/>
  <c r="B154" i="4"/>
  <c r="Q153" i="3"/>
  <c r="H153" i="4" s="1"/>
  <c r="B153" i="4"/>
  <c r="N134" i="3"/>
  <c r="F134" i="4" s="1"/>
  <c r="N133" i="3"/>
  <c r="F133" i="4" s="1"/>
  <c r="Q134" i="3"/>
  <c r="H134" i="4" s="1"/>
  <c r="B134" i="4"/>
  <c r="Q133" i="3"/>
  <c r="H133" i="4" s="1"/>
  <c r="B133" i="4"/>
  <c r="Q132" i="3"/>
  <c r="H132" i="4" s="1"/>
  <c r="B132" i="4"/>
  <c r="Q130" i="3"/>
  <c r="H130" i="4" s="1"/>
  <c r="B130" i="4"/>
  <c r="Q246" i="3"/>
  <c r="Q271" i="3"/>
  <c r="Q273" i="3"/>
  <c r="S273" i="3"/>
  <c r="Q123" i="3"/>
  <c r="H123" i="4" s="1"/>
  <c r="B123" i="4"/>
  <c r="Q155" i="3"/>
  <c r="H155" i="4" s="1"/>
  <c r="B155" i="4"/>
  <c r="Q269" i="3"/>
  <c r="Q113" i="3"/>
  <c r="H113" i="4" s="1"/>
  <c r="B113" i="4"/>
  <c r="Q111" i="3"/>
  <c r="H111" i="4" s="1"/>
  <c r="B111" i="4"/>
  <c r="Q110" i="3"/>
  <c r="H110" i="4" s="1"/>
  <c r="B110" i="4"/>
  <c r="Q272" i="3"/>
  <c r="S272" i="3"/>
  <c r="Q278" i="3"/>
  <c r="S278" i="3"/>
  <c r="Q252" i="3"/>
  <c r="Q285" i="3"/>
  <c r="S285" i="3"/>
  <c r="Q109" i="3"/>
  <c r="H109" i="4" s="1"/>
  <c r="B109" i="4"/>
  <c r="Q108" i="3"/>
  <c r="H108" i="4" s="1"/>
  <c r="B108" i="4"/>
  <c r="Q107" i="3"/>
  <c r="H107" i="4" s="1"/>
  <c r="B107" i="4"/>
  <c r="Q253" i="3"/>
  <c r="Q238" i="3"/>
  <c r="Q119" i="3"/>
  <c r="H119" i="4" s="1"/>
  <c r="B119" i="4"/>
  <c r="Q115" i="3"/>
  <c r="H115" i="4" s="1"/>
  <c r="B115" i="4"/>
  <c r="Q251" i="3"/>
  <c r="Q112" i="3"/>
  <c r="H112" i="4" s="1"/>
  <c r="B112" i="4"/>
  <c r="Q106" i="3"/>
  <c r="H106" i="4" s="1"/>
  <c r="B106" i="4"/>
  <c r="Q286" i="3"/>
  <c r="S286" i="3"/>
  <c r="Q105" i="3"/>
  <c r="H105" i="4" s="1"/>
  <c r="B105" i="4"/>
  <c r="Q104" i="3"/>
  <c r="H104" i="4" s="1"/>
  <c r="B104" i="4"/>
  <c r="Q254" i="3"/>
  <c r="Q103" i="3"/>
  <c r="H103" i="4" s="1"/>
  <c r="B103" i="4"/>
  <c r="Q152" i="3"/>
  <c r="H152" i="4" s="1"/>
  <c r="B152" i="4"/>
  <c r="Q102" i="3"/>
  <c r="H102" i="4" s="1"/>
  <c r="B102" i="4"/>
  <c r="Q291" i="3"/>
  <c r="S291" i="3"/>
  <c r="Q100" i="3"/>
  <c r="H100" i="4" s="1"/>
  <c r="B100" i="4"/>
  <c r="Q99" i="3"/>
  <c r="H99" i="4" s="1"/>
  <c r="B99" i="4"/>
  <c r="Q98" i="3"/>
  <c r="H98" i="4" s="1"/>
  <c r="B98" i="4"/>
  <c r="Q255" i="3"/>
  <c r="Q288" i="3"/>
  <c r="S288" i="3"/>
  <c r="Q97" i="3"/>
  <c r="H97" i="4" s="1"/>
  <c r="B97" i="4"/>
  <c r="N185" i="3"/>
  <c r="F185" i="4" s="1"/>
  <c r="N184" i="3"/>
  <c r="F184" i="4" s="1"/>
  <c r="Q185" i="3"/>
  <c r="H185" i="4" s="1"/>
  <c r="B185" i="4"/>
  <c r="Q184" i="3"/>
  <c r="H184" i="4" s="1"/>
  <c r="B184" i="4"/>
  <c r="Q94" i="3"/>
  <c r="H94" i="4" s="1"/>
  <c r="B94" i="4"/>
  <c r="Q289" i="3"/>
  <c r="S289" i="3"/>
  <c r="Q93" i="3"/>
  <c r="H93" i="4" s="1"/>
  <c r="B93" i="4"/>
  <c r="Q298" i="3"/>
  <c r="S298" i="3"/>
  <c r="Q275" i="3"/>
  <c r="S275" i="3"/>
  <c r="Q258" i="3"/>
  <c r="Q151" i="3"/>
  <c r="H151" i="4" s="1"/>
  <c r="B151" i="4"/>
  <c r="N191" i="3"/>
  <c r="F191" i="4" s="1"/>
  <c r="N190" i="3"/>
  <c r="F190" i="4" s="1"/>
  <c r="Q191" i="3"/>
  <c r="H191" i="4" s="1"/>
  <c r="B191" i="4"/>
  <c r="Q171" i="3"/>
  <c r="H171" i="4" s="1"/>
  <c r="B171" i="4"/>
  <c r="Q241" i="3"/>
  <c r="Q277" i="3"/>
  <c r="S277" i="3"/>
  <c r="Q248" i="3"/>
  <c r="Q282" i="3"/>
  <c r="S282" i="3"/>
  <c r="Q249" i="3"/>
  <c r="Q283" i="3"/>
  <c r="S283" i="3"/>
  <c r="Q116" i="3"/>
  <c r="H116" i="4" s="1"/>
  <c r="B116" i="4"/>
  <c r="N6" i="3"/>
  <c r="F6" i="4" s="1"/>
  <c r="N5" i="3"/>
  <c r="F5" i="4" s="1"/>
  <c r="Q6" i="3"/>
  <c r="H6" i="4" s="1"/>
  <c r="B6" i="4"/>
  <c r="Q148" i="3"/>
  <c r="H148" i="4" s="1"/>
  <c r="B148" i="4"/>
  <c r="Q146" i="3"/>
  <c r="H146" i="4" s="1"/>
  <c r="B146" i="4"/>
  <c r="Q10" i="3"/>
  <c r="H10" i="4" s="1"/>
  <c r="B10" i="4"/>
  <c r="Q183" i="3"/>
  <c r="H183" i="4" s="1"/>
  <c r="B183" i="4"/>
  <c r="Q71" i="3"/>
  <c r="H71" i="4" s="1"/>
  <c r="B71" i="4"/>
  <c r="N15" i="3"/>
  <c r="F15" i="4" s="1"/>
  <c r="N14" i="3"/>
  <c r="F14" i="4" s="1"/>
  <c r="Q15" i="3"/>
  <c r="H15" i="4" s="1"/>
  <c r="B15" i="4"/>
  <c r="N17" i="3"/>
  <c r="F17" i="4" s="1"/>
  <c r="N16" i="3"/>
  <c r="F16" i="4" s="1"/>
  <c r="Q17" i="3"/>
  <c r="H17" i="4" s="1"/>
  <c r="B17" i="4"/>
  <c r="Q19" i="3"/>
  <c r="H19" i="4" s="1"/>
  <c r="B19" i="4"/>
  <c r="Q20" i="3"/>
  <c r="H20" i="4" s="1"/>
  <c r="B20" i="4"/>
  <c r="N21" i="3"/>
  <c r="F21" i="4" s="1"/>
  <c r="N20" i="3"/>
  <c r="F20" i="4" s="1"/>
  <c r="Q21" i="3"/>
  <c r="H21" i="4" s="1"/>
  <c r="B21" i="4"/>
  <c r="Q31" i="3"/>
  <c r="H31" i="4" s="1"/>
  <c r="B31" i="4"/>
  <c r="Q270" i="3"/>
  <c r="Q149" i="3"/>
  <c r="H149" i="4" s="1"/>
  <c r="B149" i="4"/>
  <c r="Q39" i="3"/>
  <c r="H39" i="4" s="1"/>
  <c r="B39" i="4"/>
  <c r="Q32" i="3"/>
  <c r="H32" i="4" s="1"/>
  <c r="B32" i="4"/>
  <c r="Q36" i="3"/>
  <c r="H36" i="4" s="1"/>
  <c r="B36" i="4"/>
  <c r="Q168" i="3"/>
  <c r="H168" i="4" s="1"/>
  <c r="B168" i="4"/>
  <c r="Q33" i="3"/>
  <c r="H33" i="4" s="1"/>
  <c r="B33" i="4"/>
  <c r="Q34" i="3"/>
  <c r="H34" i="4" s="1"/>
  <c r="B34" i="4"/>
  <c r="Q37" i="3"/>
  <c r="H37" i="4" s="1"/>
  <c r="B37" i="4"/>
  <c r="Q38" i="3"/>
  <c r="H38" i="4" s="1"/>
  <c r="B38" i="4"/>
  <c r="Q40" i="3"/>
  <c r="H40" i="4" s="1"/>
  <c r="B40" i="4"/>
  <c r="Q41" i="3"/>
  <c r="H41" i="4" s="1"/>
  <c r="B41" i="4"/>
  <c r="Q11" i="3"/>
  <c r="H11" i="4" s="1"/>
  <c r="B11" i="4"/>
  <c r="Q259" i="3"/>
  <c r="Q294" i="3"/>
  <c r="S294" i="3"/>
  <c r="Q48" i="3"/>
  <c r="H48" i="4" s="1"/>
  <c r="B48" i="4"/>
  <c r="Q49" i="3"/>
  <c r="H49" i="4" s="1"/>
  <c r="B49" i="4"/>
  <c r="Q50" i="3"/>
  <c r="H50" i="4" s="1"/>
  <c r="B50" i="4"/>
  <c r="Q51" i="3"/>
  <c r="H51" i="4" s="1"/>
  <c r="B51" i="4"/>
  <c r="Q52" i="3"/>
  <c r="H52" i="4" s="1"/>
  <c r="B52" i="4"/>
  <c r="Q53" i="3"/>
  <c r="H53" i="4" s="1"/>
  <c r="B53" i="4"/>
  <c r="Q54" i="3"/>
  <c r="H54" i="4" s="1"/>
  <c r="B54" i="4"/>
  <c r="Q179" i="3"/>
  <c r="H179" i="4" s="1"/>
  <c r="B179" i="4"/>
  <c r="Q267" i="3"/>
  <c r="Q4" i="3"/>
  <c r="H4" i="4" s="1"/>
  <c r="B4" i="4"/>
  <c r="Q290" i="3"/>
  <c r="S290" i="3"/>
  <c r="Q35" i="3"/>
  <c r="H35" i="4" s="1"/>
  <c r="B35" i="4"/>
  <c r="Q47" i="3"/>
  <c r="H47" i="4" s="1"/>
  <c r="B47" i="4"/>
  <c r="Q178" i="3"/>
  <c r="H178" i="4" s="1"/>
  <c r="B178" i="4"/>
  <c r="Q173" i="3"/>
  <c r="H173" i="4" s="1"/>
  <c r="B173" i="4"/>
  <c r="Q156" i="3"/>
  <c r="H156" i="4" s="1"/>
  <c r="B156" i="4"/>
  <c r="Q276" i="3"/>
  <c r="S276" i="3"/>
  <c r="Q46" i="3"/>
  <c r="H46" i="4" s="1"/>
  <c r="B46" i="4"/>
  <c r="Q177" i="3"/>
  <c r="H177" i="4" s="1"/>
  <c r="B177" i="4"/>
  <c r="Q237" i="3"/>
  <c r="Q147" i="3"/>
  <c r="H147" i="4" s="1"/>
  <c r="B147" i="4"/>
  <c r="Q67" i="3"/>
  <c r="H67" i="4" s="1"/>
  <c r="B67" i="4"/>
  <c r="Q117" i="3"/>
  <c r="H117" i="4" s="1"/>
  <c r="B117" i="4"/>
  <c r="Q293" i="3"/>
  <c r="S293" i="3"/>
  <c r="Q292" i="3"/>
  <c r="S292" i="3"/>
  <c r="Q216" i="3"/>
  <c r="Q213" i="3"/>
  <c r="Q212" i="3"/>
  <c r="Q78" i="3"/>
  <c r="H78" i="4" s="1"/>
  <c r="B78" i="4"/>
  <c r="Q268" i="3"/>
  <c r="Q262" i="3"/>
  <c r="Q56" i="3"/>
  <c r="H56" i="4" s="1"/>
  <c r="B56" i="4"/>
  <c r="Q61" i="3"/>
  <c r="H61" i="4" s="1"/>
  <c r="B61" i="4"/>
  <c r="Q222" i="3"/>
  <c r="Q221" i="3"/>
  <c r="Q211" i="3"/>
  <c r="Q210" i="3"/>
  <c r="Q208" i="3"/>
  <c r="Q207" i="3"/>
  <c r="Q206" i="3"/>
  <c r="Q203" i="3"/>
  <c r="H203" i="4" s="1"/>
  <c r="B203" i="4"/>
  <c r="Q219" i="3"/>
  <c r="Q77" i="3"/>
  <c r="H77" i="4" s="1"/>
  <c r="B77" i="4"/>
  <c r="Q209" i="3"/>
  <c r="B76" i="4"/>
  <c r="Q76" i="3"/>
  <c r="H76" i="4" s="1"/>
  <c r="Q75" i="3"/>
  <c r="H75" i="4" s="1"/>
  <c r="B75" i="4"/>
  <c r="Q145" i="3"/>
  <c r="H145" i="4" s="1"/>
  <c r="B145" i="4"/>
  <c r="Q144" i="3"/>
  <c r="H144" i="4" s="1"/>
  <c r="B144" i="4"/>
  <c r="Q143" i="3"/>
  <c r="H143" i="4" s="1"/>
  <c r="B143" i="4"/>
  <c r="B73" i="4"/>
  <c r="Q73" i="3"/>
  <c r="H73" i="4" s="1"/>
  <c r="Q200" i="3"/>
  <c r="H200" i="4" s="1"/>
  <c r="B200" i="4"/>
  <c r="N200" i="3"/>
  <c r="F200" i="4" s="1"/>
  <c r="N199" i="3"/>
  <c r="F199" i="4" s="1"/>
  <c r="Q138" i="3"/>
  <c r="H138" i="4" s="1"/>
  <c r="B138" i="4"/>
  <c r="N138" i="3"/>
  <c r="F138" i="4" s="1"/>
  <c r="N137" i="3"/>
  <c r="F137" i="4" s="1"/>
  <c r="Q137" i="3"/>
  <c r="H137" i="4" s="1"/>
  <c r="B137" i="4"/>
  <c r="Q136" i="3"/>
  <c r="H136" i="4" s="1"/>
  <c r="B136" i="4"/>
  <c r="Q58" i="3"/>
  <c r="H58" i="4" s="1"/>
  <c r="B58" i="4"/>
  <c r="Q226" i="3"/>
  <c r="Q55" i="3"/>
  <c r="H55" i="4" s="1"/>
  <c r="B55" i="4"/>
  <c r="Q85" i="3"/>
  <c r="H85" i="4" s="1"/>
  <c r="B85" i="4"/>
  <c r="Q220" i="3"/>
  <c r="Q88" i="3"/>
  <c r="H88" i="4" s="1"/>
  <c r="B88" i="4"/>
  <c r="Q265" i="3"/>
  <c r="Q45" i="3"/>
  <c r="H45" i="4" s="1"/>
  <c r="B45" i="4"/>
  <c r="Q218" i="3"/>
  <c r="Q87" i="3"/>
  <c r="H87" i="4" s="1"/>
  <c r="B87" i="4"/>
  <c r="Q86" i="3"/>
  <c r="H86" i="4" s="1"/>
  <c r="B86" i="4"/>
  <c r="Q198" i="3"/>
  <c r="H198" i="4" s="1"/>
  <c r="B198" i="4"/>
  <c r="Q42" i="3"/>
  <c r="H42" i="4" s="1"/>
  <c r="B42" i="4"/>
  <c r="N42" i="3"/>
  <c r="F42" i="4" s="1"/>
  <c r="N41" i="3"/>
  <c r="F41" i="4" s="1"/>
  <c r="B74" i="4"/>
  <c r="Q74" i="3"/>
  <c r="H74" i="4" s="1"/>
  <c r="Q264" i="3"/>
  <c r="Q299" i="3"/>
  <c r="S299" i="3"/>
  <c r="Q96" i="3"/>
  <c r="H96" i="4" s="1"/>
  <c r="B96" i="4"/>
  <c r="Q57" i="3"/>
  <c r="H57" i="4" s="1"/>
  <c r="B57" i="4"/>
  <c r="Q62" i="3"/>
  <c r="H62" i="4" s="1"/>
  <c r="B62" i="4"/>
  <c r="Q223" i="3"/>
  <c r="Q44" i="3"/>
  <c r="H44" i="4" s="1"/>
  <c r="B44" i="4"/>
  <c r="B82" i="4"/>
  <c r="Q82" i="3"/>
  <c r="H82" i="4" s="1"/>
  <c r="Q59" i="3"/>
  <c r="H59" i="4" s="1"/>
  <c r="B59" i="4"/>
  <c r="N59" i="3"/>
  <c r="F59" i="4" s="1"/>
  <c r="N58" i="3"/>
  <c r="F58" i="4" s="1"/>
  <c r="Q261" i="3"/>
  <c r="Q300" i="3"/>
  <c r="S300" i="3"/>
  <c r="B79" i="4"/>
  <c r="Q79" i="3"/>
  <c r="H79" i="4" s="1"/>
  <c r="Q225" i="3"/>
  <c r="Q224" i="3"/>
  <c r="Q80" i="3"/>
  <c r="H80" i="4" s="1"/>
  <c r="B80" i="4"/>
  <c r="Q83" i="3"/>
  <c r="H83" i="4" s="1"/>
  <c r="B83" i="4"/>
  <c r="B72" i="4"/>
  <c r="Q72" i="3"/>
  <c r="H72" i="4" s="1"/>
  <c r="Q182" i="3"/>
  <c r="H182" i="4" s="1"/>
  <c r="B182" i="4"/>
  <c r="Q174" i="3"/>
  <c r="H174" i="4" s="1"/>
  <c r="B174" i="4"/>
  <c r="Q5" i="3"/>
  <c r="H5" i="4" s="1"/>
  <c r="B5" i="4"/>
  <c r="Q234" i="3"/>
  <c r="N28" i="3"/>
  <c r="F28" i="4" s="1"/>
  <c r="N27" i="3"/>
  <c r="F27" i="4" s="1"/>
  <c r="Q28" i="3"/>
  <c r="H28" i="4" s="1"/>
  <c r="B28" i="4"/>
  <c r="Q214" i="3"/>
  <c r="Q228" i="3"/>
  <c r="Q266" i="3"/>
  <c r="Q235" i="3"/>
  <c r="Q227" i="3"/>
  <c r="Q257" i="3"/>
  <c r="N29" i="3"/>
  <c r="F29" i="4" s="1"/>
  <c r="N164" i="3"/>
  <c r="F164" i="4" s="1"/>
  <c r="N238" i="3"/>
  <c r="N239" i="3"/>
  <c r="N165" i="3"/>
  <c r="F165" i="4" s="1"/>
  <c r="N296" i="3"/>
  <c r="N174" i="3"/>
  <c r="F174" i="4" s="1"/>
  <c r="N278" i="3"/>
  <c r="N244" i="3"/>
  <c r="N130" i="3"/>
  <c r="F130" i="4" s="1"/>
  <c r="N279" i="3"/>
  <c r="N128" i="3"/>
  <c r="F128" i="4" s="1"/>
  <c r="N132" i="3"/>
  <c r="F132" i="4" s="1"/>
  <c r="N131" i="3"/>
  <c r="F131" i="4" s="1"/>
  <c r="N271" i="3"/>
  <c r="N277" i="3"/>
  <c r="N251" i="3"/>
  <c r="N284" i="3"/>
  <c r="N108" i="3"/>
  <c r="F108" i="4" s="1"/>
  <c r="N285" i="3"/>
  <c r="N104" i="3"/>
  <c r="F104" i="4" s="1"/>
  <c r="N103" i="3"/>
  <c r="F103" i="4" s="1"/>
  <c r="N253" i="3"/>
  <c r="N102" i="3"/>
  <c r="F102" i="4" s="1"/>
  <c r="N151" i="3"/>
  <c r="F151" i="4" s="1"/>
  <c r="N101" i="3"/>
  <c r="F101" i="4" s="1"/>
  <c r="N290" i="3"/>
  <c r="N99" i="3"/>
  <c r="F99" i="4" s="1"/>
  <c r="N98" i="3"/>
  <c r="F98" i="4" s="1"/>
  <c r="N97" i="3"/>
  <c r="F97" i="4" s="1"/>
  <c r="N254" i="3"/>
  <c r="N287" i="3"/>
  <c r="N297" i="3"/>
  <c r="N274" i="3"/>
  <c r="N257" i="3"/>
  <c r="N150" i="3"/>
  <c r="F150" i="4" s="1"/>
  <c r="N170" i="3"/>
  <c r="F170" i="4" s="1"/>
  <c r="N276" i="3"/>
  <c r="N19" i="3"/>
  <c r="F19" i="4" s="1"/>
  <c r="N148" i="3"/>
  <c r="F148" i="4" s="1"/>
  <c r="N38" i="3"/>
  <c r="F38" i="4" s="1"/>
  <c r="N167" i="3"/>
  <c r="F167" i="4" s="1"/>
  <c r="N245" i="3"/>
  <c r="N250" i="3"/>
  <c r="N96" i="3"/>
  <c r="F96" i="4" s="1"/>
  <c r="N183" i="3"/>
  <c r="F183" i="4" s="1"/>
  <c r="N93" i="3"/>
  <c r="F93" i="4" s="1"/>
  <c r="N288" i="3"/>
  <c r="N92" i="3"/>
  <c r="F92" i="4" s="1"/>
  <c r="N240" i="3"/>
  <c r="N269" i="3"/>
  <c r="N35" i="3"/>
  <c r="F35" i="4" s="1"/>
  <c r="N32" i="3"/>
  <c r="F32" i="4" s="1"/>
  <c r="N272" i="3"/>
  <c r="N107" i="3"/>
  <c r="F107" i="4" s="1"/>
  <c r="N247" i="3"/>
  <c r="N281" i="3"/>
  <c r="N248" i="3"/>
  <c r="N282" i="3"/>
  <c r="N115" i="3"/>
  <c r="F115" i="4" s="1"/>
  <c r="N147" i="3"/>
  <c r="F147" i="4" s="1"/>
  <c r="N145" i="3"/>
  <c r="F145" i="4" s="1"/>
  <c r="N9" i="3"/>
  <c r="F9" i="4" s="1"/>
  <c r="N182" i="3"/>
  <c r="F182" i="4" s="1"/>
  <c r="N70" i="3"/>
  <c r="F70" i="4" s="1"/>
  <c r="N18" i="3"/>
  <c r="F18" i="4" s="1"/>
  <c r="N30" i="3"/>
  <c r="F30" i="4" s="1"/>
  <c r="N31" i="3"/>
  <c r="F31" i="4" s="1"/>
  <c r="N36" i="3"/>
  <c r="F36" i="4" s="1"/>
  <c r="N237" i="3"/>
  <c r="N39" i="3"/>
  <c r="F39" i="4" s="1"/>
  <c r="N40" i="3"/>
  <c r="F40" i="4" s="1"/>
  <c r="N10" i="3"/>
  <c r="F10" i="4" s="1"/>
  <c r="N258" i="3"/>
  <c r="N293" i="3"/>
  <c r="N47" i="3"/>
  <c r="F47" i="4" s="1"/>
  <c r="N48" i="3"/>
  <c r="F48" i="4" s="1"/>
  <c r="N49" i="3"/>
  <c r="F49" i="4" s="1"/>
  <c r="N50" i="3"/>
  <c r="F50" i="4" s="1"/>
  <c r="N51" i="3"/>
  <c r="F51" i="4" s="1"/>
  <c r="N52" i="3"/>
  <c r="F52" i="4" s="1"/>
  <c r="N53" i="3"/>
  <c r="F53" i="4" s="1"/>
  <c r="N176" i="3"/>
  <c r="F176" i="4" s="1"/>
  <c r="N270" i="3"/>
  <c r="N266" i="3"/>
  <c r="N3" i="3"/>
  <c r="F3" i="4" s="1"/>
  <c r="N289" i="3"/>
  <c r="N34" i="3"/>
  <c r="F34" i="4" s="1"/>
  <c r="N46" i="3"/>
  <c r="F46" i="4" s="1"/>
  <c r="N177" i="3"/>
  <c r="F177" i="4" s="1"/>
  <c r="N172" i="3"/>
  <c r="F172" i="4" s="1"/>
  <c r="N155" i="3"/>
  <c r="F155" i="4" s="1"/>
  <c r="N275" i="3"/>
  <c r="N45" i="3"/>
  <c r="F45" i="4" s="1"/>
  <c r="N236" i="3"/>
  <c r="N222" i="3"/>
  <c r="N63" i="3"/>
  <c r="F63" i="4" s="1"/>
  <c r="N66" i="3"/>
  <c r="F66" i="4" s="1"/>
  <c r="N116" i="3"/>
  <c r="F116" i="4" s="1"/>
  <c r="N292" i="3"/>
  <c r="N291" i="3"/>
  <c r="N215" i="3"/>
  <c r="N212" i="3"/>
  <c r="N211" i="3"/>
  <c r="N77" i="3"/>
  <c r="F77" i="4" s="1"/>
  <c r="N267" i="3"/>
  <c r="N261" i="3"/>
  <c r="N55" i="3"/>
  <c r="F55" i="4" s="1"/>
  <c r="N221" i="3"/>
  <c r="N220" i="3"/>
  <c r="N74" i="3"/>
  <c r="F74" i="4" s="1"/>
  <c r="N144" i="3"/>
  <c r="F144" i="4" s="1"/>
  <c r="N84" i="3"/>
  <c r="F84" i="4" s="1"/>
  <c r="N219" i="3"/>
  <c r="N87" i="3"/>
  <c r="F87" i="4" s="1"/>
  <c r="N264" i="3"/>
  <c r="N73" i="3"/>
  <c r="F73" i="4" s="1"/>
  <c r="N263" i="3"/>
  <c r="N298" i="3"/>
  <c r="N252" i="3"/>
  <c r="N114" i="3"/>
  <c r="F114" i="4" s="1"/>
  <c r="N210" i="3"/>
  <c r="N209" i="3"/>
  <c r="N207" i="3"/>
  <c r="N206" i="3"/>
  <c r="N205" i="3"/>
  <c r="N218" i="3"/>
  <c r="N76" i="3"/>
  <c r="F76" i="4" s="1"/>
  <c r="N208" i="3"/>
  <c r="N75" i="3"/>
  <c r="F75" i="4" s="1"/>
  <c r="N136" i="3"/>
  <c r="F136" i="4" s="1"/>
  <c r="N57" i="3"/>
  <c r="F57" i="4" s="1"/>
  <c r="N225" i="3"/>
  <c r="N197" i="3"/>
  <c r="F197" i="4" s="1"/>
  <c r="N125" i="3"/>
  <c r="F125" i="4" s="1"/>
  <c r="N246" i="3"/>
  <c r="N280" i="3"/>
  <c r="N124" i="3"/>
  <c r="F124" i="4" s="1"/>
  <c r="N153" i="3"/>
  <c r="F153" i="4" s="1"/>
  <c r="N268" i="3"/>
  <c r="N72" i="3"/>
  <c r="F72" i="4" s="1"/>
  <c r="N44" i="3"/>
  <c r="F44" i="4" s="1"/>
  <c r="N95" i="3"/>
  <c r="F95" i="4" s="1"/>
  <c r="N195" i="3"/>
  <c r="F195" i="4" s="1"/>
  <c r="N168" i="3"/>
  <c r="F168" i="4" s="1"/>
  <c r="N112" i="3"/>
  <c r="F112" i="4" s="1"/>
  <c r="N217" i="3"/>
  <c r="N86" i="3"/>
  <c r="F86" i="4" s="1"/>
  <c r="N85" i="3"/>
  <c r="F85" i="4" s="1"/>
  <c r="N260" i="3"/>
  <c r="N299" i="3"/>
  <c r="N78" i="3"/>
  <c r="N224" i="3"/>
  <c r="N223" i="3"/>
  <c r="N82" i="3"/>
  <c r="F82" i="4" s="1"/>
  <c r="N62" i="3"/>
  <c r="F62" i="4" s="1"/>
  <c r="N129" i="3"/>
  <c r="F129" i="4" s="1"/>
  <c r="N181" i="3"/>
  <c r="F181" i="4" s="1"/>
  <c r="N173" i="3"/>
  <c r="F173" i="4" s="1"/>
  <c r="N4" i="3"/>
  <c r="F4" i="4" s="1"/>
  <c r="N233" i="3"/>
  <c r="N213" i="3"/>
  <c r="N227" i="3"/>
  <c r="N64" i="3"/>
  <c r="F64" i="4" s="1"/>
  <c r="N159" i="3"/>
  <c r="F159" i="4" s="1"/>
  <c r="N160" i="3"/>
  <c r="F160" i="4" s="1"/>
  <c r="N242" i="3"/>
  <c r="N169" i="3"/>
  <c r="F169" i="4" s="1"/>
  <c r="N158" i="3"/>
  <c r="F158" i="4" s="1"/>
  <c r="N243" i="3"/>
  <c r="N127" i="3"/>
  <c r="F127" i="4" s="1"/>
  <c r="N126" i="3"/>
  <c r="F126" i="4" s="1"/>
  <c r="N265" i="3"/>
  <c r="N234" i="3"/>
  <c r="N226" i="3"/>
  <c r="N256" i="3"/>
  <c r="N166" i="3"/>
  <c r="F166" i="4" s="1"/>
  <c r="N94" i="3"/>
  <c r="F94" i="4" s="1"/>
  <c r="N255" i="3"/>
  <c r="N259" i="3"/>
  <c r="N65" i="3"/>
  <c r="N122" i="3"/>
  <c r="F122" i="4" s="1"/>
  <c r="N110" i="3"/>
  <c r="F110" i="4" s="1"/>
  <c r="N109" i="3"/>
  <c r="F109" i="4" s="1"/>
  <c r="N106" i="3"/>
  <c r="F106" i="4" s="1"/>
  <c r="N118" i="3"/>
  <c r="F118" i="4" s="1"/>
  <c r="N161" i="3"/>
  <c r="F161" i="4" s="1"/>
  <c r="N162" i="3"/>
  <c r="F162" i="4" s="1"/>
  <c r="N178" i="3"/>
  <c r="F178" i="4" s="1"/>
  <c r="N179" i="3"/>
  <c r="F179" i="4" s="1"/>
  <c r="F78" i="4" l="1"/>
  <c r="M2" i="1"/>
  <c r="F65" i="4"/>
  <c r="L2" i="1"/>
  <c r="P2" i="1"/>
  <c r="Q2" i="1"/>
  <c r="N2" i="1" l="1"/>
  <c r="R2" i="1"/>
  <c r="L3" i="1" l="1"/>
  <c r="M3" i="1"/>
  <c r="Q3" i="1"/>
  <c r="P3" i="1"/>
  <c r="N3" i="1" l="1"/>
  <c r="R3" i="1"/>
</calcChain>
</file>

<file path=xl/sharedStrings.xml><?xml version="1.0" encoding="utf-8"?>
<sst xmlns="http://schemas.openxmlformats.org/spreadsheetml/2006/main" count="3288" uniqueCount="923">
  <si>
    <t>2023 광주 전남권 대학 박람회 토크콘서트 박준형 변호사</t>
  </si>
  <si>
    <t>2022-05-04 14:00:54</t>
  </si>
  <si>
    <t>2022-05-04 14:00:61</t>
  </si>
  <si>
    <t>2022-05-04 14:00:65</t>
  </si>
  <si>
    <t>2022-05-04 14:00:58</t>
  </si>
  <si>
    <t>2022-05-04 14:00:55</t>
  </si>
  <si>
    <t>2022-05-04 14:00:50</t>
  </si>
  <si>
    <t>2022-05-04 14:00:49</t>
  </si>
  <si>
    <t>2022-05-04 14:00:64</t>
  </si>
  <si>
    <t>2022-05-04 14:00:62</t>
  </si>
  <si>
    <t>2022-05-04 14:00:63</t>
  </si>
  <si>
    <t>2022-05-04 14:00:51</t>
  </si>
  <si>
    <t>2022-05-04 14:00:57</t>
  </si>
  <si>
    <t>CM00000039</t>
  </si>
  <si>
    <t>CM00000044</t>
  </si>
  <si>
    <t>CM00000041</t>
  </si>
  <si>
    <t>CM00000048</t>
  </si>
  <si>
    <t>CM00000029</t>
  </si>
  <si>
    <t>CM00000034</t>
  </si>
  <si>
    <t>CM00000019</t>
  </si>
  <si>
    <t>CM00000040</t>
  </si>
  <si>
    <t>CM00000038</t>
  </si>
  <si>
    <t>CM00000036</t>
  </si>
  <si>
    <t>CM00000042</t>
  </si>
  <si>
    <t>CM00000046</t>
  </si>
  <si>
    <t>CM00000035</t>
  </si>
  <si>
    <t>CM00000023</t>
  </si>
  <si>
    <t>CM00000026</t>
  </si>
  <si>
    <t>CM00000021</t>
  </si>
  <si>
    <t>CM00000028</t>
  </si>
  <si>
    <t>CM00000032</t>
  </si>
  <si>
    <t>CM00000033</t>
  </si>
  <si>
    <t>CM00000025</t>
  </si>
  <si>
    <t>CM00000031</t>
  </si>
  <si>
    <t>CM00000022</t>
  </si>
  <si>
    <t>CM00000020</t>
  </si>
  <si>
    <t>CM00000024</t>
  </si>
  <si>
    <t>CM00000027</t>
  </si>
  <si>
    <t>CM00000030</t>
  </si>
  <si>
    <t>2022-05-04 14:00:85</t>
  </si>
  <si>
    <t>2022-05-04 14:00:73</t>
  </si>
  <si>
    <t>2022-05-04 14:00:96</t>
  </si>
  <si>
    <t>2022-05-04 14:00:88</t>
  </si>
  <si>
    <t>2022-05-04 14:00:99</t>
  </si>
  <si>
    <t>2022-05-04 14:00:70</t>
  </si>
  <si>
    <t>2022-05-04 14:00:86</t>
  </si>
  <si>
    <t>2022-05-04 14:00:91</t>
  </si>
  <si>
    <t>2022-05-04 14:00:81</t>
  </si>
  <si>
    <t>2022-05-04 14:00:79</t>
  </si>
  <si>
    <t>2022-05-04 14:00:75</t>
  </si>
  <si>
    <t>2022-05-04 14:00:98</t>
  </si>
  <si>
    <t>2022-05-04 14:00:72</t>
  </si>
  <si>
    <t>2022-05-04 14:00:95</t>
  </si>
  <si>
    <t>2022-05-04 14:00:78</t>
  </si>
  <si>
    <t>2022-05-04 14:00:76</t>
  </si>
  <si>
    <t>2022-05-04 14:00:84</t>
  </si>
  <si>
    <t>2022-05-04 14:00:69</t>
  </si>
  <si>
    <t>2022-05-04 14:00:97</t>
  </si>
  <si>
    <t>2022-05-04 14:00:93</t>
  </si>
  <si>
    <t>2022-05-04 14:00:80</t>
  </si>
  <si>
    <t>2022-05-04 14:00:74</t>
  </si>
  <si>
    <t>2022-05-04 14:00:68</t>
  </si>
  <si>
    <t>2022-05-04 14:00:83</t>
  </si>
  <si>
    <t>2022-05-04 14:00:94</t>
  </si>
  <si>
    <t>2022-05-04 14:00:71</t>
  </si>
  <si>
    <t>2022-05-04 14:00:77</t>
  </si>
  <si>
    <t>2022-05-04 14:00:92</t>
  </si>
  <si>
    <t>2022-05-04 14:00:11</t>
  </si>
  <si>
    <t>2022-05-04 14:00:14</t>
  </si>
  <si>
    <t>방송형태
(0: 본방, 1:재방)</t>
  </si>
  <si>
    <t>전미자 아카키코퓨전음식점 회장</t>
  </si>
  <si>
    <t>2022-05-04 14:00:07</t>
  </si>
  <si>
    <t>자막 방송
(0:일반, 1:자막)</t>
  </si>
  <si>
    <t>강창희 백세자산관리 연구회 대표</t>
  </si>
  <si>
    <t>2022-05-04 14:00:87</t>
  </si>
  <si>
    <t>2022-05-04 14:00:00</t>
  </si>
  <si>
    <t>2022-05-04 14:00:04</t>
  </si>
  <si>
    <t>2022-05-04 14:00:89</t>
  </si>
  <si>
    <t>임실비아 서울심포니오페라합창단장</t>
  </si>
  <si>
    <t>2022-05-04 14:00:08</t>
  </si>
  <si>
    <t>등록일
(년-월-일 시:분:초)</t>
  </si>
  <si>
    <t>2022-05-04 14:00:01</t>
  </si>
  <si>
    <t>2022-05-04 14:00:12</t>
  </si>
  <si>
    <t>2023 광주 전남권 대학 박람회</t>
  </si>
  <si>
    <t>2022-05-04 14:00:82</t>
  </si>
  <si>
    <t>시작시간
(년-월-일 시:분)</t>
  </si>
  <si>
    <t>2022-05-04 14:00:13</t>
  </si>
  <si>
    <t>2022-05-04 14:00:05</t>
  </si>
  <si>
    <t>2022-05-04 14:00:03</t>
  </si>
  <si>
    <t>조향현 한국장애인고용공단 이사장</t>
  </si>
  <si>
    <t>지역관광Tripstargram</t>
  </si>
  <si>
    <t>2023 지방자치TV 특별기획</t>
  </si>
  <si>
    <t>최선규의 이제는 지방시대 시즌2</t>
  </si>
  <si>
    <t>2022-05-04 14:00:15</t>
  </si>
  <si>
    <t>2022-05-04 14:00:02</t>
  </si>
  <si>
    <t>수화 방송
(0:일반, 1:수화)</t>
  </si>
  <si>
    <t>2022-05-04 14:00:06</t>
  </si>
  <si>
    <t>2022-05-04 14:00:90</t>
  </si>
  <si>
    <t>2022-05-04 14:00:26</t>
  </si>
  <si>
    <t>2022-05-04 14:00:29</t>
  </si>
  <si>
    <t>2022-05-04 14:00:47</t>
  </si>
  <si>
    <t>2022-05-04 14:00:35</t>
  </si>
  <si>
    <t>2022-05-04 14:00:30</t>
  </si>
  <si>
    <t>2022-05-04 14:00:17</t>
  </si>
  <si>
    <t>2022-05-04 14:00:22</t>
  </si>
  <si>
    <t>2022-05-04 14:00:46</t>
  </si>
  <si>
    <t>2022-05-04 14:00:27</t>
  </si>
  <si>
    <t>2022-05-04 14:00:36</t>
  </si>
  <si>
    <t>2022-05-04 14:00:21</t>
  </si>
  <si>
    <t>2022-05-04 14:00:28</t>
  </si>
  <si>
    <t>2022-05-04 14:00:25</t>
  </si>
  <si>
    <t>2022-05-04 14:00:32</t>
  </si>
  <si>
    <t>2022-05-04 14:00:10</t>
  </si>
  <si>
    <t>2022-05-04 14:00:33</t>
  </si>
  <si>
    <t>2022-05-04 14:00:23</t>
  </si>
  <si>
    <t>2022-05-04 14:00:24</t>
  </si>
  <si>
    <t>2022-05-04 14:00:18</t>
  </si>
  <si>
    <t>2022-05-04 14:00:09</t>
  </si>
  <si>
    <t>교양/다큐</t>
  </si>
  <si>
    <t>이희재 만화가</t>
  </si>
  <si>
    <t>시사정보</t>
  </si>
  <si>
    <t>다리미디어</t>
  </si>
  <si>
    <t>성인가요</t>
  </si>
  <si>
    <t>한국의 미</t>
  </si>
  <si>
    <t>김기훈 바리톤</t>
  </si>
  <si>
    <t>백가사전</t>
  </si>
  <si>
    <t>국군방송</t>
  </si>
  <si>
    <t>임현식 118</t>
  </si>
  <si>
    <t>맛지도 97</t>
  </si>
  <si>
    <t>권지웅문찬웅</t>
  </si>
  <si>
    <t>강진 가수</t>
  </si>
  <si>
    <t>배일동 명창</t>
  </si>
  <si>
    <t>나는자연인이다</t>
  </si>
  <si>
    <t>더 人터뷰</t>
  </si>
  <si>
    <t>2
(26)</t>
  </si>
  <si>
    <t>인구토크 올인</t>
  </si>
  <si>
    <t>시사일번지</t>
  </si>
  <si>
    <t>MGTV</t>
  </si>
  <si>
    <t>서울경제</t>
  </si>
  <si>
    <t>인사이트30</t>
  </si>
  <si>
    <t>소행성탐사대</t>
  </si>
  <si>
    <t>행복무지개</t>
  </si>
  <si>
    <t>6
(30)</t>
  </si>
  <si>
    <t>공간의 재탄생</t>
  </si>
  <si>
    <t>나는 사장이다</t>
  </si>
  <si>
    <t>1
(25)</t>
  </si>
  <si>
    <t>귀족식당</t>
  </si>
  <si>
    <t>0
(24)</t>
  </si>
  <si>
    <t>박종팔 챔피언</t>
  </si>
  <si>
    <t>여의도초대석</t>
  </si>
  <si>
    <t>역전다방</t>
  </si>
  <si>
    <t>버스퀸 경주</t>
  </si>
  <si>
    <t>국회방송</t>
  </si>
  <si>
    <t>3
(27)</t>
  </si>
  <si>
    <t>하늘에서본남도</t>
  </si>
  <si>
    <t>5
(29)</t>
  </si>
  <si>
    <t>어서와 60</t>
  </si>
  <si>
    <t>단체장 인터뷰</t>
  </si>
  <si>
    <t>피곤한 미식가</t>
  </si>
  <si>
    <t>자연인 125</t>
  </si>
  <si>
    <t>김혜영의sen</t>
  </si>
  <si>
    <t>4
(28)</t>
  </si>
  <si>
    <t>낭만살롱</t>
  </si>
  <si>
    <t>7
(31)</t>
  </si>
  <si>
    <t>휴먼다큐시장</t>
  </si>
  <si>
    <t>한국의미</t>
  </si>
  <si>
    <t>인구토크올인</t>
  </si>
  <si>
    <t>육아방송</t>
  </si>
  <si>
    <t>방랑의 객</t>
  </si>
  <si>
    <t>쿠키건강TV</t>
  </si>
  <si>
    <t>버스퀸 울진</t>
  </si>
  <si>
    <t>시청등급
(0:전체, 1:7세, 2:12세,3:15세, 4:19세</t>
  </si>
  <si>
    <t>문화유산채널</t>
  </si>
  <si>
    <t>2022-05-04 14:00:67</t>
  </si>
  <si>
    <t>2022-05-04 14:00:60</t>
  </si>
  <si>
    <t>2022-05-04 14:00:66</t>
  </si>
  <si>
    <t>2022-05-04 14:00:48</t>
  </si>
  <si>
    <t>2022-05-04 14:00:34</t>
  </si>
  <si>
    <t>2022-05-04 14:00:56</t>
  </si>
  <si>
    <t>2022-05-04 14:00:53</t>
  </si>
  <si>
    <t>2022-05-04 14:00:59</t>
  </si>
  <si>
    <t>2022-05-04 14:00:52</t>
  </si>
  <si>
    <t xml:space="preserve">박강수 마포구청장 </t>
  </si>
  <si>
    <t>CM00000094</t>
  </si>
  <si>
    <t>CM00000092</t>
  </si>
  <si>
    <t>CM00000090</t>
  </si>
  <si>
    <t xml:space="preserve">문인 광주 북구청장 </t>
  </si>
  <si>
    <t>CM00000091</t>
  </si>
  <si>
    <t>CM00000093</t>
  </si>
  <si>
    <t xml:space="preserve">정문헌 종로구청장 </t>
  </si>
  <si>
    <t>문형주 치과원장</t>
  </si>
  <si>
    <t>대구경북통합 세션 2</t>
  </si>
  <si>
    <t>제주도 토론 1</t>
  </si>
  <si>
    <t>경북의 미학 청송</t>
  </si>
  <si>
    <t>CM00000096</t>
  </si>
  <si>
    <t>지방자치단체장인터뷰</t>
  </si>
  <si>
    <t>제주도 세션 1</t>
  </si>
  <si>
    <t>창원특례시 세션1</t>
  </si>
  <si>
    <t>이성백 호남향우회장</t>
  </si>
  <si>
    <t>제주도 토론 2</t>
  </si>
  <si>
    <t>경북의 미학 울진1</t>
  </si>
  <si>
    <t>대구경북통합 세션 1</t>
  </si>
  <si>
    <t>명물인생4 30회</t>
  </si>
  <si>
    <t>CM00000097</t>
  </si>
  <si>
    <t>경북의 미학 울진2</t>
  </si>
  <si>
    <t>CM00000095</t>
  </si>
  <si>
    <t>CM00000072</t>
  </si>
  <si>
    <t>CM00000070</t>
  </si>
  <si>
    <t>김병래 광주 남구청장</t>
  </si>
  <si>
    <t>김영래 농구감독</t>
  </si>
  <si>
    <t>CM00000069</t>
  </si>
  <si>
    <t>이연헌 드라마PD</t>
  </si>
  <si>
    <t>건썰다방 시즌2</t>
  </si>
  <si>
    <t>이금림 드라마작가</t>
  </si>
  <si>
    <t>동네방네 허반장</t>
  </si>
  <si>
    <t>윤종록 카이스트교수</t>
  </si>
  <si>
    <t>CM00000068</t>
  </si>
  <si>
    <t>CM00000071</t>
  </si>
  <si>
    <t>경북의 미학 영양</t>
  </si>
  <si>
    <t>KBC 미래포럼</t>
  </si>
  <si>
    <t>연우회 인 가요</t>
  </si>
  <si>
    <t>장순영 봄바니에대표</t>
  </si>
  <si>
    <t>CM00000074</t>
  </si>
  <si>
    <t>CM00000073</t>
  </si>
  <si>
    <t>CM00000076</t>
  </si>
  <si>
    <t>CM00000078</t>
  </si>
  <si>
    <t>이기재 양천 구청장</t>
  </si>
  <si>
    <t>CM00000077</t>
  </si>
  <si>
    <t>CM00000075</t>
  </si>
  <si>
    <t>이경의 걷다보면</t>
  </si>
  <si>
    <t>CM00000079</t>
  </si>
  <si>
    <t>김동곤 청양군수</t>
  </si>
  <si>
    <t>윤호주 전한양대병원장</t>
  </si>
  <si>
    <t>이필규 동대문 구청장</t>
  </si>
  <si>
    <t>김동일 보령시장</t>
  </si>
  <si>
    <t>최호권 영등포 구청장</t>
  </si>
  <si>
    <t>최충규 대전대덕구청장</t>
  </si>
  <si>
    <t>CM00000080</t>
  </si>
  <si>
    <t>우리동네 너튜브</t>
  </si>
  <si>
    <t>CM00000085</t>
  </si>
  <si>
    <t>서철모 대전서구청장</t>
  </si>
  <si>
    <t>CM00000084</t>
  </si>
  <si>
    <t>CM00000086</t>
  </si>
  <si>
    <t>박희조 대전동구청장</t>
  </si>
  <si>
    <t>임택 광주동구청장</t>
  </si>
  <si>
    <t>김봉연 전 야구선수</t>
  </si>
  <si>
    <t>CM00000082</t>
  </si>
  <si>
    <t>이승로 성북구청장</t>
  </si>
  <si>
    <t>CM00000088</t>
  </si>
  <si>
    <t>CM00000081</t>
  </si>
  <si>
    <t>명물인생 시즌4</t>
  </si>
  <si>
    <t>취미로먹고산다시즌1</t>
  </si>
  <si>
    <t>CM00000083</t>
  </si>
  <si>
    <t>CM00000087</t>
  </si>
  <si>
    <t>내삶을바꾸는정책</t>
  </si>
  <si>
    <t>CM00000089</t>
  </si>
  <si>
    <t>만트라명상귓전명상수련</t>
  </si>
  <si>
    <t>내삶을바꾸는명상의시간</t>
  </si>
  <si>
    <t>NEWSPLUS</t>
  </si>
  <si>
    <t>코로나19주간브리핑</t>
  </si>
  <si>
    <t>안녕시장</t>
  </si>
  <si>
    <t>라이브온S2</t>
  </si>
  <si>
    <t>창업정보가이드</t>
  </si>
  <si>
    <t>재생시간(분)</t>
  </si>
  <si>
    <t>행복스위치</t>
  </si>
  <si>
    <t>요즘시장</t>
  </si>
  <si>
    <t>섬마을할매</t>
  </si>
  <si>
    <t>조광원 대표</t>
  </si>
  <si>
    <t>전체등급</t>
  </si>
  <si>
    <t>아이런시즌1</t>
  </si>
  <si>
    <t>같이, 가치#</t>
  </si>
  <si>
    <t>data01</t>
  </si>
  <si>
    <t>남도의보물</t>
  </si>
  <si>
    <t>건강정보통</t>
  </si>
  <si>
    <t>프로그램정보</t>
  </si>
  <si>
    <t>뉴스와이드</t>
  </si>
  <si>
    <t>다도해기행</t>
  </si>
  <si>
    <t>맛있는 녀석들</t>
  </si>
  <si>
    <t>맛있을 지도</t>
  </si>
  <si>
    <t>NEWS4</t>
  </si>
  <si>
    <t>편성표코드</t>
  </si>
  <si>
    <t>태군노래자랑</t>
  </si>
  <si>
    <t>안녕시장스페셜</t>
  </si>
  <si>
    <t>프로그램명</t>
  </si>
  <si>
    <t>혼밥상담소</t>
  </si>
  <si>
    <t>더 인터뷰</t>
  </si>
  <si>
    <t>간략설명</t>
  </si>
  <si>
    <t>정두진 서예가</t>
  </si>
  <si>
    <t>하경철 화백</t>
  </si>
  <si>
    <t>김형석 작곡가</t>
  </si>
  <si>
    <t>김용율 감독</t>
  </si>
  <si>
    <t>남도스럽게</t>
  </si>
  <si>
    <t>천상현 셰프</t>
  </si>
  <si>
    <t>최대규 회장</t>
  </si>
  <si>
    <t>내고향 전파</t>
  </si>
  <si>
    <t>안호재 대표</t>
  </si>
  <si>
    <t>장유정 감독</t>
  </si>
  <si>
    <t>나도남도행</t>
  </si>
  <si>
    <t>김윤중 회장</t>
  </si>
  <si>
    <t>김병종 화가</t>
  </si>
  <si>
    <t>정갑영 회장</t>
  </si>
  <si>
    <t>김성수 대표</t>
  </si>
  <si>
    <t>호남, 호남人</t>
  </si>
  <si>
    <t>박석무 이사장</t>
  </si>
  <si>
    <t>이영호 회장</t>
  </si>
  <si>
    <t>가요세상</t>
  </si>
  <si>
    <t>서민갑부</t>
  </si>
  <si>
    <t>유인국 이사장</t>
  </si>
  <si>
    <t>김명곤 배우</t>
  </si>
  <si>
    <t>추가링크</t>
  </si>
  <si>
    <t>김원중 가수</t>
  </si>
  <si>
    <t>김포중 회장</t>
  </si>
  <si>
    <t>라이브온S1</t>
  </si>
  <si>
    <t>김충식 교수</t>
  </si>
  <si>
    <t>서광진 박사</t>
  </si>
  <si>
    <t>여의도 닥터스</t>
  </si>
  <si>
    <t>김재현 교수</t>
  </si>
  <si>
    <t>송경동 시인</t>
  </si>
  <si>
    <t>이왕준 이사장</t>
  </si>
  <si>
    <t>편성일시</t>
  </si>
  <si>
    <t>운행길이</t>
  </si>
  <si>
    <t xml:space="preserve">(19) </t>
  </si>
  <si>
    <t>NEWSON</t>
  </si>
  <si>
    <t>프로그램</t>
  </si>
  <si>
    <t>주부편성</t>
  </si>
  <si>
    <t>위풍당당전라도</t>
  </si>
  <si>
    <t>NEWSJ</t>
  </si>
  <si>
    <t>내고향전파</t>
  </si>
  <si>
    <t>본방</t>
  </si>
  <si>
    <t xml:space="preserve">⑦ </t>
  </si>
  <si>
    <t>합계</t>
  </si>
  <si>
    <t>주편성</t>
  </si>
  <si>
    <t>30</t>
  </si>
  <si>
    <t>00</t>
  </si>
  <si>
    <t>편성시</t>
  </si>
  <si>
    <t xml:space="preserve"> </t>
  </si>
  <si>
    <t>회차</t>
  </si>
  <si>
    <t xml:space="preserve">⑫ </t>
  </si>
  <si>
    <t>시</t>
  </si>
  <si>
    <t>재방</t>
  </si>
  <si>
    <t>20</t>
  </si>
  <si>
    <t>50</t>
  </si>
  <si>
    <t>40</t>
  </si>
  <si>
    <t>부제</t>
  </si>
  <si>
    <t>초방</t>
  </si>
  <si>
    <t>분</t>
  </si>
  <si>
    <t>10</t>
  </si>
  <si>
    <t>충주</t>
  </si>
  <si>
    <t>정보</t>
  </si>
  <si>
    <t>코드표</t>
  </si>
  <si>
    <t>EBC</t>
  </si>
  <si>
    <t>예능</t>
  </si>
  <si>
    <t>등급</t>
  </si>
  <si>
    <t>7세</t>
  </si>
  <si>
    <t>0</t>
  </si>
  <si>
    <t>의령</t>
  </si>
  <si>
    <t>12세</t>
  </si>
  <si>
    <t>문경</t>
  </si>
  <si>
    <t>당진</t>
  </si>
  <si>
    <t>드라마</t>
  </si>
  <si>
    <t>제목</t>
  </si>
  <si>
    <t>TBC</t>
  </si>
  <si>
    <t xml:space="preserve">⑮ </t>
  </si>
  <si>
    <t>괴산</t>
  </si>
  <si>
    <t>KBC</t>
  </si>
  <si>
    <t>부편성</t>
  </si>
  <si>
    <t>뉴스</t>
  </si>
  <si>
    <t>양혁재</t>
  </si>
  <si>
    <t>보령</t>
  </si>
  <si>
    <t>편성일</t>
  </si>
  <si>
    <t>제작</t>
  </si>
  <si>
    <t>SW</t>
  </si>
  <si>
    <t>FW</t>
  </si>
  <si>
    <t>베드로</t>
  </si>
  <si>
    <t>이민우</t>
  </si>
  <si>
    <t>연천</t>
  </si>
  <si>
    <t>19세</t>
  </si>
  <si>
    <t>아이런</t>
  </si>
  <si>
    <t>김욱화</t>
  </si>
  <si>
    <t>이율주</t>
  </si>
  <si>
    <t>예산</t>
  </si>
  <si>
    <t>HCN</t>
  </si>
  <si>
    <t>SKB</t>
  </si>
  <si>
    <t>강화</t>
  </si>
  <si>
    <t>15세</t>
  </si>
  <si>
    <t>교양</t>
  </si>
  <si>
    <t>너튜브</t>
  </si>
  <si>
    <t>유근원</t>
  </si>
  <si>
    <t>KCA</t>
  </si>
  <si>
    <t>의성</t>
  </si>
  <si>
    <t>태군</t>
  </si>
  <si>
    <t>G1</t>
  </si>
  <si>
    <t>민정준</t>
  </si>
  <si>
    <t>MBN</t>
  </si>
  <si>
    <t>양양</t>
  </si>
  <si>
    <t>김홍일</t>
  </si>
  <si>
    <t>구매</t>
  </si>
  <si>
    <t>공간</t>
  </si>
  <si>
    <t>중랑</t>
  </si>
  <si>
    <t>씨앤큐</t>
  </si>
  <si>
    <t>용인</t>
  </si>
  <si>
    <t>부여</t>
  </si>
  <si>
    <t>도시락</t>
  </si>
  <si>
    <t>편성</t>
  </si>
  <si>
    <t>2022-05-04 14:00:19</t>
  </si>
  <si>
    <t>2022-05-04 14:00:31</t>
  </si>
  <si>
    <t>2022-05-04 14:00:37</t>
  </si>
  <si>
    <t>2022-05-04 14:00:40</t>
  </si>
  <si>
    <t>2022-05-04 14:00:16</t>
  </si>
  <si>
    <t>2022-05-04 14:00:20</t>
  </si>
  <si>
    <t>2022-05-04 14:00:42</t>
  </si>
  <si>
    <t>2022-05-04 14:00:38</t>
  </si>
  <si>
    <t>2022-05-04 14:00:39</t>
  </si>
  <si>
    <t>2022-05-04 14:00:43</t>
  </si>
  <si>
    <t>2022-05-04 14:00:44</t>
  </si>
  <si>
    <t>2022-05-04 14:00:45</t>
  </si>
  <si>
    <t>2022-05-04 14:00:41</t>
  </si>
  <si>
    <t>강원국 작가</t>
  </si>
  <si>
    <t>김생기 대표</t>
  </si>
  <si>
    <t>강윤성 대표</t>
  </si>
  <si>
    <t>박명성 감독</t>
  </si>
  <si>
    <t>편성제작</t>
  </si>
  <si>
    <t>제이엠케이</t>
  </si>
  <si>
    <t>서홍관 원장</t>
  </si>
  <si>
    <t>황호택 언론인</t>
  </si>
  <si>
    <t>정문익 회장</t>
  </si>
  <si>
    <t>정보석 배우</t>
  </si>
  <si>
    <t>양광용 이사장</t>
  </si>
  <si>
    <t>김준수 소리꾼</t>
  </si>
  <si>
    <t>김종규 관장</t>
  </si>
  <si>
    <t>김호석 화백</t>
  </si>
  <si>
    <t>복지TV</t>
  </si>
  <si>
    <t>소재구분</t>
  </si>
  <si>
    <t>직업방송</t>
  </si>
  <si>
    <t>외주제작</t>
  </si>
  <si>
    <t>국내교환</t>
  </si>
  <si>
    <t>김재화 화가</t>
  </si>
  <si>
    <t>국내구매</t>
  </si>
  <si>
    <t>리얼TV</t>
  </si>
  <si>
    <t>자체제작</t>
  </si>
  <si>
    <t>티브로드</t>
  </si>
  <si>
    <t>이종곤 이사장</t>
  </si>
  <si>
    <t>매드가람</t>
  </si>
  <si>
    <t>서정민 화가</t>
  </si>
  <si>
    <t>STARTV</t>
  </si>
  <si>
    <t>울산중앙방송</t>
  </si>
  <si>
    <t>무상수급</t>
  </si>
  <si>
    <t>백학기 감독</t>
  </si>
  <si>
    <t>엘지헬로비젼</t>
  </si>
  <si>
    <t>프라임인더스</t>
  </si>
  <si>
    <t>채널에이</t>
  </si>
  <si>
    <t>윤앤컴퍼니</t>
  </si>
  <si>
    <t>MBC플러스</t>
  </si>
  <si>
    <t>제작년도</t>
  </si>
  <si>
    <t>강남구청</t>
  </si>
  <si>
    <t>진희선 교수</t>
  </si>
  <si>
    <t>소재세부</t>
  </si>
  <si>
    <t>지사제작</t>
  </si>
  <si>
    <t>소재내역</t>
  </si>
  <si>
    <t>아리랑TV</t>
  </si>
  <si>
    <t>KBSN</t>
  </si>
  <si>
    <t>공동제작</t>
  </si>
  <si>
    <t>충북지사</t>
  </si>
  <si>
    <t>소상공인</t>
  </si>
  <si>
    <t>대결 노래교실</t>
  </si>
  <si>
    <t>제이리미디어</t>
  </si>
  <si>
    <t>마운틴TV</t>
  </si>
  <si>
    <t>LG장르</t>
  </si>
  <si>
    <t>뉴스/경제</t>
  </si>
  <si>
    <t>아이돌리그4</t>
  </si>
  <si>
    <t>가요TV</t>
  </si>
  <si>
    <t>고래상어</t>
  </si>
  <si>
    <t>타임아웃</t>
  </si>
  <si>
    <t>KT장르</t>
  </si>
  <si>
    <t>권지웅김상훈</t>
  </si>
  <si>
    <t>박애리 명창</t>
  </si>
  <si>
    <t>해외드라마</t>
  </si>
  <si>
    <t>숙희네 미장원</t>
  </si>
  <si>
    <t>취미/레저</t>
  </si>
  <si>
    <t>현숙 가수</t>
  </si>
  <si>
    <t>건썰다방</t>
  </si>
  <si>
    <t>사사정보</t>
  </si>
  <si>
    <t>CM00000110</t>
  </si>
  <si>
    <t>CM00000112</t>
  </si>
  <si>
    <t>CM00000111</t>
  </si>
  <si>
    <t>낭만살롱
&lt;06</t>
  </si>
  <si>
    <t>낭만살롱
&lt;07</t>
  </si>
  <si>
    <t>낭만살롱
&lt;08</t>
  </si>
  <si>
    <t>박차광 향우중앙회 회장</t>
  </si>
  <si>
    <t>최선규 이제는 지방시대</t>
  </si>
  <si>
    <t>권희석 창업자(하나투어)</t>
  </si>
  <si>
    <t>지방회생, 산업이 답이다</t>
  </si>
  <si>
    <t>현장소통24시 나주시편</t>
  </si>
  <si>
    <t>어서와 한국은 처음이지</t>
  </si>
  <si>
    <t>지방자치TV 주간편성표</t>
  </si>
  <si>
    <t>김재일 안산시호남향우회장</t>
  </si>
  <si>
    <t>최선규의 이제는 지방시대</t>
  </si>
  <si>
    <t>2023 지방자치TV 스페셜</t>
  </si>
  <si>
    <t>로컬콘텐츠 페스타 개막식</t>
  </si>
  <si>
    <t>최민호 세종특별자치 시장</t>
  </si>
  <si>
    <t>휴먼다큐 마냥 이쁜 우리맘</t>
  </si>
  <si>
    <t>강남인사이더스픽스시즌1</t>
  </si>
  <si>
    <t>전   산 감독(KBS)</t>
  </si>
  <si>
    <t>손풍삼 전순천향대 총장</t>
  </si>
  <si>
    <t>이호순 회장(허브나라)</t>
  </si>
  <si>
    <t>강남인사이더스픽스시즌2</t>
  </si>
  <si>
    <t>5.18특집 국민의 길 2부</t>
  </si>
  <si>
    <t>서효석 편강한의원 원장</t>
  </si>
  <si>
    <t>여행삼남매의 한달살기 태백愛</t>
  </si>
  <si>
    <t>한문철의 블랙박스 신문고</t>
  </si>
  <si>
    <t xml:space="preserve">박병규 광주 광산구청장 </t>
  </si>
  <si>
    <t>5.18특집 국민의 길 1부</t>
  </si>
  <si>
    <t>인천국악대제전 2부 축하공연</t>
  </si>
  <si>
    <t>박영일 시대에듀교육 회장</t>
  </si>
  <si>
    <t>지방차치TV 하이라이트</t>
  </si>
  <si>
    <t>김상국 비타민하우스 회장</t>
  </si>
  <si>
    <t>곽상용 봄 파머스 대표</t>
  </si>
  <si>
    <t>2024 지방자치TV 스페셜</t>
  </si>
  <si>
    <t>고문라운드 테이블 세션 1</t>
  </si>
  <si>
    <t>인천국악대제전 1부 시상식</t>
  </si>
  <si>
    <t>선동윤 에이블복지재단이사장</t>
  </si>
  <si>
    <t>K-Chat한국어로 대화하기</t>
  </si>
  <si>
    <t>고문라운드 테이블 세션 2</t>
  </si>
  <si>
    <t>경기남북도 분리 세션 2</t>
  </si>
  <si>
    <t>특집 지방자치 프로젝트</t>
  </si>
  <si>
    <t>경기남북도 분리 세션 3</t>
  </si>
  <si>
    <t>경기남북도 분리 세션 1</t>
  </si>
  <si>
    <t>고문라운드 테이블 세션 3</t>
  </si>
  <si>
    <t>로컬콘텐츠 페스타 토크콘서트 우승희 영암군수</t>
  </si>
  <si>
    <t>2023년 균형발전사업 우수사례 시상식 2부</t>
  </si>
  <si>
    <t>로컬콘텐츠 페스타 토크콘서트 김이강 서구청장</t>
  </si>
  <si>
    <t>로컬콘텐츠 페스타 토크콘서트 박우량 신안군수</t>
  </si>
  <si>
    <t>로컬콘텐츠 페스타 토크콘서트 구복규 화순군수</t>
  </si>
  <si>
    <t>Stereo 방송
(0:일반, 1:stereo)</t>
  </si>
  <si>
    <t>로컬콘텐츠 페스타 토크콘서트 노관규 순천시장</t>
  </si>
  <si>
    <t>로컬콘텐츠 페스타 토크콘서트 윤병태 나주시장</t>
  </si>
  <si>
    <t>로컬콘텐츠 페스타 토크콘서트 김동연 경기도지사</t>
  </si>
  <si>
    <t>로컬콘텐츠 페스타 토크콘서트 임   택 동구청장</t>
  </si>
  <si>
    <t>문상주 고려이앤씨 회장 (5월 4일 방송 예정)</t>
  </si>
  <si>
    <t>로컬콘텐츠 페스타 토크콘서트 김영미 동신대교수</t>
  </si>
  <si>
    <t>진공재 전각서예가 (5월 11일 방송 예정)</t>
  </si>
  <si>
    <t>2023년 균형발전사업 우수사례 시상식 1부</t>
  </si>
  <si>
    <t>송   은 회장</t>
  </si>
  <si>
    <t>문   웅 대표</t>
  </si>
  <si>
    <t>Show 가요열창</t>
  </si>
  <si>
    <t>CM00000001</t>
  </si>
  <si>
    <t>CM Number</t>
  </si>
  <si>
    <t>CM00000002</t>
  </si>
  <si>
    <t>부부클리닉 사랑과전쟁</t>
  </si>
  <si>
    <t>CM00000014</t>
  </si>
  <si>
    <t>CM00000008</t>
  </si>
  <si>
    <t>CM00000007</t>
  </si>
  <si>
    <t>CM00000011</t>
  </si>
  <si>
    <t>CM00000017</t>
  </si>
  <si>
    <t>CM00000018</t>
  </si>
  <si>
    <t>CM00000005</t>
  </si>
  <si>
    <t>CM00000015</t>
  </si>
  <si>
    <t>CM00000006</t>
  </si>
  <si>
    <t>CM00000012</t>
  </si>
  <si>
    <t>CM00000009</t>
  </si>
  <si>
    <t>CM00000016</t>
  </si>
  <si>
    <t>CM00000010</t>
  </si>
  <si>
    <t>CM00000013</t>
  </si>
  <si>
    <t>취미로먹고산다시즌2</t>
  </si>
  <si>
    <t>CM00000004</t>
  </si>
  <si>
    <t>휴먼다큐 희망인</t>
  </si>
  <si>
    <t>하늘에서 본 남도</t>
  </si>
  <si>
    <t>산마을행복한사람들</t>
  </si>
  <si>
    <t>주말여행산이좋다</t>
  </si>
  <si>
    <t>김씨네 편의점S1</t>
  </si>
  <si>
    <t>대한민국 방방곡곡</t>
  </si>
  <si>
    <t>지방자치단체장 인터뷰</t>
  </si>
  <si>
    <t>지방자치TV 스페셜</t>
  </si>
  <si>
    <t>김씨네 편의점S2</t>
  </si>
  <si>
    <t>황인홍 무주 군수</t>
  </si>
  <si>
    <t>마이로컬텔레비전</t>
  </si>
  <si>
    <t>정기명 여수 시장</t>
  </si>
  <si>
    <t>정용래 유성 구청장</t>
  </si>
  <si>
    <t>이수희 강동 구청장</t>
  </si>
  <si>
    <t>홍순정 신곡발표회</t>
  </si>
  <si>
    <t>오정해 국안인&amp;배우</t>
  </si>
  <si>
    <t>명물인생 시즌2</t>
  </si>
  <si>
    <t>마음의 고향 시골장터</t>
  </si>
  <si>
    <t>명물인생 시즌1</t>
  </si>
  <si>
    <t>관찰카메라 24시</t>
  </si>
  <si>
    <t>임현식의 장터사람들</t>
  </si>
  <si>
    <t>대한민국 실버가요제</t>
  </si>
  <si>
    <t>지금은 지방시대</t>
  </si>
  <si>
    <t>이정식 색소포니스트</t>
  </si>
  <si>
    <t>명물인생 시즌3</t>
  </si>
  <si>
    <t>조의진 명예교수</t>
  </si>
  <si>
    <t>박승원 광명 시장</t>
  </si>
  <si>
    <t>박정현 부여 군수</t>
  </si>
  <si>
    <t>이병노 담양 군수</t>
  </si>
  <si>
    <t>김동근 의정부 시장</t>
  </si>
  <si>
    <t>이장우 대전 시장</t>
  </si>
  <si>
    <t>우승희 영암 군수</t>
  </si>
  <si>
    <t>이상일 용인 시장</t>
  </si>
  <si>
    <t>이성헌 서대문 구청장</t>
  </si>
  <si>
    <t>김성제 의왕 시장</t>
  </si>
  <si>
    <t>김영록 전남 도지사</t>
  </si>
  <si>
    <t>김   성 장흥 군수</t>
  </si>
  <si>
    <t>CM00000052</t>
  </si>
  <si>
    <t>CM00000058</t>
  </si>
  <si>
    <t>CM00000047</t>
  </si>
  <si>
    <t>CM00000055</t>
  </si>
  <si>
    <t>CM00000045</t>
  </si>
  <si>
    <t>CM00000053</t>
  </si>
  <si>
    <t>CM00000050</t>
  </si>
  <si>
    <t>CM00000060</t>
  </si>
  <si>
    <t>CM00000059</t>
  </si>
  <si>
    <t>CM00000043</t>
  </si>
  <si>
    <t>CM00000049</t>
  </si>
  <si>
    <t>CM00000057</t>
  </si>
  <si>
    <t>CM00000064</t>
  </si>
  <si>
    <t>CM00000037</t>
  </si>
  <si>
    <t>CM00000051</t>
  </si>
  <si>
    <t>CM00000062</t>
  </si>
  <si>
    <t>이귀남 전법무부장관</t>
  </si>
  <si>
    <t>CM00000063</t>
  </si>
  <si>
    <t>CM00000003</t>
  </si>
  <si>
    <t>CM00000056</t>
  </si>
  <si>
    <t>유경기 중랑 구청장</t>
  </si>
  <si>
    <t>CM00000054</t>
  </si>
  <si>
    <t>CM00000066</t>
  </si>
  <si>
    <t>굿모닝 세계여행</t>
  </si>
  <si>
    <t>CM00000065</t>
  </si>
  <si>
    <t>CM00000067</t>
  </si>
  <si>
    <t>임금옥 대표(bhc)</t>
  </si>
  <si>
    <t>오엔제이1807</t>
  </si>
  <si>
    <t>CM00000061</t>
  </si>
  <si>
    <t>김이강 광주 서구청장</t>
  </si>
  <si>
    <t>김영익 교수(닥터둠)</t>
  </si>
  <si>
    <t>2023 광주 전남권 대학 박람회 토크콘서트 광주대</t>
  </si>
  <si>
    <t>2023 광주 전남권 대학 박람회 토크콘서트 황현필</t>
  </si>
  <si>
    <t>2023 광주 전남권 대학 박람회 토크콘서트 조선대</t>
  </si>
  <si>
    <t>2023 광주 전남권 대학 박람회 토크콘서트 이정선교육감</t>
  </si>
  <si>
    <t>댄스버스킹Danstargram on the Road</t>
  </si>
  <si>
    <t>2023 광주 전남권 대학 박람회 토크콘서트 호남대</t>
  </si>
  <si>
    <t>방태승 양주 호남향우회장 (5월 18일 방송 예정)</t>
  </si>
  <si>
    <t>황의록 한국미술재단 이사장 (4월 27일 방송 예정)</t>
  </si>
  <si>
    <t>오명석 인천 호남향우회장 (5월 25일 방송 예정)</t>
  </si>
  <si>
    <t>CM00000099</t>
  </si>
  <si>
    <t>CM00000100</t>
  </si>
  <si>
    <t>CM00000103</t>
  </si>
  <si>
    <t>지방자치TV 특별기획</t>
  </si>
  <si>
    <t>CM00000102</t>
  </si>
  <si>
    <t>연합뉴스경제TV</t>
  </si>
  <si>
    <t>김혜영의 SEN 토크</t>
  </si>
  <si>
    <t>현장 CEO 열전</t>
  </si>
  <si>
    <t>CM00000107</t>
  </si>
  <si>
    <t>CM00000101</t>
  </si>
  <si>
    <t>CM00000098</t>
  </si>
  <si>
    <t>우리동네 미술관</t>
  </si>
  <si>
    <t>소상공인시장TV</t>
  </si>
  <si>
    <t>CM00000104</t>
  </si>
  <si>
    <t>휴먼다큐 시장사람들</t>
  </si>
  <si>
    <t>CM00000106</t>
  </si>
  <si>
    <t>CM00000105</t>
  </si>
  <si>
    <t>CM00000109</t>
  </si>
  <si>
    <t>지금은 지방시대 강원</t>
  </si>
  <si>
    <t>CM00000108</t>
  </si>
  <si>
    <t>2022-05-04 14:00:121</t>
  </si>
  <si>
    <t>2022-05-04 14:00:120</t>
  </si>
  <si>
    <t>2022-05-04 14:00:104</t>
  </si>
  <si>
    <t>2022-05-04 14:00:101</t>
  </si>
  <si>
    <t>2022-05-04 14:00:112</t>
  </si>
  <si>
    <t>2022-05-04 14:00:115</t>
  </si>
  <si>
    <t>화면 해설 방송
(0:일반, 1:해설)</t>
  </si>
  <si>
    <t>2022-05-04 14:00:119</t>
  </si>
  <si>
    <t>2022-05-04 14:00:117</t>
  </si>
  <si>
    <t>2022-05-04 14:00:108</t>
  </si>
  <si>
    <t>2022-05-04 14:00:123</t>
  </si>
  <si>
    <t>2022-05-04 14:00:100</t>
  </si>
  <si>
    <t>2022-05-04 14:00:103</t>
  </si>
  <si>
    <t>2022-05-04 14:00:109</t>
  </si>
  <si>
    <t>2022-05-04 14:00:107</t>
  </si>
  <si>
    <t>2022-05-04 14:00:110</t>
  </si>
  <si>
    <t>2022-05-04 14:00:139</t>
  </si>
  <si>
    <t>2022-05-04 14:00:132</t>
  </si>
  <si>
    <t>2022-05-04 14:00:116</t>
  </si>
  <si>
    <t>2022-05-04 14:00:125</t>
  </si>
  <si>
    <t>2022-05-04 14:00:111</t>
  </si>
  <si>
    <t>2022-05-04 14:00:102</t>
  </si>
  <si>
    <t>2022-05-04 14:00:114</t>
  </si>
  <si>
    <t>2022-05-04 14:00:124</t>
  </si>
  <si>
    <t>2022-05-04 14:00:122</t>
  </si>
  <si>
    <t>음성 다중 방송
(0:일반, 1:다중)</t>
  </si>
  <si>
    <t>2022-05-04 14:00:118</t>
  </si>
  <si>
    <t>2022-05-04 14:00:105</t>
  </si>
  <si>
    <t>2022-05-04 14:00:113</t>
  </si>
  <si>
    <t>2022-05-04 14:00:106</t>
  </si>
  <si>
    <t>2022-05-04 14:00:133</t>
  </si>
  <si>
    <t>2022-05-04 14:00:151</t>
  </si>
  <si>
    <t>2022-05-04 14:00:149</t>
  </si>
  <si>
    <t>2022-05-04 14:00:146</t>
  </si>
  <si>
    <t>2022-05-04 14:00:145</t>
  </si>
  <si>
    <t>2022-05-04 14:00:167</t>
  </si>
  <si>
    <t>2022-05-04 14:00:128</t>
  </si>
  <si>
    <t>2022-05-04 14:00:138</t>
  </si>
  <si>
    <t>2022-05-04 14:00:147</t>
  </si>
  <si>
    <t>2022-05-04 14:00:152</t>
  </si>
  <si>
    <t>2022-05-04 14:00:142</t>
  </si>
  <si>
    <t>2022-05-04 14:00:134</t>
  </si>
  <si>
    <t>2022-05-04 14:00:175</t>
  </si>
  <si>
    <t>2022-05-04 14:00:155</t>
  </si>
  <si>
    <t>2022-05-04 14:00:156</t>
  </si>
  <si>
    <t>2022-05-04 14:00:136</t>
  </si>
  <si>
    <t>2022-05-04 14:00:129</t>
  </si>
  <si>
    <t>2022-05-04 14:00:153</t>
  </si>
  <si>
    <t>2022-05-04 14:00:135</t>
  </si>
  <si>
    <t>2022-05-04 14:00:127</t>
  </si>
  <si>
    <t>2022-05-04 14:00:137</t>
  </si>
  <si>
    <t>2022-05-04 14:00:140</t>
  </si>
  <si>
    <t>2022-05-04 14:00:131</t>
  </si>
  <si>
    <t>2022-05-04 14:00:154</t>
  </si>
  <si>
    <t>2022-05-04 14:00:143</t>
  </si>
  <si>
    <t>2022-05-04 14:00:130</t>
  </si>
  <si>
    <t>2022-05-04 14:00:157</t>
  </si>
  <si>
    <t>2022-05-04 14:00:144</t>
  </si>
  <si>
    <t>2022-05-04 14:00:150</t>
  </si>
  <si>
    <t>2022-05-04 14:00:126</t>
  </si>
  <si>
    <t>2022-05-04 14:00:148</t>
  </si>
  <si>
    <t>2022-05-04 14:00:141</t>
  </si>
  <si>
    <t>2022-05-04 14:00:179</t>
  </si>
  <si>
    <t>2022-05-04 14:00:185</t>
  </si>
  <si>
    <t>2022-05-04 14:00:187</t>
  </si>
  <si>
    <t>2022-05-04 14:00:180</t>
  </si>
  <si>
    <t>2022-05-04 14:00:170</t>
  </si>
  <si>
    <t>2022-05-04 14:00:183</t>
  </si>
  <si>
    <t>2022-05-04 14:00:184</t>
  </si>
  <si>
    <t>2022-05-04 14:00:189</t>
  </si>
  <si>
    <t>2022-05-04 14:00:188</t>
  </si>
  <si>
    <t>2022-05-04 14:00:165</t>
  </si>
  <si>
    <t>2022-05-04 14:00:164</t>
  </si>
  <si>
    <t>2022-05-04 14:00:168</t>
  </si>
  <si>
    <t>2022-05-04 14:00:174</t>
  </si>
  <si>
    <t>2022-05-04 14:00:161</t>
  </si>
  <si>
    <t>2022-05-04 14:00:172</t>
  </si>
  <si>
    <t>2022-05-04 14:00:181</t>
  </si>
  <si>
    <t>2022-05-04 14:00:176</t>
  </si>
  <si>
    <t>2022-05-04 14:00:171</t>
  </si>
  <si>
    <t>2022-05-04 14:00:169</t>
  </si>
  <si>
    <t>2022-05-04 14:00:162</t>
  </si>
  <si>
    <t>2022-05-04 14:00:182</t>
  </si>
  <si>
    <t>2022-05-04 14:00:186</t>
  </si>
  <si>
    <t>2022-05-04 14:00:159</t>
  </si>
  <si>
    <t>2022-05-04 14:00:166</t>
  </si>
  <si>
    <t>2022-05-04 14:00:178</t>
  </si>
  <si>
    <t>2022-05-04 14:00:163</t>
  </si>
  <si>
    <t>2022-05-04 14:00:158</t>
  </si>
  <si>
    <t>2022-05-04 14:00:190</t>
  </si>
  <si>
    <t>2022-05-04 14:00:194</t>
  </si>
  <si>
    <t>2022-05-04 14:00:177</t>
  </si>
  <si>
    <t>2022-05-04 14:00:173</t>
  </si>
  <si>
    <t>2022-05-04 14:00:160</t>
  </si>
  <si>
    <t>2022-05-04 14:00:195</t>
  </si>
  <si>
    <t>새로운 대한민국 지방자치가 답이다 2부</t>
  </si>
  <si>
    <t>2023 로컬콘텐츠 페스타 1부(생방송)</t>
  </si>
  <si>
    <t>2022-05-04 14:00:201</t>
  </si>
  <si>
    <t>2022-05-04 14:00:192</t>
  </si>
  <si>
    <t>새로운 대한민국 지방자치가 답이다 1부</t>
  </si>
  <si>
    <t>2022-05-04 14:00:197</t>
  </si>
  <si>
    <t>2023 로컬콘텐츠 페스타 2부(생방송)</t>
  </si>
  <si>
    <t>2022-05-04 14:00:196</t>
  </si>
  <si>
    <t>2022-05-04 14:00:198</t>
  </si>
  <si>
    <t>2022-05-04 14:00:199</t>
  </si>
  <si>
    <t>2022-05-04 14:00:193</t>
  </si>
  <si>
    <t>2022-05-04 14:00:200</t>
  </si>
  <si>
    <t>2022-05-04 14:00:202</t>
  </si>
  <si>
    <t>2022-05-04 14:00:191</t>
  </si>
  <si>
    <t>특집 2026 지방선거_서울특별시의회 생생중계_본회의</t>
    <phoneticPr fontId="15" type="noConversion"/>
  </si>
  <si>
    <t>CM00000113</t>
  </si>
  <si>
    <t>무상수급</t>
    <phoneticPr fontId="15" type="noConversion"/>
  </si>
  <si>
    <t>서울시의회</t>
    <phoneticPr fontId="15" type="noConversion"/>
  </si>
  <si>
    <t>시사정보</t>
    <phoneticPr fontId="15" type="noConversion"/>
  </si>
  <si>
    <t>뉴스/경제</t>
    <phoneticPr fontId="15" type="noConversion"/>
  </si>
  <si>
    <t>FW</t>
    <phoneticPr fontId="15" type="noConversion"/>
  </si>
  <si>
    <t>특집 2026 지방선거_서울특별시의회 생생중계_상임위</t>
    <phoneticPr fontId="15" type="noConversion"/>
  </si>
  <si>
    <t>CM00000114</t>
  </si>
  <si>
    <t>알짜정보 지식Q</t>
    <phoneticPr fontId="15" type="noConversion"/>
  </si>
  <si>
    <t>CM00000115</t>
  </si>
  <si>
    <t>CM00000116</t>
  </si>
  <si>
    <t>쿠키건강TV</t>
    <phoneticPr fontId="15" type="noConversion"/>
  </si>
  <si>
    <t>피곤한미식가</t>
    <phoneticPr fontId="15" type="noConversion"/>
  </si>
  <si>
    <t>더 人터뷰
&lt;51</t>
    <phoneticPr fontId="15" type="noConversion"/>
  </si>
  <si>
    <t>CM00000117</t>
  </si>
  <si>
    <t>CM00000118</t>
  </si>
  <si>
    <t>특집 2026 지방선거_경기도의회 생생중계_본회의</t>
    <phoneticPr fontId="15" type="noConversion"/>
  </si>
  <si>
    <t>특집 2026 지방선거_경기도의회 생생중계_상임위</t>
    <phoneticPr fontId="15" type="noConversion"/>
  </si>
  <si>
    <t>알짜정보지식Q</t>
    <phoneticPr fontId="15" type="noConversion"/>
  </si>
  <si>
    <t>눈에 띄는 그녀들 시즌3</t>
    <phoneticPr fontId="15" type="noConversion"/>
  </si>
  <si>
    <t>CM00000119</t>
  </si>
  <si>
    <t>국내구매</t>
    <phoneticPr fontId="15" type="noConversion"/>
  </si>
  <si>
    <t>베리미디어</t>
    <phoneticPr fontId="15" type="noConversion"/>
  </si>
  <si>
    <t>교양</t>
    <phoneticPr fontId="15" type="noConversion"/>
  </si>
  <si>
    <t>예능</t>
    <phoneticPr fontId="15" type="noConversion"/>
  </si>
  <si>
    <t>SW</t>
    <phoneticPr fontId="15" type="noConversion"/>
  </si>
  <si>
    <t xml:space="preserve"> NEWS4
&lt;63</t>
    <phoneticPr fontId="15" type="noConversion"/>
  </si>
  <si>
    <t xml:space="preserve"> NEWSPLUS
&lt;63</t>
    <phoneticPr fontId="15" type="noConversion"/>
  </si>
  <si>
    <t>남도스럽게
&lt;03</t>
    <phoneticPr fontId="15" type="noConversion"/>
  </si>
  <si>
    <t>남도스럽게
&lt;04</t>
  </si>
  <si>
    <t>남도스럽게
&lt;05</t>
  </si>
  <si>
    <t xml:space="preserve"> NEWSJ
&lt;66</t>
    <phoneticPr fontId="15" type="noConversion"/>
  </si>
  <si>
    <t>더 人터뷰
&lt;52</t>
  </si>
  <si>
    <t>눈에 띄는 그녀들 시즌3
&lt;09</t>
  </si>
  <si>
    <t>눈에 띄는 그녀들 시즌3
&lt;10</t>
  </si>
  <si>
    <t>낭만살롱
&lt;01</t>
    <phoneticPr fontId="15" type="noConversion"/>
  </si>
  <si>
    <t>낭만살롱
&lt;02</t>
  </si>
  <si>
    <t>낭만살롱
&lt;03</t>
  </si>
  <si>
    <t>낭만살롱
&lt;04</t>
  </si>
  <si>
    <t>낭만살롱
&lt;05</t>
    <phoneticPr fontId="15" type="noConversion"/>
  </si>
  <si>
    <t xml:space="preserve"> NEWSON
&lt;66</t>
    <phoneticPr fontId="15" type="noConversion"/>
  </si>
  <si>
    <t>우리동네 너튜브
&lt;09</t>
  </si>
  <si>
    <t>우리동네 너튜브
&lt;10</t>
  </si>
  <si>
    <t>특집 2026 지방선거_경기도의회 생생중계_본회의
&lt;02</t>
    <phoneticPr fontId="15" type="noConversion"/>
  </si>
  <si>
    <t>특집 2026 지방선거_경기도의회 생생중계_상임위
&lt;02</t>
    <phoneticPr fontId="15" type="noConversion"/>
  </si>
  <si>
    <t>특집 2026 지방선거_경기도의회 생생중계_본회의
&lt;04</t>
    <phoneticPr fontId="15" type="noConversion"/>
  </si>
  <si>
    <t>특집 2026 지방선거_경기도의회 생생중계_상임위
&lt;04</t>
    <phoneticPr fontId="15" type="noConversion"/>
  </si>
  <si>
    <t>휴먼다큐 시장사람들
&lt;15</t>
    <phoneticPr fontId="15" type="noConversion"/>
  </si>
  <si>
    <t>휴먼다큐 시장사람들
&lt;16</t>
  </si>
  <si>
    <t>휴먼다큐 시장사람들
&lt;17</t>
  </si>
  <si>
    <t>휴먼다큐 시장사람들
&lt;18</t>
  </si>
  <si>
    <t>휴먼다큐 시장사람들
&lt;19</t>
  </si>
  <si>
    <t>휴먼다큐 시장사람들
&lt;20</t>
  </si>
  <si>
    <t>휴먼다큐 시장사람들
&lt;21</t>
  </si>
  <si>
    <t>최선규의 이제는 지방시대 시즌2
&lt;04</t>
    <phoneticPr fontId="15" type="noConversion"/>
  </si>
  <si>
    <t>최선규의 이제는 지방시대 시즌2
&lt;05</t>
  </si>
  <si>
    <t>최선규의 이제는 지방시대 시즌2
&lt;06</t>
  </si>
  <si>
    <t>최선규의 이제는 지방시대 시즌2
&lt;07</t>
  </si>
  <si>
    <t>최선규의 이제는 지방시대 시즌2
&lt;08</t>
  </si>
  <si>
    <t>최선규의 이제는 지방시대 시즌2
&lt;09</t>
  </si>
  <si>
    <t>최선규의 이제는 지방시대 시즌2
&lt;10</t>
  </si>
  <si>
    <t>태군노래자랑
&lt;08</t>
    <phoneticPr fontId="15" type="noConversion"/>
  </si>
  <si>
    <t>태군노래자랑
&lt;09</t>
  </si>
  <si>
    <t>태군노래자랑
&lt;10</t>
  </si>
  <si>
    <t>태군노래자랑
&lt;11</t>
  </si>
  <si>
    <t>태군노래자랑
&lt;12</t>
  </si>
  <si>
    <t>태군노래자랑
&lt;13</t>
  </si>
  <si>
    <t>태군노래자랑
&lt;14</t>
  </si>
  <si>
    <t xml:space="preserve"> 내삶을바꾸는정책
&lt;2189</t>
    <phoneticPr fontId="15" type="noConversion"/>
  </si>
  <si>
    <t xml:space="preserve"> 내삶을바꾸는정책
&lt;2190</t>
  </si>
  <si>
    <t xml:space="preserve"> 내삶을바꾸는정책
&lt;2191</t>
  </si>
  <si>
    <t xml:space="preserve"> 내삶을바꾸는정책
&lt;2192</t>
  </si>
  <si>
    <t xml:space="preserve"> 내삶을바꾸는정책
&lt;2193</t>
  </si>
  <si>
    <t xml:space="preserve"> 내삶을바꾸는정책
&lt;2194</t>
  </si>
  <si>
    <t xml:space="preserve"> 내삶을바꾸는정책
&lt;2195</t>
  </si>
  <si>
    <t>내고향 전파
&lt;05</t>
    <phoneticPr fontId="15" type="noConversion"/>
  </si>
  <si>
    <t>내고향 전파
&lt;06</t>
    <phoneticPr fontId="15" type="noConversion"/>
  </si>
  <si>
    <t>내고향 전파
&lt;07</t>
  </si>
  <si>
    <t>지금은 지방시대
&lt;190</t>
    <phoneticPr fontId="15" type="noConversion"/>
  </si>
  <si>
    <t>최선규의 이제는 지방시대 시즌2
&lt;22</t>
    <phoneticPr fontId="15" type="noConversion"/>
  </si>
  <si>
    <t>최선규의 이제는 지방시대 시즌2
&lt;23</t>
    <phoneticPr fontId="15" type="noConversion"/>
  </si>
  <si>
    <t>최선규의 이제는 지방시대 시즌2
&lt;24</t>
    <phoneticPr fontId="15" type="noConversion"/>
  </si>
  <si>
    <t>최선규의 이제는 지방시대
&lt;01</t>
    <phoneticPr fontId="15" type="noConversion"/>
  </si>
  <si>
    <t>최선규의 이제는 지방시대
&lt;02</t>
  </si>
  <si>
    <t>최선규의 이제는 지방시대
&lt;03</t>
  </si>
  <si>
    <t>최선규의 이제는 지방시대
&lt;04</t>
  </si>
  <si>
    <t xml:space="preserve"> NEWSPLUS
&lt;64</t>
    <phoneticPr fontId="15" type="noConversion"/>
  </si>
  <si>
    <t>남도스럽게
&lt;06</t>
    <phoneticPr fontId="15" type="noConversion"/>
  </si>
  <si>
    <t>눈에 띄는 그녀들 시즌3
&lt;07</t>
    <phoneticPr fontId="15" type="noConversion"/>
  </si>
  <si>
    <t>눈에 띄는 그녀들 시즌3
&lt;08</t>
  </si>
  <si>
    <t>특집 2026 지방선거_서울특별시의회 생생중계_본회의
&lt;15</t>
    <phoneticPr fontId="15" type="noConversion"/>
  </si>
  <si>
    <t>특집 2026 지방선거_서울특별시의회 생생중계_본회의
&lt;16</t>
  </si>
  <si>
    <t>특집 2026 지방선거_서울특별시의회 생생중계_본회의
&lt;17</t>
  </si>
  <si>
    <t>특집 2026 지방선거_서울특별시의회 생생중계_본회의
&lt;05</t>
    <phoneticPr fontId="15" type="noConversion"/>
  </si>
  <si>
    <t>특집 2026 지방선거_서울특별시의회 생생중계_본회의
&lt;06</t>
  </si>
  <si>
    <t>지방자치TV 스페셜
&lt;21</t>
    <phoneticPr fontId="15" type="noConversion"/>
  </si>
  <si>
    <t>특집 2026 지방선거_경기도의회 생생중계_본회의
&lt;14</t>
    <phoneticPr fontId="15" type="noConversion"/>
  </si>
  <si>
    <t>특집 2026 지방선거_경기도의회 생생중계_본회의
&lt;15</t>
  </si>
  <si>
    <t>특집 2026 지방선거_경기도의회 생생중계_본회의
&lt;16</t>
  </si>
  <si>
    <t>특집 2026 지방선거_경기도의회 생생중계_본회의
&lt;17</t>
  </si>
  <si>
    <t>특집 2026 지방선거_경기도의회 생생중계_본회의
&lt;18</t>
  </si>
  <si>
    <t>지방자치TV 스페셜
&lt;22</t>
  </si>
  <si>
    <t>행복무지개
&lt;31</t>
    <phoneticPr fontId="15" type="noConversion"/>
  </si>
  <si>
    <t>행복무지개
&lt;32</t>
    <phoneticPr fontId="15" type="noConversion"/>
  </si>
  <si>
    <t xml:space="preserve"> NEWSJ
&lt;67</t>
    <phoneticPr fontId="15" type="noConversion"/>
  </si>
  <si>
    <t>더 人터뷰
&lt;53</t>
  </si>
  <si>
    <t>더 人터뷰
&lt;52</t>
    <phoneticPr fontId="15" type="noConversion"/>
  </si>
  <si>
    <t>더 人터뷰
&lt;54</t>
    <phoneticPr fontId="15" type="noConversion"/>
  </si>
  <si>
    <t>특집 2026 지방선거_서울특별시의회 생생중계_상임위
&lt;15</t>
    <phoneticPr fontId="15" type="noConversion"/>
  </si>
  <si>
    <t>특집 2026 지방선거_서울특별시의회 생생중계_상임위
&lt;16</t>
  </si>
  <si>
    <t>특집 2026 지방선거_서울특별시의회 생생중계_상임위
&lt;17</t>
  </si>
  <si>
    <t>특집 2026 지방선거_서울특별시의회 생생중계_상임위
&lt;18</t>
  </si>
  <si>
    <t>특집 2026 지방선거_서울특별시의회 생생중계_상임위
&lt;19</t>
  </si>
  <si>
    <t>지방자치TV 스페셜
&lt;23</t>
    <phoneticPr fontId="15" type="noConversion"/>
  </si>
  <si>
    <t xml:space="preserve"> NEWS4
&lt;64</t>
    <phoneticPr fontId="15" type="noConversion"/>
  </si>
  <si>
    <t>호남, 호남人
&lt;130</t>
    <phoneticPr fontId="15" type="noConversion"/>
  </si>
  <si>
    <t>호남, 호남人
&lt;131</t>
  </si>
  <si>
    <t>호남, 호남人
&lt;133</t>
    <phoneticPr fontId="15" type="noConversion"/>
  </si>
  <si>
    <t>지금은 지방시대 강원
&lt;18</t>
    <phoneticPr fontId="15" type="noConversion"/>
  </si>
  <si>
    <t>특집 2026 지방선거_경기도의회 생생중계_상임위
&lt;14</t>
    <phoneticPr fontId="15" type="noConversion"/>
  </si>
  <si>
    <t>특집 2026 지방선거_경기도의회 생생중계_상임위
&lt;15</t>
  </si>
  <si>
    <t>특집 2026 지방선거_경기도의회 생생중계_상임위
&lt;16</t>
  </si>
  <si>
    <t>특집 2026 지방선거_경기도의회 생생중계_상임위
&lt;17</t>
  </si>
  <si>
    <t>특집 2026 지방선거_경기도의회 생생중계_상임위
&lt;18</t>
  </si>
  <si>
    <t>더 人터뷰
&lt;01</t>
    <phoneticPr fontId="15" type="noConversion"/>
  </si>
  <si>
    <t>더 人터뷰
&lt;02</t>
  </si>
  <si>
    <t>뉴스와이드
&lt;436</t>
  </si>
  <si>
    <t>더 人터뷰
&lt;03</t>
    <phoneticPr fontId="15" type="noConversion"/>
  </si>
  <si>
    <t>더 人터뷰
&lt;04</t>
  </si>
  <si>
    <t xml:space="preserve"> NEWSON
&lt;67</t>
    <phoneticPr fontId="15" type="noConversion"/>
  </si>
  <si>
    <t>우리동네 너튜브
&lt;04</t>
    <phoneticPr fontId="15" type="noConversion"/>
  </si>
  <si>
    <t>우리동네 너튜브
&lt;05</t>
  </si>
  <si>
    <t>우리동네 너튜브
&lt;06</t>
  </si>
  <si>
    <t>우리동네 너튜브
&lt;07</t>
  </si>
  <si>
    <t>우리동네 너튜브
&lt;08</t>
  </si>
  <si>
    <t>낭만살롱
&lt;05</t>
  </si>
  <si>
    <t>지방자치TV 스페셜
&lt;24</t>
    <phoneticPr fontId="15" type="noConversion"/>
  </si>
  <si>
    <t>지방차치TV 하이라이트
&lt;13</t>
    <phoneticPr fontId="15" type="noConversion"/>
  </si>
  <si>
    <t>눈에 띄는 그녀들 시즌5
&lt;01</t>
    <phoneticPr fontId="15" type="noConversion"/>
  </si>
  <si>
    <t>눈에 띄는 그녀들 시즌5
&lt;02</t>
  </si>
  <si>
    <t>눈에 띄는 그녀들 시즌5
&lt;03</t>
  </si>
  <si>
    <t>눈에 띄는 그녀들 시즌5
&lt;05</t>
    <phoneticPr fontId="15" type="noConversion"/>
  </si>
  <si>
    <t>눈에 띄는 그녀들 시즌5
&lt;06</t>
  </si>
  <si>
    <t>눈에 띄는 그녀들 시즌5
&lt;07</t>
  </si>
  <si>
    <t>눈에 띄는 그녀들 시즌5
&lt;08</t>
  </si>
  <si>
    <t>뉴스와이드
&lt;434</t>
    <phoneticPr fontId="15" type="noConversion"/>
  </si>
  <si>
    <t>뉴스와이드
&lt;435</t>
  </si>
  <si>
    <t>도시락
&lt;59</t>
    <phoneticPr fontId="15" type="noConversion"/>
  </si>
  <si>
    <t>눈에 띄는 그녀들 시즌5</t>
    <phoneticPr fontId="15" type="noConversion"/>
  </si>
  <si>
    <t>CM00000120</t>
  </si>
  <si>
    <t>지방자치단체장 인터뷰
&lt;47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</si>
</sst>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mm/dd\ \(aaa\)"/>
    <numFmt numFmtId="177" formatCode="&quot;작&quot;&quot;성&quot;\ \:\ yyyy/mm/dd"/>
    <numFmt numFmtId="178" formatCode="h:mm;@"/>
    <numFmt numFmtId="179" formatCode="yyyy/mm/dd\ hh:mm:ss"/>
    <numFmt numFmtId="180" formatCode="[hh]:mm"/>
    <numFmt numFmtId="181" formatCode="0.0%"/>
    <numFmt numFmtId="182" formatCode="0_);[Red]\(0\)"/>
    <numFmt numFmtId="183" formatCode="@&quot;회&quot;\&gt;"/>
    <numFmt numFmtId="184" formatCode="0&quot;회&quot;"/>
  </numFmts>
  <fonts count="18" x14ac:knownFonts="1">
    <font>
      <sz val="11"/>
      <color rgb="FF000000"/>
      <name val="맑은 고딕"/>
    </font>
    <font>
      <sz val="11"/>
      <color rgb="FF000000"/>
      <name val="돋움"/>
      <family val="3"/>
      <charset val="129"/>
    </font>
    <font>
      <sz val="13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28"/>
      <color rgb="FF000000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6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  <font>
      <sz val="18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b/>
      <sz val="8"/>
      <color rgb="FF000000"/>
      <name val="맑은 고딕"/>
      <family val="3"/>
      <charset val="129"/>
    </font>
    <font>
      <strike/>
      <sz val="8"/>
      <color rgb="FF000000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28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b/>
      <sz val="14"/>
      <color rgb="FF00B050"/>
      <name val="맑은 고딕"/>
      <family val="3"/>
      <charset val="129"/>
    </font>
    <font>
      <b/>
      <sz val="14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C9C9C9"/>
        <bgColor indexed="64"/>
      </patternFill>
    </fill>
  </fills>
  <borders count="2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hair">
        <color rgb="FF4472C4"/>
      </left>
      <right style="hair">
        <color rgb="FF4472C4"/>
      </right>
      <top style="hair">
        <color rgb="FF4472C4"/>
      </top>
      <bottom style="hair">
        <color rgb="FF4472C4"/>
      </bottom>
      <diagonal/>
    </border>
    <border>
      <left style="hair">
        <color rgb="FF44546A"/>
      </left>
      <right style="hair">
        <color rgb="FF44546A"/>
      </right>
      <top style="hair">
        <color rgb="FF44546A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hair">
        <color rgb="FF4472C4"/>
      </left>
      <right/>
      <top style="hair">
        <color rgb="FF4472C4"/>
      </top>
      <bottom/>
      <diagonal/>
    </border>
    <border>
      <left style="hair">
        <color rgb="FF4472C4"/>
      </left>
      <right style="hair">
        <color rgb="FF4472C4"/>
      </right>
      <top style="hair">
        <color rgb="FF4472C4"/>
      </top>
      <bottom/>
      <diagonal/>
    </border>
    <border>
      <left style="hair">
        <color rgb="FF4472C4"/>
      </left>
      <right/>
      <top style="hair">
        <color rgb="FF4472C4"/>
      </top>
      <bottom style="hair">
        <color rgb="FF4472C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hair">
        <color rgb="FF4472C4"/>
      </left>
      <right style="hair">
        <color rgb="FF4472C4"/>
      </right>
      <top/>
      <bottom style="hair">
        <color rgb="FF4472C4"/>
      </bottom>
      <diagonal/>
    </border>
    <border>
      <left style="hair">
        <color rgb="FF4472C4"/>
      </left>
      <right style="hair">
        <color rgb="FF4472C4"/>
      </right>
      <top/>
      <bottom/>
      <diagonal/>
    </border>
    <border>
      <left style="medium">
        <color indexed="64"/>
      </left>
      <right style="hair">
        <color rgb="FF4472C4"/>
      </right>
      <top style="medium">
        <color indexed="64"/>
      </top>
      <bottom style="hair">
        <color rgb="FF4472C4"/>
      </bottom>
      <diagonal/>
    </border>
    <border>
      <left style="hair">
        <color rgb="FF4472C4"/>
      </left>
      <right style="hair">
        <color rgb="FF4472C4"/>
      </right>
      <top style="medium">
        <color indexed="64"/>
      </top>
      <bottom style="hair">
        <color rgb="FF4472C4"/>
      </bottom>
      <diagonal/>
    </border>
    <border>
      <left style="hair">
        <color rgb="FF4472C4"/>
      </left>
      <right style="medium">
        <color indexed="64"/>
      </right>
      <top style="medium">
        <color indexed="64"/>
      </top>
      <bottom style="hair">
        <color rgb="FF4472C4"/>
      </bottom>
      <diagonal/>
    </border>
    <border>
      <left style="medium">
        <color indexed="64"/>
      </left>
      <right style="hair">
        <color rgb="FF4472C4"/>
      </right>
      <top style="hair">
        <color rgb="FF4472C4"/>
      </top>
      <bottom style="hair">
        <color rgb="FF4472C4"/>
      </bottom>
      <diagonal/>
    </border>
    <border>
      <left style="hair">
        <color rgb="FF4472C4"/>
      </left>
      <right style="medium">
        <color indexed="64"/>
      </right>
      <top style="hair">
        <color rgb="FF4472C4"/>
      </top>
      <bottom style="hair">
        <color rgb="FF4472C4"/>
      </bottom>
      <diagonal/>
    </border>
    <border>
      <left style="medium">
        <color indexed="64"/>
      </left>
      <right style="hair">
        <color rgb="FF4472C4"/>
      </right>
      <top style="hair">
        <color rgb="FF4472C4"/>
      </top>
      <bottom style="medium">
        <color indexed="64"/>
      </bottom>
      <diagonal/>
    </border>
    <border>
      <left style="hair">
        <color rgb="FF4472C4"/>
      </left>
      <right style="hair">
        <color rgb="FF4472C4"/>
      </right>
      <top style="hair">
        <color rgb="FF4472C4"/>
      </top>
      <bottom style="medium">
        <color indexed="64"/>
      </bottom>
      <diagonal/>
    </border>
    <border>
      <left style="hair">
        <color rgb="FF4472C4"/>
      </left>
      <right style="medium">
        <color indexed="64"/>
      </right>
      <top style="hair">
        <color rgb="FF4472C4"/>
      </top>
      <bottom style="medium">
        <color indexed="64"/>
      </bottom>
      <diagonal/>
    </border>
    <border>
      <left/>
      <right style="hair">
        <color rgb="FF4472C4"/>
      </right>
      <top style="hair">
        <color rgb="FF4472C4"/>
      </top>
      <bottom style="hair">
        <color rgb="FF4472C4"/>
      </bottom>
      <diagonal/>
    </border>
  </borders>
  <cellStyleXfs count="3">
    <xf numFmtId="0" fontId="0" fillId="0" borderId="0">
      <alignment vertical="center"/>
    </xf>
    <xf numFmtId="0" fontId="1" fillId="2" borderId="1">
      <alignment vertical="center"/>
    </xf>
    <xf numFmtId="0" fontId="14" fillId="0" borderId="0">
      <alignment vertical="center"/>
    </xf>
  </cellStyleXfs>
  <cellXfs count="88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179" fontId="7" fillId="0" borderId="2" xfId="0" applyNumberFormat="1" applyFont="1" applyBorder="1">
      <alignment vertical="center"/>
    </xf>
    <xf numFmtId="14" fontId="7" fillId="0" borderId="2" xfId="0" applyNumberFormat="1" applyFont="1" applyBorder="1">
      <alignment vertical="center"/>
    </xf>
    <xf numFmtId="178" fontId="7" fillId="0" borderId="2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180" fontId="6" fillId="0" borderId="4" xfId="0" applyNumberFormat="1" applyFont="1" applyBorder="1" applyAlignment="1">
      <alignment horizontal="center" vertical="center"/>
    </xf>
    <xf numFmtId="181" fontId="6" fillId="0" borderId="4" xfId="0" applyNumberFormat="1" applyFont="1" applyBorder="1">
      <alignment vertical="center"/>
    </xf>
    <xf numFmtId="0" fontId="9" fillId="5" borderId="4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7" fillId="0" borderId="2" xfId="2" applyFont="1" applyBorder="1">
      <alignment vertical="center"/>
    </xf>
    <xf numFmtId="49" fontId="7" fillId="0" borderId="2" xfId="0" applyNumberFormat="1" applyFont="1" applyBorder="1">
      <alignment vertical="center"/>
    </xf>
    <xf numFmtId="182" fontId="7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2" xfId="0" applyFont="1" applyFill="1" applyBorder="1">
      <alignment vertical="center"/>
    </xf>
    <xf numFmtId="182" fontId="10" fillId="6" borderId="2" xfId="0" applyNumberFormat="1" applyFont="1" applyFill="1" applyBorder="1" applyAlignment="1">
      <alignment vertical="center" wrapText="1"/>
    </xf>
    <xf numFmtId="0" fontId="10" fillId="6" borderId="2" xfId="0" applyFont="1" applyFill="1" applyBorder="1" applyAlignment="1">
      <alignment vertical="center" wrapText="1"/>
    </xf>
    <xf numFmtId="179" fontId="7" fillId="0" borderId="2" xfId="0" applyNumberFormat="1" applyFont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49" fontId="7" fillId="0" borderId="2" xfId="0" applyNumberFormat="1" applyFont="1" applyBorder="1" applyAlignment="1">
      <alignment horizontal="center" vertical="center"/>
    </xf>
    <xf numFmtId="0" fontId="6" fillId="4" borderId="5" xfId="0" applyFont="1" applyFill="1" applyBorder="1" applyAlignment="1">
      <alignment horizont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6" fillId="4" borderId="0" xfId="0" applyFont="1" applyFill="1" applyAlignment="1">
      <alignment horizontal="right"/>
    </xf>
    <xf numFmtId="177" fontId="8" fillId="4" borderId="6" xfId="0" applyNumberFormat="1" applyFont="1" applyFill="1" applyBorder="1">
      <alignment vertical="center"/>
    </xf>
    <xf numFmtId="0" fontId="8" fillId="7" borderId="2" xfId="0" applyFont="1" applyFill="1" applyBorder="1" applyAlignment="1">
      <alignment horizontal="center" vertical="center"/>
    </xf>
    <xf numFmtId="49" fontId="8" fillId="7" borderId="2" xfId="0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184" fontId="7" fillId="0" borderId="7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8" xfId="0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7" fillId="0" borderId="9" xfId="0" applyFont="1" applyBorder="1" applyAlignment="1">
      <alignment vertical="center" wrapText="1"/>
    </xf>
    <xf numFmtId="184" fontId="7" fillId="0" borderId="0" xfId="0" applyNumberFormat="1" applyFont="1" applyAlignment="1">
      <alignment horizontal="center" vertical="center" wrapText="1"/>
    </xf>
    <xf numFmtId="176" fontId="12" fillId="7" borderId="2" xfId="0" applyNumberFormat="1" applyFont="1" applyFill="1" applyBorder="1" applyAlignment="1">
      <alignment horizontal="center" vertical="center"/>
    </xf>
    <xf numFmtId="0" fontId="14" fillId="0" borderId="0" xfId="0" applyFont="1">
      <alignment vertical="center"/>
    </xf>
    <xf numFmtId="183" fontId="17" fillId="3" borderId="2" xfId="0" applyNumberFormat="1" applyFont="1" applyFill="1" applyBorder="1" applyAlignment="1">
      <alignment horizontal="center" vertical="center" wrapText="1"/>
    </xf>
    <xf numFmtId="183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83" fontId="5" fillId="3" borderId="2" xfId="0" applyNumberFormat="1" applyFont="1" applyFill="1" applyBorder="1" applyAlignment="1">
      <alignment horizontal="center" vertical="center" wrapText="1"/>
    </xf>
    <xf numFmtId="183" fontId="17" fillId="0" borderId="2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183" fontId="5" fillId="0" borderId="8" xfId="0" applyNumberFormat="1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183" fontId="5" fillId="0" borderId="9" xfId="0" applyNumberFormat="1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183" fontId="5" fillId="0" borderId="13" xfId="0" applyNumberFormat="1" applyFont="1" applyBorder="1" applyAlignment="1">
      <alignment horizontal="center" vertical="center" wrapText="1"/>
    </xf>
    <xf numFmtId="183" fontId="5" fillId="0" borderId="14" xfId="0" applyNumberFormat="1" applyFont="1" applyBorder="1" applyAlignment="1">
      <alignment horizontal="center" vertical="center" wrapText="1"/>
    </xf>
    <xf numFmtId="183" fontId="5" fillId="3" borderId="8" xfId="0" applyNumberFormat="1" applyFont="1" applyFill="1" applyBorder="1" applyAlignment="1">
      <alignment horizontal="center" vertical="center" wrapText="1"/>
    </xf>
    <xf numFmtId="183" fontId="5" fillId="0" borderId="16" xfId="0" applyNumberFormat="1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183" fontId="16" fillId="0" borderId="2" xfId="0" applyNumberFormat="1" applyFont="1" applyBorder="1" applyAlignment="1">
      <alignment horizontal="center" vertical="center" wrapText="1"/>
    </xf>
    <xf numFmtId="183" fontId="5" fillId="3" borderId="9" xfId="0" applyNumberFormat="1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183" fontId="5" fillId="3" borderId="15" xfId="0" applyNumberFormat="1" applyFont="1" applyFill="1" applyBorder="1" applyAlignment="1">
      <alignment horizontal="center" vertical="center" wrapText="1"/>
    </xf>
    <xf numFmtId="0" fontId="5" fillId="3" borderId="18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49" fontId="5" fillId="7" borderId="9" xfId="0" applyNumberFormat="1" applyFont="1" applyFill="1" applyBorder="1" applyAlignment="1">
      <alignment horizontal="center" vertical="center"/>
    </xf>
    <xf numFmtId="183" fontId="5" fillId="0" borderId="15" xfId="0" applyNumberFormat="1" applyFont="1" applyBorder="1" applyAlignment="1">
      <alignment horizontal="center" vertical="center" wrapText="1"/>
    </xf>
    <xf numFmtId="183" fontId="5" fillId="0" borderId="18" xfId="0" applyNumberFormat="1" applyFont="1" applyBorder="1" applyAlignment="1">
      <alignment horizontal="center" vertical="center" wrapText="1"/>
    </xf>
    <xf numFmtId="183" fontId="5" fillId="0" borderId="20" xfId="0" applyNumberFormat="1" applyFont="1" applyBorder="1" applyAlignment="1">
      <alignment horizontal="center" vertical="center" wrapText="1"/>
    </xf>
    <xf numFmtId="183" fontId="5" fillId="0" borderId="23" xfId="0" applyNumberFormat="1" applyFont="1" applyBorder="1" applyAlignment="1">
      <alignment horizontal="center" vertical="center" wrapText="1"/>
    </xf>
    <xf numFmtId="49" fontId="5" fillId="7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center" vertical="center" wrapText="1"/>
    </xf>
    <xf numFmtId="0" fontId="13" fillId="0" borderId="11" xfId="1" applyFont="1" applyFill="1" applyBorder="1" applyAlignment="1">
      <alignment horizontal="center" vertical="center" wrapText="1"/>
    </xf>
    <xf numFmtId="0" fontId="13" fillId="0" borderId="12" xfId="1" applyFont="1" applyFill="1" applyBorder="1" applyAlignment="1">
      <alignment horizontal="center" vertical="center" wrapText="1"/>
    </xf>
  </cellXfs>
  <cellStyles count="3">
    <cellStyle name="Normal" xfId="0" builtinId="0"/>
    <cellStyle name="Note 2 2 2 2 2 2 8 2" xfId="1" xr:uid="{00000000-0005-0000-0000-000001000000}"/>
    <cellStyle name="표준 7" xfId="2" xr:uid="{00000000-0005-0000-0000-000002000000}"/>
  </cellStyles>
  <dxfs count="43"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ont>
        <b/>
        <color rgb="FF00B050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  <tableStyle name="Light Style 1 - Accent 1" table="0" count="7" xr9:uid="{00000000-0011-0000-FFFF-FFFF01000000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</tableStyle>
    <tableStyle name="Invisible" pivot="0" count="0" xr9:uid="{00000000-0011-0000-FFFF-FFFF02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" name="직사각형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7" name="직사각형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6" name="직사각형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8" name="직사각형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9" name="직사각형 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" name="직사각형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0" name="직사각형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7" name="직사각형 4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0" name="직사각형 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1" name="직사각형 4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2" name="직사각형 4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Rot="1"/>
        </xdr:cNvSpPr>
      </xdr:nvSpPr>
      <xdr:spPr>
        <a:xfrm>
          <a:off x="857250" y="8844643"/>
          <a:ext cx="830035" cy="20410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4</xdr:col>
      <xdr:colOff>1524000</xdr:colOff>
      <xdr:row>203</xdr:row>
      <xdr:rowOff>76200</xdr:rowOff>
    </xdr:from>
    <xdr:to>
      <xdr:col>5</xdr:col>
      <xdr:colOff>57150</xdr:colOff>
      <xdr:row>206</xdr:row>
      <xdr:rowOff>76200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Rot="1"/>
        </xdr:cNvSpPr>
      </xdr:nvSpPr>
      <xdr:spPr>
        <a:xfrm>
          <a:off x="7102928" y="17634858"/>
          <a:ext cx="911678" cy="244928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맑은 고딕"/>
              <a:ea typeface="맑은 고딕"/>
            </a:rPr>
            <a:t>오태석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" name="직사각형 4">
          <a:extLst>
            <a:ext uri="{FF2B5EF4-FFF2-40B4-BE49-F238E27FC236}">
              <a16:creationId xmlns:a16="http://schemas.microsoft.com/office/drawing/2014/main" id="{A7B0EAD2-B4E6-411E-8546-0665516A7F1C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1" name="직사각형 4">
          <a:extLst>
            <a:ext uri="{FF2B5EF4-FFF2-40B4-BE49-F238E27FC236}">
              <a16:creationId xmlns:a16="http://schemas.microsoft.com/office/drawing/2014/main" id="{92B40A9A-559B-4FA2-BC6B-60D5081D2971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2" name="직사각형 4">
          <a:extLst>
            <a:ext uri="{FF2B5EF4-FFF2-40B4-BE49-F238E27FC236}">
              <a16:creationId xmlns:a16="http://schemas.microsoft.com/office/drawing/2014/main" id="{7B6BB1AC-FB48-4DD7-BFBB-6A34AE5FD9C4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3" name="직사각형 4">
          <a:extLst>
            <a:ext uri="{FF2B5EF4-FFF2-40B4-BE49-F238E27FC236}">
              <a16:creationId xmlns:a16="http://schemas.microsoft.com/office/drawing/2014/main" id="{AB3E914E-F0F0-4B81-BEA9-4D9A52740958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4" name="직사각형 4">
          <a:extLst>
            <a:ext uri="{FF2B5EF4-FFF2-40B4-BE49-F238E27FC236}">
              <a16:creationId xmlns:a16="http://schemas.microsoft.com/office/drawing/2014/main" id="{4F313873-A32E-45F3-83F8-0A4C075F00CB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5" name="직사각형 4">
          <a:extLst>
            <a:ext uri="{FF2B5EF4-FFF2-40B4-BE49-F238E27FC236}">
              <a16:creationId xmlns:a16="http://schemas.microsoft.com/office/drawing/2014/main" id="{6C6C2F72-BD81-4CFA-8639-9688C241FBFF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6" name="직사각형 4">
          <a:extLst>
            <a:ext uri="{FF2B5EF4-FFF2-40B4-BE49-F238E27FC236}">
              <a16:creationId xmlns:a16="http://schemas.microsoft.com/office/drawing/2014/main" id="{B1AF589B-1F94-4981-96D2-42CF44A4FEF6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9" name="직사각형 4">
          <a:extLst>
            <a:ext uri="{FF2B5EF4-FFF2-40B4-BE49-F238E27FC236}">
              <a16:creationId xmlns:a16="http://schemas.microsoft.com/office/drawing/2014/main" id="{C21EACA9-2CF0-4516-B4A3-0292964B1BC6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3" name="직사각형 4">
          <a:extLst>
            <a:ext uri="{FF2B5EF4-FFF2-40B4-BE49-F238E27FC236}">
              <a16:creationId xmlns:a16="http://schemas.microsoft.com/office/drawing/2014/main" id="{4C785670-A257-4ED1-80BB-2AAD570F0469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4" name="직사각형 4">
          <a:extLst>
            <a:ext uri="{FF2B5EF4-FFF2-40B4-BE49-F238E27FC236}">
              <a16:creationId xmlns:a16="http://schemas.microsoft.com/office/drawing/2014/main" id="{F5D7D43D-33DF-484E-B11C-1985E027BE10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5" name="직사각형 4">
          <a:extLst>
            <a:ext uri="{FF2B5EF4-FFF2-40B4-BE49-F238E27FC236}">
              <a16:creationId xmlns:a16="http://schemas.microsoft.com/office/drawing/2014/main" id="{8C79DF30-2346-49AE-AA52-1CCB3C286A6E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6" name="직사각형 4">
          <a:extLst>
            <a:ext uri="{FF2B5EF4-FFF2-40B4-BE49-F238E27FC236}">
              <a16:creationId xmlns:a16="http://schemas.microsoft.com/office/drawing/2014/main" id="{ABC17E3D-543C-4DB3-83E4-C8091A95D11A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4</xdr:col>
      <xdr:colOff>1524000</xdr:colOff>
      <xdr:row>203</xdr:row>
      <xdr:rowOff>76200</xdr:rowOff>
    </xdr:from>
    <xdr:to>
      <xdr:col>5</xdr:col>
      <xdr:colOff>57150</xdr:colOff>
      <xdr:row>206</xdr:row>
      <xdr:rowOff>76200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C68B0AB-009D-4FDE-BCD4-30AE8254380C}"/>
            </a:ext>
          </a:extLst>
        </xdr:cNvPr>
        <xdr:cNvSpPr>
          <a:spLocks noRot="1"/>
        </xdr:cNvSpPr>
      </xdr:nvSpPr>
      <xdr:spPr>
        <a:xfrm>
          <a:off x="7105650" y="18430875"/>
          <a:ext cx="914400" cy="25717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안한봉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6</xdr:col>
      <xdr:colOff>1457202</xdr:colOff>
      <xdr:row>168</xdr:row>
      <xdr:rowOff>4949</xdr:rowOff>
    </xdr:from>
    <xdr:to>
      <xdr:col>6</xdr:col>
      <xdr:colOff>2380261</xdr:colOff>
      <xdr:row>171</xdr:row>
      <xdr:rowOff>4950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1BD5F54-F6C5-4CC4-B6F1-4392D40EEA1A}"/>
            </a:ext>
          </a:extLst>
        </xdr:cNvPr>
        <xdr:cNvSpPr>
          <a:spLocks noRot="1"/>
        </xdr:cNvSpPr>
      </xdr:nvSpPr>
      <xdr:spPr>
        <a:xfrm>
          <a:off x="11801352" y="15359249"/>
          <a:ext cx="923059" cy="257176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조동칠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18" name="직사각형 4">
          <a:extLst>
            <a:ext uri="{FF2B5EF4-FFF2-40B4-BE49-F238E27FC236}">
              <a16:creationId xmlns:a16="http://schemas.microsoft.com/office/drawing/2014/main" id="{6A44FD29-F7BE-4BAD-A27D-607535A569A3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29" name="직사각형 4">
          <a:extLst>
            <a:ext uri="{FF2B5EF4-FFF2-40B4-BE49-F238E27FC236}">
              <a16:creationId xmlns:a16="http://schemas.microsoft.com/office/drawing/2014/main" id="{2BBED669-6361-42DE-A367-A7D5C8AA9455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1" name="직사각형 4">
          <a:extLst>
            <a:ext uri="{FF2B5EF4-FFF2-40B4-BE49-F238E27FC236}">
              <a16:creationId xmlns:a16="http://schemas.microsoft.com/office/drawing/2014/main" id="{F0C87D85-65E6-4EE0-8583-08350EAC8E13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2" name="직사각형 4">
          <a:extLst>
            <a:ext uri="{FF2B5EF4-FFF2-40B4-BE49-F238E27FC236}">
              <a16:creationId xmlns:a16="http://schemas.microsoft.com/office/drawing/2014/main" id="{5F3CFA91-1515-4966-BF30-76B5FE0C67CB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3" name="직사각형 4">
          <a:extLst>
            <a:ext uri="{FF2B5EF4-FFF2-40B4-BE49-F238E27FC236}">
              <a16:creationId xmlns:a16="http://schemas.microsoft.com/office/drawing/2014/main" id="{75FA0012-BD78-446F-8628-2B8FC08D909B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4" name="직사각형 4">
          <a:extLst>
            <a:ext uri="{FF2B5EF4-FFF2-40B4-BE49-F238E27FC236}">
              <a16:creationId xmlns:a16="http://schemas.microsoft.com/office/drawing/2014/main" id="{65A57181-8ACC-457E-961C-32D2CF0F91FA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5" name="직사각형 4">
          <a:extLst>
            <a:ext uri="{FF2B5EF4-FFF2-40B4-BE49-F238E27FC236}">
              <a16:creationId xmlns:a16="http://schemas.microsoft.com/office/drawing/2014/main" id="{C9B22FD6-C697-45EF-B0E7-98B91882AA45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6" name="직사각형 4">
          <a:extLst>
            <a:ext uri="{FF2B5EF4-FFF2-40B4-BE49-F238E27FC236}">
              <a16:creationId xmlns:a16="http://schemas.microsoft.com/office/drawing/2014/main" id="{04B650F1-1A53-4DF2-AE76-C92B35DE17E6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7" name="직사각형 4">
          <a:extLst>
            <a:ext uri="{FF2B5EF4-FFF2-40B4-BE49-F238E27FC236}">
              <a16:creationId xmlns:a16="http://schemas.microsoft.com/office/drawing/2014/main" id="{05D98805-899B-43BC-810E-7F0A735170B1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8" name="직사각형 4">
          <a:extLst>
            <a:ext uri="{FF2B5EF4-FFF2-40B4-BE49-F238E27FC236}">
              <a16:creationId xmlns:a16="http://schemas.microsoft.com/office/drawing/2014/main" id="{FFA180B7-BF0B-45B4-973E-6394BE82E31C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39" name="직사각형 4">
          <a:extLst>
            <a:ext uri="{FF2B5EF4-FFF2-40B4-BE49-F238E27FC236}">
              <a16:creationId xmlns:a16="http://schemas.microsoft.com/office/drawing/2014/main" id="{A904B664-52FF-412E-B291-1ECD76A5C836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0" name="직사각형 4">
          <a:extLst>
            <a:ext uri="{FF2B5EF4-FFF2-40B4-BE49-F238E27FC236}">
              <a16:creationId xmlns:a16="http://schemas.microsoft.com/office/drawing/2014/main" id="{15EB7082-EF9B-4867-A3E4-C9B245408FAA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4</xdr:col>
      <xdr:colOff>1524000</xdr:colOff>
      <xdr:row>203</xdr:row>
      <xdr:rowOff>76200</xdr:rowOff>
    </xdr:from>
    <xdr:to>
      <xdr:col>5</xdr:col>
      <xdr:colOff>57150</xdr:colOff>
      <xdr:row>206</xdr:row>
      <xdr:rowOff>76200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9B999EA-D354-4C77-892B-A94CBCD3D69D}"/>
            </a:ext>
          </a:extLst>
        </xdr:cNvPr>
        <xdr:cNvSpPr>
          <a:spLocks noRot="1"/>
        </xdr:cNvSpPr>
      </xdr:nvSpPr>
      <xdr:spPr>
        <a:xfrm>
          <a:off x="7105650" y="18430875"/>
          <a:ext cx="914400" cy="25717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맑은 고딕"/>
              <a:ea typeface="맑은 고딕"/>
            </a:rPr>
            <a:t>오태석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2" name="직사각형 4">
          <a:extLst>
            <a:ext uri="{FF2B5EF4-FFF2-40B4-BE49-F238E27FC236}">
              <a16:creationId xmlns:a16="http://schemas.microsoft.com/office/drawing/2014/main" id="{C6278C97-0520-4E83-A35C-D60044CB8878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3" name="직사각형 4">
          <a:extLst>
            <a:ext uri="{FF2B5EF4-FFF2-40B4-BE49-F238E27FC236}">
              <a16:creationId xmlns:a16="http://schemas.microsoft.com/office/drawing/2014/main" id="{EFF3FABD-766A-4BA6-9AB6-856A761BEE3A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4" name="직사각형 4">
          <a:extLst>
            <a:ext uri="{FF2B5EF4-FFF2-40B4-BE49-F238E27FC236}">
              <a16:creationId xmlns:a16="http://schemas.microsoft.com/office/drawing/2014/main" id="{E0EC4C14-966D-427A-B219-6BFB1F893B73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5" name="직사각형 4">
          <a:extLst>
            <a:ext uri="{FF2B5EF4-FFF2-40B4-BE49-F238E27FC236}">
              <a16:creationId xmlns:a16="http://schemas.microsoft.com/office/drawing/2014/main" id="{CCC244C0-5B80-41BF-BCDF-3606420423FC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6" name="직사각형 4">
          <a:extLst>
            <a:ext uri="{FF2B5EF4-FFF2-40B4-BE49-F238E27FC236}">
              <a16:creationId xmlns:a16="http://schemas.microsoft.com/office/drawing/2014/main" id="{F5A5E02E-24FF-43C8-9EBE-6872962D13D7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7" name="직사각형 4">
          <a:extLst>
            <a:ext uri="{FF2B5EF4-FFF2-40B4-BE49-F238E27FC236}">
              <a16:creationId xmlns:a16="http://schemas.microsoft.com/office/drawing/2014/main" id="{5BE4EE49-2007-446D-84E0-846774B1C821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8" name="직사각형 4">
          <a:extLst>
            <a:ext uri="{FF2B5EF4-FFF2-40B4-BE49-F238E27FC236}">
              <a16:creationId xmlns:a16="http://schemas.microsoft.com/office/drawing/2014/main" id="{D9C5273E-6F32-40FC-90FE-36B5A1FD2004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49" name="직사각형 4">
          <a:extLst>
            <a:ext uri="{FF2B5EF4-FFF2-40B4-BE49-F238E27FC236}">
              <a16:creationId xmlns:a16="http://schemas.microsoft.com/office/drawing/2014/main" id="{52854E13-6435-423B-AD72-9247A4537FD9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50" name="직사각형 4">
          <a:extLst>
            <a:ext uri="{FF2B5EF4-FFF2-40B4-BE49-F238E27FC236}">
              <a16:creationId xmlns:a16="http://schemas.microsoft.com/office/drawing/2014/main" id="{B544DD22-D4C5-4154-A952-A8AD68301258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51" name="직사각형 4">
          <a:extLst>
            <a:ext uri="{FF2B5EF4-FFF2-40B4-BE49-F238E27FC236}">
              <a16:creationId xmlns:a16="http://schemas.microsoft.com/office/drawing/2014/main" id="{F6398263-F098-4AB3-9B81-D5163E7B1253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52" name="직사각형 4">
          <a:extLst>
            <a:ext uri="{FF2B5EF4-FFF2-40B4-BE49-F238E27FC236}">
              <a16:creationId xmlns:a16="http://schemas.microsoft.com/office/drawing/2014/main" id="{B49B45CD-F2C9-446B-950E-E66731733B7A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2</xdr:col>
      <xdr:colOff>38100</xdr:colOff>
      <xdr:row>96</xdr:row>
      <xdr:rowOff>19050</xdr:rowOff>
    </xdr:from>
    <xdr:to>
      <xdr:col>2</xdr:col>
      <xdr:colOff>876300</xdr:colOff>
      <xdr:row>98</xdr:row>
      <xdr:rowOff>66675</xdr:rowOff>
    </xdr:to>
    <xdr:sp macro="" textlink="">
      <xdr:nvSpPr>
        <xdr:cNvPr id="53" name="직사각형 4">
          <a:extLst>
            <a:ext uri="{FF2B5EF4-FFF2-40B4-BE49-F238E27FC236}">
              <a16:creationId xmlns:a16="http://schemas.microsoft.com/office/drawing/2014/main" id="{B13D5D88-5C50-4810-95D9-72FA84AF71C4}"/>
            </a:ext>
          </a:extLst>
        </xdr:cNvPr>
        <xdr:cNvSpPr>
          <a:spLocks noRot="1"/>
        </xdr:cNvSpPr>
      </xdr:nvSpPr>
      <xdr:spPr>
        <a:xfrm>
          <a:off x="857250" y="9201150"/>
          <a:ext cx="838200" cy="2190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sz="1400" b="1">
              <a:solidFill>
                <a:srgbClr val="FFFFFF"/>
              </a:solidFill>
              <a:latin typeface="Calibri"/>
              <a:ea typeface="Calibri"/>
            </a:rPr>
            <a:t>Sign-On</a:t>
          </a:r>
        </a:p>
      </xdr:txBody>
    </xdr:sp>
    <xdr:clientData/>
  </xdr:twoCellAnchor>
  <xdr:twoCellAnchor>
    <xdr:from>
      <xdr:col>4</xdr:col>
      <xdr:colOff>1524000</xdr:colOff>
      <xdr:row>203</xdr:row>
      <xdr:rowOff>76200</xdr:rowOff>
    </xdr:from>
    <xdr:to>
      <xdr:col>5</xdr:col>
      <xdr:colOff>57150</xdr:colOff>
      <xdr:row>206</xdr:row>
      <xdr:rowOff>76200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315CFF99-15DE-4BA2-A9FC-F63CCF6EEEFC}"/>
            </a:ext>
          </a:extLst>
        </xdr:cNvPr>
        <xdr:cNvSpPr>
          <a:spLocks noRot="1"/>
        </xdr:cNvSpPr>
      </xdr:nvSpPr>
      <xdr:spPr>
        <a:xfrm>
          <a:off x="7105650" y="18430875"/>
          <a:ext cx="914400" cy="25717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정지성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6</xdr:col>
      <xdr:colOff>1457202</xdr:colOff>
      <xdr:row>168</xdr:row>
      <xdr:rowOff>4949</xdr:rowOff>
    </xdr:from>
    <xdr:to>
      <xdr:col>6</xdr:col>
      <xdr:colOff>2380261</xdr:colOff>
      <xdr:row>171</xdr:row>
      <xdr:rowOff>4950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AB1113B-41BC-4A92-8C40-415030029BE9}"/>
            </a:ext>
          </a:extLst>
        </xdr:cNvPr>
        <xdr:cNvSpPr>
          <a:spLocks noRot="1"/>
        </xdr:cNvSpPr>
      </xdr:nvSpPr>
      <xdr:spPr>
        <a:xfrm>
          <a:off x="11801352" y="15359249"/>
          <a:ext cx="923059" cy="257176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송기섭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7</xdr:col>
      <xdr:colOff>51955</xdr:colOff>
      <xdr:row>131</xdr:row>
      <xdr:rowOff>51955</xdr:rowOff>
    </xdr:from>
    <xdr:to>
      <xdr:col>8</xdr:col>
      <xdr:colOff>2355273</xdr:colOff>
      <xdr:row>134</xdr:row>
      <xdr:rowOff>69272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F7E27828-8C43-4675-A050-6CA510838B93}"/>
            </a:ext>
          </a:extLst>
        </xdr:cNvPr>
        <xdr:cNvSpPr>
          <a:spLocks noRot="1"/>
        </xdr:cNvSpPr>
      </xdr:nvSpPr>
      <xdr:spPr>
        <a:xfrm>
          <a:off x="12777355" y="12234430"/>
          <a:ext cx="4684568" cy="27449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지방자치학회 학술대회 본행사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(</a:t>
          </a: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개막식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)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7</xdr:col>
      <xdr:colOff>48492</xdr:colOff>
      <xdr:row>143</xdr:row>
      <xdr:rowOff>31174</xdr:rowOff>
    </xdr:from>
    <xdr:to>
      <xdr:col>8</xdr:col>
      <xdr:colOff>2351810</xdr:colOff>
      <xdr:row>146</xdr:row>
      <xdr:rowOff>48491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3E3160CE-71A9-4A34-9C27-E01D00182921}"/>
            </a:ext>
          </a:extLst>
        </xdr:cNvPr>
        <xdr:cNvSpPr>
          <a:spLocks noRot="1"/>
        </xdr:cNvSpPr>
      </xdr:nvSpPr>
      <xdr:spPr>
        <a:xfrm>
          <a:off x="12773892" y="13242349"/>
          <a:ext cx="4684568" cy="27449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지방자치학회 학술대회 좌담회 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1</a:t>
          </a: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부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(</a:t>
          </a: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김경수 기조발제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)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7</xdr:col>
      <xdr:colOff>45029</xdr:colOff>
      <xdr:row>179</xdr:row>
      <xdr:rowOff>62347</xdr:rowOff>
    </xdr:from>
    <xdr:to>
      <xdr:col>8</xdr:col>
      <xdr:colOff>2348347</xdr:colOff>
      <xdr:row>182</xdr:row>
      <xdr:rowOff>79665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A81129F2-81FE-4521-AFD6-F9F68D2A9E97}"/>
            </a:ext>
          </a:extLst>
        </xdr:cNvPr>
        <xdr:cNvSpPr>
          <a:spLocks noRot="1"/>
        </xdr:cNvSpPr>
      </xdr:nvSpPr>
      <xdr:spPr>
        <a:xfrm>
          <a:off x="12770429" y="16359622"/>
          <a:ext cx="4684568" cy="274493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지방자치학회 학술대회 좌담회 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2</a:t>
          </a: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부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(</a:t>
          </a: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특별 죄담회</a:t>
          </a:r>
          <a:r>
            <a:rPr lang="en-US" altLang="ko-KR" sz="1400" b="1">
              <a:solidFill>
                <a:srgbClr val="FFFFFF"/>
              </a:solidFill>
              <a:latin typeface="맑은 고딕"/>
              <a:ea typeface="맑은 고딕"/>
            </a:rPr>
            <a:t>)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7</xdr:col>
      <xdr:colOff>1478974</xdr:colOff>
      <xdr:row>270</xdr:row>
      <xdr:rowOff>34637</xdr:rowOff>
    </xdr:from>
    <xdr:to>
      <xdr:col>8</xdr:col>
      <xdr:colOff>1021772</xdr:colOff>
      <xdr:row>273</xdr:row>
      <xdr:rowOff>69273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3AE9BA69-C960-41FB-BE74-75D9F1BA1AF0}"/>
            </a:ext>
          </a:extLst>
        </xdr:cNvPr>
        <xdr:cNvSpPr>
          <a:spLocks noRot="1"/>
        </xdr:cNvSpPr>
      </xdr:nvSpPr>
      <xdr:spPr>
        <a:xfrm>
          <a:off x="14204374" y="24132887"/>
          <a:ext cx="1924048" cy="29181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지방자치학회 기조강연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7</xdr:col>
      <xdr:colOff>76202</xdr:colOff>
      <xdr:row>287</xdr:row>
      <xdr:rowOff>41566</xdr:rowOff>
    </xdr:from>
    <xdr:to>
      <xdr:col>8</xdr:col>
      <xdr:colOff>2379520</xdr:colOff>
      <xdr:row>290</xdr:row>
      <xdr:rowOff>58884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4270DE4-CBD6-4F1B-AF23-679EE52D577F}"/>
            </a:ext>
          </a:extLst>
        </xdr:cNvPr>
        <xdr:cNvSpPr>
          <a:spLocks noRot="1"/>
        </xdr:cNvSpPr>
      </xdr:nvSpPr>
      <xdr:spPr>
        <a:xfrm>
          <a:off x="12801602" y="25597141"/>
          <a:ext cx="4684568" cy="274493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지방자치학회 학술대회 세션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6</xdr:col>
      <xdr:colOff>1541318</xdr:colOff>
      <xdr:row>222</xdr:row>
      <xdr:rowOff>-1</xdr:rowOff>
    </xdr:from>
    <xdr:to>
      <xdr:col>7</xdr:col>
      <xdr:colOff>762000</xdr:colOff>
      <xdr:row>225</xdr:row>
      <xdr:rowOff>17318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35F8588E-47ED-41CA-9BED-F1279BB8335A}"/>
            </a:ext>
          </a:extLst>
        </xdr:cNvPr>
        <xdr:cNvSpPr>
          <a:spLocks noRot="1"/>
        </xdr:cNvSpPr>
      </xdr:nvSpPr>
      <xdr:spPr>
        <a:xfrm>
          <a:off x="11914909" y="20158363"/>
          <a:ext cx="1610591" cy="27709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lstStyle/>
        <a:p>
          <a:pPr algn="ctr">
            <a:lnSpc>
              <a:spcPct val="100000"/>
            </a:lnSpc>
          </a:pPr>
          <a:r>
            <a:rPr lang="ko-KR" altLang="en-US" sz="1400" b="1">
              <a:solidFill>
                <a:srgbClr val="FFFFFF"/>
              </a:solidFill>
              <a:latin typeface="맑은 고딕"/>
              <a:ea typeface="맑은 고딕"/>
            </a:rPr>
            <a:t>김경일 파주시장</a:t>
          </a:r>
          <a:endParaRPr sz="1400" b="1">
            <a:solidFill>
              <a:srgbClr val="FFFFFF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69271</xdr:colOff>
          <xdr:row>3</xdr:row>
          <xdr:rowOff>28861</xdr:rowOff>
        </xdr:from>
        <xdr:to>
          <xdr:col>8</xdr:col>
          <xdr:colOff>2389908</xdr:colOff>
          <xdr:row>290</xdr:row>
          <xdr:rowOff>34637</xdr:rowOff>
        </xdr:to>
        <xdr:pic>
          <xdr:nvPicPr>
            <xdr:cNvPr id="63" name="Picture 62">
              <a:extLst>
                <a:ext uri="{FF2B5EF4-FFF2-40B4-BE49-F238E27FC236}">
                  <a16:creationId xmlns:a16="http://schemas.microsoft.com/office/drawing/2014/main" id="{46780850-0EFA-AFF8-64E4-8BD478493E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Sheet1!$B$2:$H$25" spid="_x0000_s10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83226" y="1223816"/>
              <a:ext cx="16660091" cy="24857366"/>
            </a:xfrm>
            <a:prstGeom prst="rect">
              <a:avLst/>
            </a:prstGeom>
            <a:solidFill>
              <a:srgbClr val="FFFFFF" mc:Ignorable="a14" a14:legacySpreadsheetColorIndex="9">
                <a:alpha val="20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3"/>
  <sheetViews>
    <sheetView tabSelected="1" zoomScale="55" zoomScaleNormal="55" zoomScaleSheetLayoutView="70" workbookViewId="0">
      <pane xSplit="9" ySplit="3" topLeftCell="J4" activePane="bottomRight" state="frozen"/>
      <selection pane="topRight"/>
      <selection pane="bottomLeft"/>
      <selection pane="bottomRight" activeCell="A3" sqref="A3:I291"/>
    </sheetView>
  </sheetViews>
  <sheetFormatPr defaultColWidth="9" defaultRowHeight="20.25" outlineLevelCol="1" x14ac:dyDescent="0.35"/>
  <cols>
    <col min="1" max="1" width="6.125" style="6" customWidth="1"/>
    <col min="2" max="2" width="4.625" style="7" customWidth="1"/>
    <col min="3" max="7" width="31.25" customWidth="1"/>
    <col min="8" max="8" width="31.25" style="2" customWidth="1"/>
    <col min="9" max="9" width="31.25" style="5" customWidth="1"/>
    <col min="12" max="18" width="13.125" customWidth="1" outlineLevel="1"/>
  </cols>
  <sheetData>
    <row r="1" spans="1:18" s="3" customFormat="1" ht="36" customHeight="1" x14ac:dyDescent="0.3">
      <c r="A1" s="85" t="s">
        <v>494</v>
      </c>
      <c r="B1" s="86"/>
      <c r="C1" s="86"/>
      <c r="D1" s="86"/>
      <c r="E1" s="86"/>
      <c r="F1" s="86"/>
      <c r="G1" s="86"/>
      <c r="H1" s="86"/>
      <c r="I1" s="87"/>
      <c r="L1" s="21" t="s">
        <v>344</v>
      </c>
      <c r="M1" s="21" t="s">
        <v>339</v>
      </c>
      <c r="N1" s="21" t="s">
        <v>330</v>
      </c>
      <c r="P1" s="21" t="s">
        <v>331</v>
      </c>
      <c r="Q1" s="21" t="s">
        <v>365</v>
      </c>
      <c r="R1" s="21" t="s">
        <v>330</v>
      </c>
    </row>
    <row r="2" spans="1:18" s="8" customFormat="1" ht="26.25" x14ac:dyDescent="0.5">
      <c r="A2" s="35"/>
      <c r="B2" s="36"/>
      <c r="C2" s="17" t="s">
        <v>328</v>
      </c>
      <c r="D2" s="18" t="s">
        <v>339</v>
      </c>
      <c r="E2" s="37"/>
      <c r="F2" s="37"/>
      <c r="G2" s="37"/>
      <c r="H2" s="38"/>
      <c r="I2" s="39">
        <v>45909</v>
      </c>
      <c r="L2" s="19">
        <f ca="1">SUMIF(S.Info!$R:$R,L$1,S.Info!$N:$N)</f>
        <v>1.7013888888759539</v>
      </c>
      <c r="M2" s="19">
        <f ca="1">SUMIF(S.Info!$R:$R,M$1,S.Info!$N:$N)</f>
        <v>4.7152777777737356</v>
      </c>
      <c r="N2" s="19">
        <f ca="1">L2+M2</f>
        <v>6.4166666666496894</v>
      </c>
      <c r="P2" s="19">
        <f>SUMIF(S.Info!$S:$S,P$1,S.Info!$N:$N)</f>
        <v>7</v>
      </c>
      <c r="Q2" s="19">
        <f>SUMIF(S.Info!$S:$S,Q$1,S.Info!$N:$N)</f>
        <v>0</v>
      </c>
      <c r="R2" s="19">
        <f>P2+Q2</f>
        <v>7</v>
      </c>
    </row>
    <row r="3" spans="1:18" s="4" customFormat="1" ht="33" customHeight="1" x14ac:dyDescent="0.3">
      <c r="A3" s="40" t="s">
        <v>338</v>
      </c>
      <c r="B3" s="41" t="s">
        <v>345</v>
      </c>
      <c r="C3" s="50">
        <v>45915</v>
      </c>
      <c r="D3" s="50">
        <v>45916</v>
      </c>
      <c r="E3" s="50">
        <v>45917</v>
      </c>
      <c r="F3" s="50">
        <v>45918</v>
      </c>
      <c r="G3" s="50">
        <v>45919</v>
      </c>
      <c r="H3" s="50">
        <v>45920</v>
      </c>
      <c r="I3" s="50">
        <v>45921</v>
      </c>
      <c r="L3" s="20">
        <f ca="1">L2/N2</f>
        <v>0.26515151515020086</v>
      </c>
      <c r="M3" s="20">
        <f ca="1">M2/N2</f>
        <v>0.73484848484979914</v>
      </c>
      <c r="N3" s="20">
        <f ca="1">L3+M3</f>
        <v>1</v>
      </c>
      <c r="O3" s="8"/>
      <c r="P3" s="20">
        <f>P2/R2</f>
        <v>1</v>
      </c>
      <c r="Q3" s="20">
        <f>Q2/R2</f>
        <v>0</v>
      </c>
      <c r="R3" s="20">
        <f>P3+Q3</f>
        <v>1</v>
      </c>
    </row>
    <row r="4" spans="1:18" ht="6.75" customHeight="1" x14ac:dyDescent="0.3">
      <c r="A4" s="83" t="s">
        <v>147</v>
      </c>
      <c r="B4" s="82" t="s">
        <v>333</v>
      </c>
      <c r="C4" s="58" t="s">
        <v>815</v>
      </c>
      <c r="D4" s="58" t="str">
        <f>C136</f>
        <v>특집 2026 지방선거_경기도의회 생생중계_본회의
&lt;14</v>
      </c>
      <c r="E4" s="58" t="str">
        <f t="shared" ref="E4:H4" si="0">D136</f>
        <v>특집 2026 지방선거_경기도의회 생생중계_본회의
&lt;15</v>
      </c>
      <c r="F4" s="58" t="str">
        <f t="shared" si="0"/>
        <v>특집 2026 지방선거_경기도의회 생생중계_본회의
&lt;16</v>
      </c>
      <c r="G4" s="58" t="str">
        <f t="shared" si="0"/>
        <v>특집 2026 지방선거_경기도의회 생생중계_본회의
&lt;17</v>
      </c>
      <c r="H4" s="58" t="str">
        <f t="shared" si="0"/>
        <v>특집 2026 지방선거_경기도의회 생생중계_본회의
&lt;18</v>
      </c>
      <c r="I4" s="58" t="s">
        <v>817</v>
      </c>
    </row>
    <row r="5" spans="1:18" ht="6.75" customHeight="1" x14ac:dyDescent="0.3">
      <c r="A5" s="84"/>
      <c r="B5" s="82"/>
      <c r="C5" s="64"/>
      <c r="D5" s="64"/>
      <c r="E5" s="64"/>
      <c r="F5" s="64"/>
      <c r="G5" s="64"/>
      <c r="H5" s="64"/>
      <c r="I5" s="64"/>
    </row>
    <row r="6" spans="1:18" ht="6.75" customHeight="1" x14ac:dyDescent="0.3">
      <c r="A6" s="84"/>
      <c r="B6" s="82" t="s">
        <v>346</v>
      </c>
      <c r="C6" s="64"/>
      <c r="D6" s="64"/>
      <c r="E6" s="64"/>
      <c r="F6" s="64"/>
      <c r="G6" s="64"/>
      <c r="H6" s="64"/>
      <c r="I6" s="64"/>
    </row>
    <row r="7" spans="1:18" ht="6.75" customHeight="1" x14ac:dyDescent="0.3">
      <c r="A7" s="84"/>
      <c r="B7" s="82"/>
      <c r="C7" s="64"/>
      <c r="D7" s="64"/>
      <c r="E7" s="64"/>
      <c r="F7" s="64"/>
      <c r="G7" s="64"/>
      <c r="H7" s="64"/>
      <c r="I7" s="64"/>
    </row>
    <row r="8" spans="1:18" ht="6.75" customHeight="1" x14ac:dyDescent="0.3">
      <c r="A8" s="84"/>
      <c r="B8" s="82" t="s">
        <v>340</v>
      </c>
      <c r="C8" s="64"/>
      <c r="D8" s="64"/>
      <c r="E8" s="64"/>
      <c r="F8" s="64"/>
      <c r="G8" s="64"/>
      <c r="H8" s="64"/>
      <c r="I8" s="64"/>
    </row>
    <row r="9" spans="1:18" ht="6.75" customHeight="1" x14ac:dyDescent="0.3">
      <c r="A9" s="84"/>
      <c r="B9" s="82"/>
      <c r="C9" s="64"/>
      <c r="D9" s="64"/>
      <c r="E9" s="64"/>
      <c r="F9" s="64"/>
      <c r="G9" s="64"/>
      <c r="H9" s="64"/>
      <c r="I9" s="64"/>
    </row>
    <row r="10" spans="1:18" ht="6.75" customHeight="1" x14ac:dyDescent="0.3">
      <c r="A10" s="84"/>
      <c r="B10" s="82" t="s">
        <v>332</v>
      </c>
      <c r="C10" s="64"/>
      <c r="D10" s="64"/>
      <c r="E10" s="64"/>
      <c r="F10" s="64"/>
      <c r="G10" s="64"/>
      <c r="H10" s="64"/>
      <c r="I10" s="64"/>
    </row>
    <row r="11" spans="1:18" ht="6.75" customHeight="1" x14ac:dyDescent="0.3">
      <c r="A11" s="84"/>
      <c r="B11" s="82"/>
      <c r="C11" s="64"/>
      <c r="D11" s="64"/>
      <c r="E11" s="64"/>
      <c r="F11" s="64"/>
      <c r="G11" s="64"/>
      <c r="H11" s="64"/>
      <c r="I11" s="64"/>
    </row>
    <row r="12" spans="1:18" ht="6.75" customHeight="1" x14ac:dyDescent="0.3">
      <c r="A12" s="84"/>
      <c r="B12" s="82" t="s">
        <v>342</v>
      </c>
      <c r="C12" s="64"/>
      <c r="D12" s="64"/>
      <c r="E12" s="64"/>
      <c r="F12" s="64"/>
      <c r="G12" s="64"/>
      <c r="H12" s="64"/>
      <c r="I12" s="64"/>
    </row>
    <row r="13" spans="1:18" ht="6.75" customHeight="1" x14ac:dyDescent="0.3">
      <c r="A13" s="84"/>
      <c r="B13" s="82"/>
      <c r="C13" s="64"/>
      <c r="D13" s="64"/>
      <c r="E13" s="64"/>
      <c r="F13" s="64"/>
      <c r="G13" s="64"/>
      <c r="H13" s="64"/>
      <c r="I13" s="64"/>
    </row>
    <row r="14" spans="1:18" ht="6.75" customHeight="1" x14ac:dyDescent="0.3">
      <c r="A14" s="84"/>
      <c r="B14" s="82" t="s">
        <v>341</v>
      </c>
      <c r="C14" s="64"/>
      <c r="D14" s="64"/>
      <c r="E14" s="64"/>
      <c r="F14" s="64"/>
      <c r="G14" s="64"/>
      <c r="H14" s="64"/>
      <c r="I14" s="64"/>
    </row>
    <row r="15" spans="1:18" ht="6.75" customHeight="1" x14ac:dyDescent="0.3">
      <c r="A15" s="84"/>
      <c r="B15" s="82"/>
      <c r="C15" s="63"/>
      <c r="D15" s="63"/>
      <c r="E15" s="63"/>
      <c r="F15" s="63"/>
      <c r="G15" s="63"/>
      <c r="H15" s="63"/>
      <c r="I15" s="63"/>
    </row>
    <row r="16" spans="1:18" ht="6.75" customHeight="1" x14ac:dyDescent="0.3">
      <c r="A16" s="83" t="s">
        <v>145</v>
      </c>
      <c r="B16" s="82" t="s">
        <v>333</v>
      </c>
      <c r="C16" s="58" t="s">
        <v>816</v>
      </c>
      <c r="D16" s="58" t="str">
        <f>C208</f>
        <v>특집 2026 지방선거_경기도의회 생생중계_상임위
&lt;14</v>
      </c>
      <c r="E16" s="58" t="str">
        <f t="shared" ref="E16:H16" si="1">D208</f>
        <v>특집 2026 지방선거_경기도의회 생생중계_상임위
&lt;15</v>
      </c>
      <c r="F16" s="58" t="str">
        <f t="shared" si="1"/>
        <v>특집 2026 지방선거_경기도의회 생생중계_상임위
&lt;16</v>
      </c>
      <c r="G16" s="58" t="str">
        <f t="shared" si="1"/>
        <v>특집 2026 지방선거_경기도의회 생생중계_상임위
&lt;17</v>
      </c>
      <c r="H16" s="58" t="str">
        <f t="shared" si="1"/>
        <v>특집 2026 지방선거_경기도의회 생생중계_상임위
&lt;18</v>
      </c>
      <c r="I16" s="58" t="s">
        <v>818</v>
      </c>
    </row>
    <row r="17" spans="1:9" ht="6.75" customHeight="1" x14ac:dyDescent="0.3">
      <c r="A17" s="84"/>
      <c r="B17" s="82"/>
      <c r="C17" s="64"/>
      <c r="D17" s="64"/>
      <c r="E17" s="64"/>
      <c r="F17" s="64"/>
      <c r="G17" s="64"/>
      <c r="H17" s="64"/>
      <c r="I17" s="64"/>
    </row>
    <row r="18" spans="1:9" ht="6.75" customHeight="1" x14ac:dyDescent="0.3">
      <c r="A18" s="84"/>
      <c r="B18" s="82" t="s">
        <v>346</v>
      </c>
      <c r="C18" s="64"/>
      <c r="D18" s="64"/>
      <c r="E18" s="64"/>
      <c r="F18" s="64"/>
      <c r="G18" s="64"/>
      <c r="H18" s="64"/>
      <c r="I18" s="64"/>
    </row>
    <row r="19" spans="1:9" ht="6.75" customHeight="1" x14ac:dyDescent="0.3">
      <c r="A19" s="84"/>
      <c r="B19" s="82"/>
      <c r="C19" s="64"/>
      <c r="D19" s="64"/>
      <c r="E19" s="64"/>
      <c r="F19" s="64"/>
      <c r="G19" s="64"/>
      <c r="H19" s="64"/>
      <c r="I19" s="64"/>
    </row>
    <row r="20" spans="1:9" ht="6.75" customHeight="1" x14ac:dyDescent="0.3">
      <c r="A20" s="84"/>
      <c r="B20" s="82" t="s">
        <v>340</v>
      </c>
      <c r="C20" s="64"/>
      <c r="D20" s="64"/>
      <c r="E20" s="64"/>
      <c r="F20" s="64"/>
      <c r="G20" s="64"/>
      <c r="H20" s="64"/>
      <c r="I20" s="64"/>
    </row>
    <row r="21" spans="1:9" ht="6.75" customHeight="1" x14ac:dyDescent="0.3">
      <c r="A21" s="84"/>
      <c r="B21" s="82"/>
      <c r="C21" s="64"/>
      <c r="D21" s="64"/>
      <c r="E21" s="64"/>
      <c r="F21" s="64"/>
      <c r="G21" s="64"/>
      <c r="H21" s="64"/>
      <c r="I21" s="64"/>
    </row>
    <row r="22" spans="1:9" ht="6.75" customHeight="1" x14ac:dyDescent="0.3">
      <c r="A22" s="84"/>
      <c r="B22" s="82" t="s">
        <v>332</v>
      </c>
      <c r="C22" s="64"/>
      <c r="D22" s="64"/>
      <c r="E22" s="64"/>
      <c r="F22" s="64"/>
      <c r="G22" s="64"/>
      <c r="H22" s="64"/>
      <c r="I22" s="64"/>
    </row>
    <row r="23" spans="1:9" ht="6.75" customHeight="1" x14ac:dyDescent="0.3">
      <c r="A23" s="84"/>
      <c r="B23" s="82"/>
      <c r="C23" s="64"/>
      <c r="D23" s="64"/>
      <c r="E23" s="64"/>
      <c r="F23" s="64"/>
      <c r="G23" s="64"/>
      <c r="H23" s="64"/>
      <c r="I23" s="64"/>
    </row>
    <row r="24" spans="1:9" ht="6.75" customHeight="1" x14ac:dyDescent="0.3">
      <c r="A24" s="84"/>
      <c r="B24" s="82" t="s">
        <v>342</v>
      </c>
      <c r="C24" s="64"/>
      <c r="D24" s="64"/>
      <c r="E24" s="64"/>
      <c r="F24" s="64"/>
      <c r="G24" s="64"/>
      <c r="H24" s="64"/>
      <c r="I24" s="64"/>
    </row>
    <row r="25" spans="1:9" ht="6.75" customHeight="1" x14ac:dyDescent="0.3">
      <c r="A25" s="84"/>
      <c r="B25" s="82"/>
      <c r="C25" s="64"/>
      <c r="D25" s="64"/>
      <c r="E25" s="64"/>
      <c r="F25" s="64"/>
      <c r="G25" s="64"/>
      <c r="H25" s="64"/>
      <c r="I25" s="64"/>
    </row>
    <row r="26" spans="1:9" ht="6.75" customHeight="1" x14ac:dyDescent="0.3">
      <c r="A26" s="84"/>
      <c r="B26" s="82" t="s">
        <v>341</v>
      </c>
      <c r="C26" s="64"/>
      <c r="D26" s="64"/>
      <c r="E26" s="64"/>
      <c r="F26" s="64"/>
      <c r="G26" s="64"/>
      <c r="H26" s="64"/>
      <c r="I26" s="64"/>
    </row>
    <row r="27" spans="1:9" ht="6.75" customHeight="1" x14ac:dyDescent="0.3">
      <c r="A27" s="84"/>
      <c r="B27" s="82"/>
      <c r="C27" s="63"/>
      <c r="D27" s="63"/>
      <c r="E27" s="63"/>
      <c r="F27" s="63"/>
      <c r="G27" s="63"/>
      <c r="H27" s="63"/>
      <c r="I27" s="63"/>
    </row>
    <row r="28" spans="1:9" ht="6.75" customHeight="1" x14ac:dyDescent="0.3">
      <c r="A28" s="83" t="s">
        <v>134</v>
      </c>
      <c r="B28" s="82" t="s">
        <v>333</v>
      </c>
      <c r="C28" s="58" t="s">
        <v>819</v>
      </c>
      <c r="D28" s="58" t="s">
        <v>820</v>
      </c>
      <c r="E28" s="58" t="s">
        <v>821</v>
      </c>
      <c r="F28" s="58" t="s">
        <v>822</v>
      </c>
      <c r="G28" s="58" t="s">
        <v>823</v>
      </c>
      <c r="H28" s="58" t="s">
        <v>824</v>
      </c>
      <c r="I28" s="58" t="s">
        <v>825</v>
      </c>
    </row>
    <row r="29" spans="1:9" ht="6.75" customHeight="1" x14ac:dyDescent="0.3">
      <c r="A29" s="84"/>
      <c r="B29" s="82"/>
      <c r="C29" s="64"/>
      <c r="D29" s="64"/>
      <c r="E29" s="64"/>
      <c r="F29" s="64"/>
      <c r="G29" s="64"/>
      <c r="H29" s="64"/>
      <c r="I29" s="64"/>
    </row>
    <row r="30" spans="1:9" ht="6.75" customHeight="1" x14ac:dyDescent="0.3">
      <c r="A30" s="84"/>
      <c r="B30" s="82" t="s">
        <v>346</v>
      </c>
      <c r="C30" s="64"/>
      <c r="D30" s="64"/>
      <c r="E30" s="64"/>
      <c r="F30" s="64"/>
      <c r="G30" s="64"/>
      <c r="H30" s="64"/>
      <c r="I30" s="64"/>
    </row>
    <row r="31" spans="1:9" ht="6.75" customHeight="1" x14ac:dyDescent="0.3">
      <c r="A31" s="84"/>
      <c r="B31" s="82"/>
      <c r="C31" s="64"/>
      <c r="D31" s="64"/>
      <c r="E31" s="64"/>
      <c r="F31" s="64"/>
      <c r="G31" s="64"/>
      <c r="H31" s="64"/>
      <c r="I31" s="64"/>
    </row>
    <row r="32" spans="1:9" ht="6.75" customHeight="1" x14ac:dyDescent="0.3">
      <c r="A32" s="84"/>
      <c r="B32" s="82" t="s">
        <v>340</v>
      </c>
      <c r="C32" s="64"/>
      <c r="D32" s="64"/>
      <c r="E32" s="64"/>
      <c r="F32" s="64"/>
      <c r="G32" s="64"/>
      <c r="H32" s="64"/>
      <c r="I32" s="64"/>
    </row>
    <row r="33" spans="1:9" ht="6.75" customHeight="1" x14ac:dyDescent="0.3">
      <c r="A33" s="84"/>
      <c r="B33" s="82"/>
      <c r="C33" s="64"/>
      <c r="D33" s="64"/>
      <c r="E33" s="64"/>
      <c r="F33" s="64"/>
      <c r="G33" s="64"/>
      <c r="H33" s="64"/>
      <c r="I33" s="64"/>
    </row>
    <row r="34" spans="1:9" ht="6.75" customHeight="1" x14ac:dyDescent="0.3">
      <c r="A34" s="84"/>
      <c r="B34" s="82" t="s">
        <v>332</v>
      </c>
      <c r="C34" s="64"/>
      <c r="D34" s="64"/>
      <c r="E34" s="64"/>
      <c r="F34" s="64"/>
      <c r="G34" s="64"/>
      <c r="H34" s="64"/>
      <c r="I34" s="64"/>
    </row>
    <row r="35" spans="1:9" ht="6.75" customHeight="1" x14ac:dyDescent="0.3">
      <c r="A35" s="84"/>
      <c r="B35" s="82"/>
      <c r="C35" s="63"/>
      <c r="D35" s="63"/>
      <c r="E35" s="63"/>
      <c r="F35" s="63"/>
      <c r="G35" s="63"/>
      <c r="H35" s="63"/>
      <c r="I35" s="63"/>
    </row>
    <row r="36" spans="1:9" ht="6.75" customHeight="1" x14ac:dyDescent="0.3">
      <c r="A36" s="84"/>
      <c r="B36" s="82" t="s">
        <v>342</v>
      </c>
      <c r="C36" s="53" t="s">
        <v>826</v>
      </c>
      <c r="D36" s="53" t="s">
        <v>827</v>
      </c>
      <c r="E36" s="53" t="s">
        <v>828</v>
      </c>
      <c r="F36" s="53" t="s">
        <v>829</v>
      </c>
      <c r="G36" s="53" t="s">
        <v>830</v>
      </c>
      <c r="H36" s="53" t="s">
        <v>831</v>
      </c>
      <c r="I36" s="53" t="s">
        <v>832</v>
      </c>
    </row>
    <row r="37" spans="1:9" ht="6.75" customHeight="1" x14ac:dyDescent="0.3">
      <c r="A37" s="84"/>
      <c r="B37" s="82"/>
      <c r="C37" s="53"/>
      <c r="D37" s="53"/>
      <c r="E37" s="53"/>
      <c r="F37" s="53"/>
      <c r="G37" s="53"/>
      <c r="H37" s="53"/>
      <c r="I37" s="53"/>
    </row>
    <row r="38" spans="1:9" ht="6.75" customHeight="1" x14ac:dyDescent="0.3">
      <c r="A38" s="84"/>
      <c r="B38" s="82" t="s">
        <v>341</v>
      </c>
      <c r="C38" s="53"/>
      <c r="D38" s="53"/>
      <c r="E38" s="53"/>
      <c r="F38" s="53"/>
      <c r="G38" s="53"/>
      <c r="H38" s="53"/>
      <c r="I38" s="53"/>
    </row>
    <row r="39" spans="1:9" ht="6.75" customHeight="1" x14ac:dyDescent="0.3">
      <c r="A39" s="84"/>
      <c r="B39" s="82"/>
      <c r="C39" s="53"/>
      <c r="D39" s="53"/>
      <c r="E39" s="53"/>
      <c r="F39" s="53"/>
      <c r="G39" s="53"/>
      <c r="H39" s="53"/>
      <c r="I39" s="53"/>
    </row>
    <row r="40" spans="1:9" ht="6.75" customHeight="1" x14ac:dyDescent="0.3">
      <c r="A40" s="83" t="s">
        <v>153</v>
      </c>
      <c r="B40" s="82" t="s">
        <v>333</v>
      </c>
      <c r="C40" s="53"/>
      <c r="D40" s="53"/>
      <c r="E40" s="53"/>
      <c r="F40" s="53"/>
      <c r="G40" s="53"/>
      <c r="H40" s="53"/>
      <c r="I40" s="53"/>
    </row>
    <row r="41" spans="1:9" ht="6.75" customHeight="1" x14ac:dyDescent="0.3">
      <c r="A41" s="84"/>
      <c r="B41" s="82"/>
      <c r="C41" s="53"/>
      <c r="D41" s="53"/>
      <c r="E41" s="53"/>
      <c r="F41" s="53"/>
      <c r="G41" s="53"/>
      <c r="H41" s="53"/>
      <c r="I41" s="53"/>
    </row>
    <row r="42" spans="1:9" ht="6.75" customHeight="1" x14ac:dyDescent="0.3">
      <c r="A42" s="84"/>
      <c r="B42" s="82" t="s">
        <v>346</v>
      </c>
      <c r="C42" s="53"/>
      <c r="D42" s="53"/>
      <c r="E42" s="53"/>
      <c r="F42" s="53"/>
      <c r="G42" s="53"/>
      <c r="H42" s="53"/>
      <c r="I42" s="53"/>
    </row>
    <row r="43" spans="1:9" ht="6.75" customHeight="1" x14ac:dyDescent="0.3">
      <c r="A43" s="84"/>
      <c r="B43" s="82"/>
      <c r="C43" s="53"/>
      <c r="D43" s="53"/>
      <c r="E43" s="53"/>
      <c r="F43" s="53"/>
      <c r="G43" s="53"/>
      <c r="H43" s="53"/>
      <c r="I43" s="53"/>
    </row>
    <row r="44" spans="1:9" ht="6.75" customHeight="1" x14ac:dyDescent="0.3">
      <c r="A44" s="84"/>
      <c r="B44" s="82" t="s">
        <v>340</v>
      </c>
      <c r="C44" s="53"/>
      <c r="D44" s="53"/>
      <c r="E44" s="53"/>
      <c r="F44" s="53"/>
      <c r="G44" s="53"/>
      <c r="H44" s="53"/>
      <c r="I44" s="53"/>
    </row>
    <row r="45" spans="1:9" ht="6.75" customHeight="1" x14ac:dyDescent="0.3">
      <c r="A45" s="84"/>
      <c r="B45" s="82"/>
      <c r="C45" s="53"/>
      <c r="D45" s="53"/>
      <c r="E45" s="53"/>
      <c r="F45" s="53"/>
      <c r="G45" s="53"/>
      <c r="H45" s="53"/>
      <c r="I45" s="53"/>
    </row>
    <row r="46" spans="1:9" ht="6.75" customHeight="1" x14ac:dyDescent="0.3">
      <c r="A46" s="84"/>
      <c r="B46" s="82" t="s">
        <v>332</v>
      </c>
      <c r="C46" s="53"/>
      <c r="D46" s="53"/>
      <c r="E46" s="53"/>
      <c r="F46" s="53"/>
      <c r="G46" s="53"/>
      <c r="H46" s="53"/>
      <c r="I46" s="53"/>
    </row>
    <row r="47" spans="1:9" ht="6.75" customHeight="1" x14ac:dyDescent="0.3">
      <c r="A47" s="84"/>
      <c r="B47" s="82"/>
      <c r="C47" s="53"/>
      <c r="D47" s="53"/>
      <c r="E47" s="53"/>
      <c r="F47" s="53"/>
      <c r="G47" s="53"/>
      <c r="H47" s="53"/>
      <c r="I47" s="53"/>
    </row>
    <row r="48" spans="1:9" ht="6.75" customHeight="1" x14ac:dyDescent="0.3">
      <c r="A48" s="84"/>
      <c r="B48" s="77" t="s">
        <v>342</v>
      </c>
      <c r="C48" s="61" t="s">
        <v>833</v>
      </c>
      <c r="D48" s="61" t="s">
        <v>834</v>
      </c>
      <c r="E48" s="61" t="s">
        <v>835</v>
      </c>
      <c r="F48" s="61" t="s">
        <v>836</v>
      </c>
      <c r="G48" s="61" t="s">
        <v>837</v>
      </c>
      <c r="H48" s="61" t="s">
        <v>838</v>
      </c>
      <c r="I48" s="61" t="s">
        <v>839</v>
      </c>
    </row>
    <row r="49" spans="1:9" ht="6.75" customHeight="1" x14ac:dyDescent="0.3">
      <c r="A49" s="84"/>
      <c r="B49" s="77"/>
      <c r="C49" s="61"/>
      <c r="D49" s="61"/>
      <c r="E49" s="61"/>
      <c r="F49" s="61"/>
      <c r="G49" s="61"/>
      <c r="H49" s="61"/>
      <c r="I49" s="61"/>
    </row>
    <row r="50" spans="1:9" ht="6.75" customHeight="1" x14ac:dyDescent="0.3">
      <c r="A50" s="84"/>
      <c r="B50" s="77" t="s">
        <v>341</v>
      </c>
      <c r="C50" s="61"/>
      <c r="D50" s="61"/>
      <c r="E50" s="61"/>
      <c r="F50" s="61"/>
      <c r="G50" s="61"/>
      <c r="H50" s="61"/>
      <c r="I50" s="61"/>
    </row>
    <row r="51" spans="1:9" ht="6.75" customHeight="1" x14ac:dyDescent="0.3">
      <c r="A51" s="84"/>
      <c r="B51" s="77"/>
      <c r="C51" s="61"/>
      <c r="D51" s="61"/>
      <c r="E51" s="61"/>
      <c r="F51" s="61"/>
      <c r="G51" s="61"/>
      <c r="H51" s="61"/>
      <c r="I51" s="61"/>
    </row>
    <row r="52" spans="1:9" ht="6.75" customHeight="1" x14ac:dyDescent="0.3">
      <c r="A52" s="83" t="s">
        <v>161</v>
      </c>
      <c r="B52" s="77" t="s">
        <v>333</v>
      </c>
      <c r="C52" s="61"/>
      <c r="D52" s="61"/>
      <c r="E52" s="61"/>
      <c r="F52" s="61"/>
      <c r="G52" s="61"/>
      <c r="H52" s="61"/>
      <c r="I52" s="61"/>
    </row>
    <row r="53" spans="1:9" ht="6.75" customHeight="1" x14ac:dyDescent="0.3">
      <c r="A53" s="84"/>
      <c r="B53" s="77"/>
      <c r="C53" s="61"/>
      <c r="D53" s="61"/>
      <c r="E53" s="61"/>
      <c r="F53" s="61"/>
      <c r="G53" s="61"/>
      <c r="H53" s="61"/>
      <c r="I53" s="61"/>
    </row>
    <row r="54" spans="1:9" ht="6.75" customHeight="1" x14ac:dyDescent="0.3">
      <c r="A54" s="84"/>
      <c r="B54" s="77" t="s">
        <v>346</v>
      </c>
      <c r="C54" s="61"/>
      <c r="D54" s="61"/>
      <c r="E54" s="61"/>
      <c r="F54" s="61"/>
      <c r="G54" s="61"/>
      <c r="H54" s="61"/>
      <c r="I54" s="61"/>
    </row>
    <row r="55" spans="1:9" ht="6.75" customHeight="1" x14ac:dyDescent="0.3">
      <c r="A55" s="84"/>
      <c r="B55" s="77"/>
      <c r="C55" s="61"/>
      <c r="D55" s="61"/>
      <c r="E55" s="61"/>
      <c r="F55" s="61"/>
      <c r="G55" s="61"/>
      <c r="H55" s="61"/>
      <c r="I55" s="61"/>
    </row>
    <row r="56" spans="1:9" ht="6.75" customHeight="1" x14ac:dyDescent="0.3">
      <c r="A56" s="84"/>
      <c r="B56" s="77" t="s">
        <v>340</v>
      </c>
      <c r="C56" s="61"/>
      <c r="D56" s="61"/>
      <c r="E56" s="61"/>
      <c r="F56" s="61"/>
      <c r="G56" s="61"/>
      <c r="H56" s="61"/>
      <c r="I56" s="61"/>
    </row>
    <row r="57" spans="1:9" ht="6.75" customHeight="1" x14ac:dyDescent="0.3">
      <c r="A57" s="84"/>
      <c r="B57" s="77"/>
      <c r="C57" s="61"/>
      <c r="D57" s="61"/>
      <c r="E57" s="61"/>
      <c r="F57" s="61"/>
      <c r="G57" s="61"/>
      <c r="H57" s="61"/>
      <c r="I57" s="61"/>
    </row>
    <row r="58" spans="1:9" ht="6.75" customHeight="1" x14ac:dyDescent="0.3">
      <c r="A58" s="84"/>
      <c r="B58" s="77" t="s">
        <v>332</v>
      </c>
      <c r="C58" s="61"/>
      <c r="D58" s="61"/>
      <c r="E58" s="61"/>
      <c r="F58" s="61"/>
      <c r="G58" s="61"/>
      <c r="H58" s="61"/>
      <c r="I58" s="61"/>
    </row>
    <row r="59" spans="1:9" ht="6.75" customHeight="1" x14ac:dyDescent="0.3">
      <c r="A59" s="84"/>
      <c r="B59" s="77"/>
      <c r="C59" s="61"/>
      <c r="D59" s="61"/>
      <c r="E59" s="61"/>
      <c r="F59" s="61"/>
      <c r="G59" s="61"/>
      <c r="H59" s="61"/>
      <c r="I59" s="61"/>
    </row>
    <row r="60" spans="1:9" ht="6.75" customHeight="1" x14ac:dyDescent="0.3">
      <c r="A60" s="84"/>
      <c r="B60" s="77" t="s">
        <v>342</v>
      </c>
      <c r="C60" s="53" t="str">
        <f>C196</f>
        <v xml:space="preserve"> NEWS4
&lt;63</v>
      </c>
      <c r="D60" s="53" t="str">
        <f t="shared" ref="D60:I60" si="2">D196</f>
        <v xml:space="preserve"> NEWS4
&lt;63</v>
      </c>
      <c r="E60" s="53" t="str">
        <f>D196</f>
        <v xml:space="preserve"> NEWS4
&lt;63</v>
      </c>
      <c r="F60" s="53" t="str">
        <f t="shared" si="2"/>
        <v xml:space="preserve"> NEWS4
&lt;64</v>
      </c>
      <c r="G60" s="53" t="str">
        <f t="shared" si="2"/>
        <v xml:space="preserve"> NEWS4
&lt;64</v>
      </c>
      <c r="H60" s="53" t="str">
        <f t="shared" si="2"/>
        <v xml:space="preserve"> NEWS4
&lt;64</v>
      </c>
      <c r="I60" s="53" t="str">
        <f t="shared" si="2"/>
        <v xml:space="preserve"> NEWS4
&lt;64</v>
      </c>
    </row>
    <row r="61" spans="1:9" ht="6.75" customHeight="1" x14ac:dyDescent="0.3">
      <c r="A61" s="84"/>
      <c r="B61" s="77"/>
      <c r="C61" s="54"/>
      <c r="D61" s="54"/>
      <c r="E61" s="54"/>
      <c r="F61" s="54"/>
      <c r="G61" s="54"/>
      <c r="H61" s="54"/>
      <c r="I61" s="54"/>
    </row>
    <row r="62" spans="1:9" ht="6.75" customHeight="1" x14ac:dyDescent="0.3">
      <c r="A62" s="84"/>
      <c r="B62" s="77" t="s">
        <v>341</v>
      </c>
      <c r="C62" s="54"/>
      <c r="D62" s="54"/>
      <c r="E62" s="54"/>
      <c r="F62" s="54"/>
      <c r="G62" s="54"/>
      <c r="H62" s="54"/>
      <c r="I62" s="54"/>
    </row>
    <row r="63" spans="1:9" ht="6.75" customHeight="1" x14ac:dyDescent="0.3">
      <c r="A63" s="84"/>
      <c r="B63" s="77"/>
      <c r="C63" s="54"/>
      <c r="D63" s="54"/>
      <c r="E63" s="54"/>
      <c r="F63" s="54"/>
      <c r="G63" s="54"/>
      <c r="H63" s="54"/>
      <c r="I63" s="54"/>
    </row>
    <row r="64" spans="1:9" ht="6.75" customHeight="1" x14ac:dyDescent="0.3">
      <c r="A64" s="83" t="s">
        <v>155</v>
      </c>
      <c r="B64" s="77" t="s">
        <v>333</v>
      </c>
      <c r="C64" s="54"/>
      <c r="D64" s="54"/>
      <c r="E64" s="54"/>
      <c r="F64" s="54"/>
      <c r="G64" s="54"/>
      <c r="H64" s="54"/>
      <c r="I64" s="54"/>
    </row>
    <row r="65" spans="1:9" ht="6.75" customHeight="1" x14ac:dyDescent="0.3">
      <c r="A65" s="84"/>
      <c r="B65" s="77"/>
      <c r="C65" s="54"/>
      <c r="D65" s="54"/>
      <c r="E65" s="54"/>
      <c r="F65" s="54"/>
      <c r="G65" s="54"/>
      <c r="H65" s="54"/>
      <c r="I65" s="54"/>
    </row>
    <row r="66" spans="1:9" ht="6.75" customHeight="1" x14ac:dyDescent="0.3">
      <c r="A66" s="84"/>
      <c r="B66" s="77" t="s">
        <v>346</v>
      </c>
      <c r="C66" s="55" t="s">
        <v>840</v>
      </c>
      <c r="D66" s="55" t="s">
        <v>841</v>
      </c>
      <c r="E66" s="55" t="s">
        <v>842</v>
      </c>
      <c r="F66" s="55" t="s">
        <v>843</v>
      </c>
      <c r="G66" s="55" t="s">
        <v>844</v>
      </c>
      <c r="H66" s="55" t="s">
        <v>845</v>
      </c>
      <c r="I66" s="55" t="s">
        <v>846</v>
      </c>
    </row>
    <row r="67" spans="1:9" ht="6.75" customHeight="1" x14ac:dyDescent="0.3">
      <c r="A67" s="84"/>
      <c r="B67" s="77"/>
      <c r="C67" s="55"/>
      <c r="D67" s="55"/>
      <c r="E67" s="55"/>
      <c r="F67" s="55"/>
      <c r="G67" s="55"/>
      <c r="H67" s="55"/>
      <c r="I67" s="55"/>
    </row>
    <row r="68" spans="1:9" ht="6.75" customHeight="1" x14ac:dyDescent="0.3">
      <c r="A68" s="84"/>
      <c r="B68" s="77" t="s">
        <v>340</v>
      </c>
      <c r="C68" s="55"/>
      <c r="D68" s="55"/>
      <c r="E68" s="55"/>
      <c r="F68" s="55"/>
      <c r="G68" s="55"/>
      <c r="H68" s="55"/>
      <c r="I68" s="55"/>
    </row>
    <row r="69" spans="1:9" ht="6.75" customHeight="1" x14ac:dyDescent="0.3">
      <c r="A69" s="84"/>
      <c r="B69" s="77"/>
      <c r="C69" s="55"/>
      <c r="D69" s="55"/>
      <c r="E69" s="55"/>
      <c r="F69" s="55"/>
      <c r="G69" s="55"/>
      <c r="H69" s="55"/>
      <c r="I69" s="55"/>
    </row>
    <row r="70" spans="1:9" ht="6.75" customHeight="1" x14ac:dyDescent="0.3">
      <c r="A70" s="84"/>
      <c r="B70" s="77" t="s">
        <v>332</v>
      </c>
      <c r="C70" s="55"/>
      <c r="D70" s="55"/>
      <c r="E70" s="55"/>
      <c r="F70" s="55"/>
      <c r="G70" s="55"/>
      <c r="H70" s="55"/>
      <c r="I70" s="55"/>
    </row>
    <row r="71" spans="1:9" ht="6.75" customHeight="1" x14ac:dyDescent="0.3">
      <c r="A71" s="84"/>
      <c r="B71" s="77"/>
      <c r="C71" s="55"/>
      <c r="D71" s="55"/>
      <c r="E71" s="55"/>
      <c r="F71" s="55"/>
      <c r="G71" s="55"/>
      <c r="H71" s="55"/>
      <c r="I71" s="55"/>
    </row>
    <row r="72" spans="1:9" ht="6.75" customHeight="1" x14ac:dyDescent="0.3">
      <c r="A72" s="84"/>
      <c r="B72" s="77" t="s">
        <v>342</v>
      </c>
      <c r="C72" s="55"/>
      <c r="D72" s="55"/>
      <c r="E72" s="55"/>
      <c r="F72" s="55"/>
      <c r="G72" s="55"/>
      <c r="H72" s="55"/>
      <c r="I72" s="55"/>
    </row>
    <row r="73" spans="1:9" ht="6.75" customHeight="1" x14ac:dyDescent="0.3">
      <c r="A73" s="84"/>
      <c r="B73" s="77"/>
      <c r="C73" s="55"/>
      <c r="D73" s="55"/>
      <c r="E73" s="55"/>
      <c r="F73" s="55"/>
      <c r="G73" s="55"/>
      <c r="H73" s="55"/>
      <c r="I73" s="55"/>
    </row>
    <row r="74" spans="1:9" ht="6.75" customHeight="1" x14ac:dyDescent="0.3">
      <c r="A74" s="84"/>
      <c r="B74" s="77" t="s">
        <v>341</v>
      </c>
      <c r="C74" s="55"/>
      <c r="D74" s="55"/>
      <c r="E74" s="55"/>
      <c r="F74" s="55"/>
      <c r="G74" s="55"/>
      <c r="H74" s="55"/>
      <c r="I74" s="55"/>
    </row>
    <row r="75" spans="1:9" ht="6.75" customHeight="1" x14ac:dyDescent="0.3">
      <c r="A75" s="84"/>
      <c r="B75" s="77"/>
      <c r="C75" s="55"/>
      <c r="D75" s="55"/>
      <c r="E75" s="55"/>
      <c r="F75" s="55"/>
      <c r="G75" s="55"/>
      <c r="H75" s="55"/>
      <c r="I75" s="55"/>
    </row>
    <row r="76" spans="1:9" ht="6.75" customHeight="1" x14ac:dyDescent="0.3">
      <c r="A76" s="83" t="s">
        <v>142</v>
      </c>
      <c r="B76" s="77" t="s">
        <v>333</v>
      </c>
      <c r="C76" s="55"/>
      <c r="D76" s="55"/>
      <c r="E76" s="55"/>
      <c r="F76" s="55"/>
      <c r="G76" s="55"/>
      <c r="H76" s="55"/>
      <c r="I76" s="55"/>
    </row>
    <row r="77" spans="1:9" ht="6.75" customHeight="1" thickBot="1" x14ac:dyDescent="0.35">
      <c r="A77" s="84"/>
      <c r="B77" s="77"/>
      <c r="C77" s="55"/>
      <c r="D77" s="65"/>
      <c r="E77" s="65"/>
      <c r="F77" s="55"/>
      <c r="G77" s="55"/>
      <c r="H77" s="55"/>
      <c r="I77" s="55"/>
    </row>
    <row r="78" spans="1:9" ht="6.75" customHeight="1" x14ac:dyDescent="0.3">
      <c r="A78" s="84"/>
      <c r="B78" s="77" t="s">
        <v>346</v>
      </c>
      <c r="C78" s="61" t="s">
        <v>847</v>
      </c>
      <c r="D78" s="78" t="s">
        <v>919</v>
      </c>
      <c r="E78" s="68" t="str">
        <f>D78</f>
        <v>도시락
&lt;59</v>
      </c>
      <c r="F78" s="81" t="s">
        <v>848</v>
      </c>
      <c r="G78" s="53" t="s">
        <v>849</v>
      </c>
      <c r="H78" s="55" t="s">
        <v>850</v>
      </c>
      <c r="I78" s="53" t="str">
        <f>H78</f>
        <v>지금은 지방시대
&lt;190</v>
      </c>
    </row>
    <row r="79" spans="1:9" ht="6.75" customHeight="1" x14ac:dyDescent="0.3">
      <c r="A79" s="84"/>
      <c r="B79" s="77"/>
      <c r="C79" s="61"/>
      <c r="D79" s="79"/>
      <c r="E79" s="69"/>
      <c r="F79" s="81"/>
      <c r="G79" s="53"/>
      <c r="H79" s="62"/>
      <c r="I79" s="54"/>
    </row>
    <row r="80" spans="1:9" ht="6.75" customHeight="1" x14ac:dyDescent="0.3">
      <c r="A80" s="84"/>
      <c r="B80" s="77" t="s">
        <v>340</v>
      </c>
      <c r="C80" s="61"/>
      <c r="D80" s="79"/>
      <c r="E80" s="69"/>
      <c r="F80" s="81"/>
      <c r="G80" s="53"/>
      <c r="H80" s="62"/>
      <c r="I80" s="54"/>
    </row>
    <row r="81" spans="1:9" ht="6.75" customHeight="1" x14ac:dyDescent="0.3">
      <c r="A81" s="84"/>
      <c r="B81" s="77"/>
      <c r="C81" s="61"/>
      <c r="D81" s="79"/>
      <c r="E81" s="69"/>
      <c r="F81" s="81"/>
      <c r="G81" s="53"/>
      <c r="H81" s="62"/>
      <c r="I81" s="54"/>
    </row>
    <row r="82" spans="1:9" ht="6.75" customHeight="1" x14ac:dyDescent="0.3">
      <c r="A82" s="84"/>
      <c r="B82" s="77" t="s">
        <v>332</v>
      </c>
      <c r="C82" s="61"/>
      <c r="D82" s="79"/>
      <c r="E82" s="69"/>
      <c r="F82" s="81"/>
      <c r="G82" s="53"/>
      <c r="H82" s="62"/>
      <c r="I82" s="54"/>
    </row>
    <row r="83" spans="1:9" ht="6.75" customHeight="1" x14ac:dyDescent="0.3">
      <c r="A83" s="84"/>
      <c r="B83" s="77"/>
      <c r="C83" s="61"/>
      <c r="D83" s="79"/>
      <c r="E83" s="69"/>
      <c r="F83" s="81"/>
      <c r="G83" s="53"/>
      <c r="H83" s="62"/>
      <c r="I83" s="54"/>
    </row>
    <row r="84" spans="1:9" ht="6.75" customHeight="1" x14ac:dyDescent="0.3">
      <c r="A84" s="84"/>
      <c r="B84" s="77" t="s">
        <v>342</v>
      </c>
      <c r="C84" s="61"/>
      <c r="D84" s="79"/>
      <c r="E84" s="69"/>
      <c r="F84" s="81"/>
      <c r="G84" s="53"/>
      <c r="H84" s="62"/>
      <c r="I84" s="54"/>
    </row>
    <row r="85" spans="1:9" ht="6.75" customHeight="1" x14ac:dyDescent="0.3">
      <c r="A85" s="84"/>
      <c r="B85" s="77"/>
      <c r="C85" s="61"/>
      <c r="D85" s="79"/>
      <c r="E85" s="69"/>
      <c r="F85" s="81"/>
      <c r="G85" s="53"/>
      <c r="H85" s="62"/>
      <c r="I85" s="54"/>
    </row>
    <row r="86" spans="1:9" ht="6.75" customHeight="1" x14ac:dyDescent="0.3">
      <c r="A86" s="84"/>
      <c r="B86" s="77" t="s">
        <v>341</v>
      </c>
      <c r="C86" s="61"/>
      <c r="D86" s="79"/>
      <c r="E86" s="69"/>
      <c r="F86" s="81"/>
      <c r="G86" s="53"/>
      <c r="H86" s="62"/>
      <c r="I86" s="54"/>
    </row>
    <row r="87" spans="1:9" ht="6.75" customHeight="1" thickBot="1" x14ac:dyDescent="0.35">
      <c r="A87" s="84"/>
      <c r="B87" s="77"/>
      <c r="C87" s="61"/>
      <c r="D87" s="80"/>
      <c r="E87" s="70"/>
      <c r="F87" s="81"/>
      <c r="G87" s="53"/>
      <c r="H87" s="62"/>
      <c r="I87" s="54"/>
    </row>
    <row r="88" spans="1:9" ht="6.75" customHeight="1" x14ac:dyDescent="0.3">
      <c r="A88" s="83" t="s">
        <v>163</v>
      </c>
      <c r="B88" s="77" t="s">
        <v>333</v>
      </c>
      <c r="C88" s="53" t="s">
        <v>851</v>
      </c>
      <c r="D88" s="63" t="s">
        <v>852</v>
      </c>
      <c r="E88" s="63" t="s">
        <v>853</v>
      </c>
      <c r="F88" s="53" t="s">
        <v>854</v>
      </c>
      <c r="G88" s="53" t="s">
        <v>855</v>
      </c>
      <c r="H88" s="53" t="s">
        <v>856</v>
      </c>
      <c r="I88" s="53" t="s">
        <v>857</v>
      </c>
    </row>
    <row r="89" spans="1:9" ht="6.75" customHeight="1" x14ac:dyDescent="0.3">
      <c r="A89" s="84"/>
      <c r="B89" s="77"/>
      <c r="C89" s="53"/>
      <c r="D89" s="53"/>
      <c r="E89" s="53"/>
      <c r="F89" s="53"/>
      <c r="G89" s="53"/>
      <c r="H89" s="53"/>
      <c r="I89" s="53"/>
    </row>
    <row r="90" spans="1:9" ht="6.75" customHeight="1" x14ac:dyDescent="0.3">
      <c r="A90" s="84"/>
      <c r="B90" s="77" t="s">
        <v>346</v>
      </c>
      <c r="C90" s="53"/>
      <c r="D90" s="53"/>
      <c r="E90" s="53"/>
      <c r="F90" s="53"/>
      <c r="G90" s="53"/>
      <c r="H90" s="53"/>
      <c r="I90" s="53"/>
    </row>
    <row r="91" spans="1:9" ht="6.75" customHeight="1" x14ac:dyDescent="0.3">
      <c r="A91" s="84"/>
      <c r="B91" s="77"/>
      <c r="C91" s="53"/>
      <c r="D91" s="53"/>
      <c r="E91" s="53"/>
      <c r="F91" s="53"/>
      <c r="G91" s="53"/>
      <c r="H91" s="53"/>
      <c r="I91" s="53"/>
    </row>
    <row r="92" spans="1:9" ht="6.75" customHeight="1" x14ac:dyDescent="0.3">
      <c r="A92" s="84"/>
      <c r="B92" s="77" t="s">
        <v>340</v>
      </c>
      <c r="C92" s="53"/>
      <c r="D92" s="53"/>
      <c r="E92" s="53"/>
      <c r="F92" s="53"/>
      <c r="G92" s="53"/>
      <c r="H92" s="53"/>
      <c r="I92" s="53"/>
    </row>
    <row r="93" spans="1:9" ht="6.75" customHeight="1" x14ac:dyDescent="0.3">
      <c r="A93" s="84"/>
      <c r="B93" s="77"/>
      <c r="C93" s="53"/>
      <c r="D93" s="53"/>
      <c r="E93" s="53"/>
      <c r="F93" s="53"/>
      <c r="G93" s="53"/>
      <c r="H93" s="53"/>
      <c r="I93" s="53"/>
    </row>
    <row r="94" spans="1:9" ht="6.75" customHeight="1" x14ac:dyDescent="0.3">
      <c r="A94" s="84"/>
      <c r="B94" s="77" t="s">
        <v>332</v>
      </c>
      <c r="C94" s="53"/>
      <c r="D94" s="53"/>
      <c r="E94" s="53"/>
      <c r="F94" s="53"/>
      <c r="G94" s="53"/>
      <c r="H94" s="53"/>
      <c r="I94" s="53"/>
    </row>
    <row r="95" spans="1:9" ht="6.75" customHeight="1" x14ac:dyDescent="0.3">
      <c r="A95" s="84"/>
      <c r="B95" s="77"/>
      <c r="C95" s="53"/>
      <c r="D95" s="53"/>
      <c r="E95" s="53"/>
      <c r="F95" s="53"/>
      <c r="G95" s="53"/>
      <c r="H95" s="53"/>
      <c r="I95" s="53"/>
    </row>
    <row r="96" spans="1:9" ht="6.75" customHeight="1" x14ac:dyDescent="0.3">
      <c r="A96" s="84"/>
      <c r="B96" s="77" t="s">
        <v>342</v>
      </c>
      <c r="C96" s="53"/>
      <c r="D96" s="53"/>
      <c r="E96" s="53"/>
      <c r="F96" s="53"/>
      <c r="G96" s="53"/>
      <c r="H96" s="53"/>
      <c r="I96" s="53"/>
    </row>
    <row r="97" spans="1:9" ht="6.75" customHeight="1" x14ac:dyDescent="0.3">
      <c r="A97" s="84"/>
      <c r="B97" s="77"/>
      <c r="C97" s="53"/>
      <c r="D97" s="53"/>
      <c r="E97" s="53"/>
      <c r="F97" s="53"/>
      <c r="G97" s="53"/>
      <c r="H97" s="53"/>
      <c r="I97" s="53"/>
    </row>
    <row r="98" spans="1:9" ht="6.75" customHeight="1" x14ac:dyDescent="0.3">
      <c r="A98" s="84"/>
      <c r="B98" s="77" t="s">
        <v>341</v>
      </c>
      <c r="C98" s="53"/>
      <c r="D98" s="53"/>
      <c r="E98" s="53"/>
      <c r="F98" s="53"/>
      <c r="G98" s="53"/>
      <c r="H98" s="53"/>
      <c r="I98" s="53"/>
    </row>
    <row r="99" spans="1:9" ht="6.75" customHeight="1" x14ac:dyDescent="0.3">
      <c r="A99" s="84"/>
      <c r="B99" s="77"/>
      <c r="C99" s="53"/>
      <c r="D99" s="53"/>
      <c r="E99" s="53"/>
      <c r="F99" s="53"/>
      <c r="G99" s="53"/>
      <c r="H99" s="53"/>
      <c r="I99" s="53"/>
    </row>
    <row r="100" spans="1:9" ht="6.75" customHeight="1" x14ac:dyDescent="0.3">
      <c r="A100" s="84">
        <v>8</v>
      </c>
      <c r="B100" s="77" t="s">
        <v>333</v>
      </c>
      <c r="C100" s="53" t="s">
        <v>799</v>
      </c>
      <c r="D100" s="53" t="str">
        <f>C100</f>
        <v xml:space="preserve"> NEWSPLUS
&lt;63</v>
      </c>
      <c r="E100" s="55" t="s">
        <v>858</v>
      </c>
      <c r="F100" s="53" t="str">
        <f t="shared" ref="F100:I100" si="3">E100</f>
        <v xml:space="preserve"> NEWSPLUS
&lt;64</v>
      </c>
      <c r="G100" s="53" t="str">
        <f t="shared" si="3"/>
        <v xml:space="preserve"> NEWSPLUS
&lt;64</v>
      </c>
      <c r="H100" s="53" t="str">
        <f t="shared" si="3"/>
        <v xml:space="preserve"> NEWSPLUS
&lt;64</v>
      </c>
      <c r="I100" s="53" t="str">
        <f t="shared" si="3"/>
        <v xml:space="preserve"> NEWSPLUS
&lt;64</v>
      </c>
    </row>
    <row r="101" spans="1:9" ht="6.75" customHeight="1" x14ac:dyDescent="0.3">
      <c r="A101" s="84"/>
      <c r="B101" s="77"/>
      <c r="C101" s="53"/>
      <c r="D101" s="54"/>
      <c r="E101" s="62"/>
      <c r="F101" s="54"/>
      <c r="G101" s="54"/>
      <c r="H101" s="54"/>
      <c r="I101" s="54"/>
    </row>
    <row r="102" spans="1:9" ht="6.75" customHeight="1" x14ac:dyDescent="0.3">
      <c r="A102" s="84"/>
      <c r="B102" s="77" t="s">
        <v>346</v>
      </c>
      <c r="C102" s="53"/>
      <c r="D102" s="54"/>
      <c r="E102" s="62"/>
      <c r="F102" s="54"/>
      <c r="G102" s="54"/>
      <c r="H102" s="54"/>
      <c r="I102" s="54"/>
    </row>
    <row r="103" spans="1:9" ht="6.75" customHeight="1" x14ac:dyDescent="0.3">
      <c r="A103" s="84"/>
      <c r="B103" s="77"/>
      <c r="C103" s="53"/>
      <c r="D103" s="54"/>
      <c r="E103" s="62"/>
      <c r="F103" s="54"/>
      <c r="G103" s="54"/>
      <c r="H103" s="54"/>
      <c r="I103" s="54"/>
    </row>
    <row r="104" spans="1:9" ht="6.75" customHeight="1" x14ac:dyDescent="0.3">
      <c r="A104" s="84"/>
      <c r="B104" s="77" t="s">
        <v>340</v>
      </c>
      <c r="C104" s="53"/>
      <c r="D104" s="54"/>
      <c r="E104" s="62"/>
      <c r="F104" s="54"/>
      <c r="G104" s="54"/>
      <c r="H104" s="54"/>
      <c r="I104" s="54"/>
    </row>
    <row r="105" spans="1:9" ht="6.75" customHeight="1" x14ac:dyDescent="0.3">
      <c r="A105" s="84"/>
      <c r="B105" s="77"/>
      <c r="C105" s="53"/>
      <c r="D105" s="54"/>
      <c r="E105" s="62"/>
      <c r="F105" s="54"/>
      <c r="G105" s="54"/>
      <c r="H105" s="54"/>
      <c r="I105" s="54"/>
    </row>
    <row r="106" spans="1:9" ht="6.75" customHeight="1" x14ac:dyDescent="0.3">
      <c r="A106" s="84"/>
      <c r="B106" s="77" t="s">
        <v>332</v>
      </c>
      <c r="C106" s="53" t="s">
        <v>859</v>
      </c>
      <c r="D106" s="53" t="s">
        <v>801</v>
      </c>
      <c r="E106" s="53" t="s">
        <v>802</v>
      </c>
      <c r="F106" s="53" t="s">
        <v>800</v>
      </c>
      <c r="G106" s="53" t="s">
        <v>801</v>
      </c>
      <c r="H106" s="53" t="s">
        <v>802</v>
      </c>
      <c r="I106" s="53" t="s">
        <v>800</v>
      </c>
    </row>
    <row r="107" spans="1:9" ht="6.75" customHeight="1" x14ac:dyDescent="0.3">
      <c r="A107" s="84"/>
      <c r="B107" s="77"/>
      <c r="C107" s="53"/>
      <c r="D107" s="53"/>
      <c r="E107" s="53"/>
      <c r="F107" s="53"/>
      <c r="G107" s="53"/>
      <c r="H107" s="53"/>
      <c r="I107" s="53"/>
    </row>
    <row r="108" spans="1:9" ht="6.75" customHeight="1" x14ac:dyDescent="0.3">
      <c r="A108" s="84"/>
      <c r="B108" s="77" t="s">
        <v>342</v>
      </c>
      <c r="C108" s="53"/>
      <c r="D108" s="53"/>
      <c r="E108" s="53"/>
      <c r="F108" s="53"/>
      <c r="G108" s="53"/>
      <c r="H108" s="53"/>
      <c r="I108" s="53"/>
    </row>
    <row r="109" spans="1:9" ht="6.75" customHeight="1" x14ac:dyDescent="0.3">
      <c r="A109" s="84"/>
      <c r="B109" s="77"/>
      <c r="C109" s="53"/>
      <c r="D109" s="53"/>
      <c r="E109" s="53"/>
      <c r="F109" s="53"/>
      <c r="G109" s="53"/>
      <c r="H109" s="53"/>
      <c r="I109" s="53"/>
    </row>
    <row r="110" spans="1:9" ht="6.75" customHeight="1" x14ac:dyDescent="0.3">
      <c r="A110" s="84"/>
      <c r="B110" s="77" t="s">
        <v>341</v>
      </c>
      <c r="C110" s="53"/>
      <c r="D110" s="53"/>
      <c r="E110" s="53"/>
      <c r="F110" s="53"/>
      <c r="G110" s="53"/>
      <c r="H110" s="53"/>
      <c r="I110" s="53"/>
    </row>
    <row r="111" spans="1:9" ht="6.75" customHeight="1" x14ac:dyDescent="0.3">
      <c r="A111" s="84"/>
      <c r="B111" s="77"/>
      <c r="C111" s="53"/>
      <c r="D111" s="53"/>
      <c r="E111" s="53"/>
      <c r="F111" s="53"/>
      <c r="G111" s="53"/>
      <c r="H111" s="53"/>
      <c r="I111" s="53"/>
    </row>
    <row r="112" spans="1:9" ht="6.75" customHeight="1" x14ac:dyDescent="0.3">
      <c r="A112" s="84">
        <v>9</v>
      </c>
      <c r="B112" s="77" t="s">
        <v>333</v>
      </c>
      <c r="C112" s="53"/>
      <c r="D112" s="53"/>
      <c r="E112" s="53"/>
      <c r="F112" s="53"/>
      <c r="G112" s="53"/>
      <c r="H112" s="53"/>
      <c r="I112" s="53"/>
    </row>
    <row r="113" spans="1:9" ht="6.75" customHeight="1" x14ac:dyDescent="0.3">
      <c r="A113" s="84"/>
      <c r="B113" s="77"/>
      <c r="C113" s="53"/>
      <c r="D113" s="53"/>
      <c r="E113" s="53"/>
      <c r="F113" s="53"/>
      <c r="G113" s="53"/>
      <c r="H113" s="53"/>
      <c r="I113" s="53"/>
    </row>
    <row r="114" spans="1:9" ht="6.75" customHeight="1" x14ac:dyDescent="0.3">
      <c r="A114" s="84"/>
      <c r="B114" s="77" t="s">
        <v>346</v>
      </c>
      <c r="C114" s="53"/>
      <c r="D114" s="53"/>
      <c r="E114" s="53"/>
      <c r="F114" s="53"/>
      <c r="G114" s="53"/>
      <c r="H114" s="53"/>
      <c r="I114" s="53"/>
    </row>
    <row r="115" spans="1:9" ht="6.75" customHeight="1" x14ac:dyDescent="0.3">
      <c r="A115" s="84"/>
      <c r="B115" s="77"/>
      <c r="C115" s="53"/>
      <c r="D115" s="53"/>
      <c r="E115" s="53"/>
      <c r="F115" s="53"/>
      <c r="G115" s="53"/>
      <c r="H115" s="53"/>
      <c r="I115" s="53"/>
    </row>
    <row r="116" spans="1:9" ht="6.75" customHeight="1" x14ac:dyDescent="0.3">
      <c r="A116" s="84"/>
      <c r="B116" s="77" t="s">
        <v>340</v>
      </c>
      <c r="C116" s="53" t="s">
        <v>860</v>
      </c>
      <c r="D116" s="53" t="s">
        <v>861</v>
      </c>
      <c r="E116" s="53" t="s">
        <v>805</v>
      </c>
      <c r="F116" s="53" t="s">
        <v>806</v>
      </c>
      <c r="G116" s="53" t="s">
        <v>910</v>
      </c>
      <c r="H116" s="53" t="s">
        <v>911</v>
      </c>
      <c r="I116" s="53" t="s">
        <v>912</v>
      </c>
    </row>
    <row r="117" spans="1:9" ht="6.75" customHeight="1" x14ac:dyDescent="0.3">
      <c r="A117" s="84"/>
      <c r="B117" s="77"/>
      <c r="C117" s="53"/>
      <c r="D117" s="53"/>
      <c r="E117" s="53"/>
      <c r="F117" s="53"/>
      <c r="G117" s="53"/>
      <c r="H117" s="53"/>
      <c r="I117" s="53"/>
    </row>
    <row r="118" spans="1:9" ht="6.75" customHeight="1" x14ac:dyDescent="0.3">
      <c r="A118" s="84"/>
      <c r="B118" s="77" t="s">
        <v>332</v>
      </c>
      <c r="C118" s="53"/>
      <c r="D118" s="53"/>
      <c r="E118" s="53"/>
      <c r="F118" s="53"/>
      <c r="G118" s="53"/>
      <c r="H118" s="53"/>
      <c r="I118" s="53"/>
    </row>
    <row r="119" spans="1:9" ht="6.75" customHeight="1" x14ac:dyDescent="0.3">
      <c r="A119" s="84"/>
      <c r="B119" s="77"/>
      <c r="C119" s="53"/>
      <c r="D119" s="53"/>
      <c r="E119" s="53"/>
      <c r="F119" s="53"/>
      <c r="G119" s="53"/>
      <c r="H119" s="53"/>
      <c r="I119" s="53"/>
    </row>
    <row r="120" spans="1:9" ht="6.75" customHeight="1" x14ac:dyDescent="0.3">
      <c r="A120" s="84"/>
      <c r="B120" s="77" t="s">
        <v>342</v>
      </c>
      <c r="C120" s="53"/>
      <c r="D120" s="53"/>
      <c r="E120" s="53"/>
      <c r="F120" s="53"/>
      <c r="G120" s="53"/>
      <c r="H120" s="53"/>
      <c r="I120" s="53"/>
    </row>
    <row r="121" spans="1:9" ht="6.75" customHeight="1" x14ac:dyDescent="0.3">
      <c r="A121" s="84"/>
      <c r="B121" s="77"/>
      <c r="C121" s="53"/>
      <c r="D121" s="53"/>
      <c r="E121" s="53"/>
      <c r="F121" s="53"/>
      <c r="G121" s="53"/>
      <c r="H121" s="53"/>
      <c r="I121" s="53"/>
    </row>
    <row r="122" spans="1:9" ht="6.75" customHeight="1" x14ac:dyDescent="0.3">
      <c r="A122" s="84"/>
      <c r="B122" s="77" t="s">
        <v>341</v>
      </c>
      <c r="C122" s="53"/>
      <c r="D122" s="53"/>
      <c r="E122" s="53"/>
      <c r="F122" s="53"/>
      <c r="G122" s="53"/>
      <c r="H122" s="53"/>
      <c r="I122" s="53"/>
    </row>
    <row r="123" spans="1:9" ht="6.75" customHeight="1" x14ac:dyDescent="0.3">
      <c r="A123" s="84"/>
      <c r="B123" s="77"/>
      <c r="C123" s="53"/>
      <c r="D123" s="53"/>
      <c r="E123" s="53"/>
      <c r="F123" s="53"/>
      <c r="G123" s="53"/>
      <c r="H123" s="53"/>
      <c r="I123" s="53"/>
    </row>
    <row r="124" spans="1:9" ht="6.75" customHeight="1" x14ac:dyDescent="0.3">
      <c r="A124" s="84">
        <v>10</v>
      </c>
      <c r="B124" s="77" t="s">
        <v>333</v>
      </c>
      <c r="C124" s="55" t="s">
        <v>862</v>
      </c>
      <c r="D124" s="55" t="s">
        <v>863</v>
      </c>
      <c r="E124" s="55" t="s">
        <v>864</v>
      </c>
      <c r="F124" s="53" t="s">
        <v>865</v>
      </c>
      <c r="G124" s="53" t="s">
        <v>866</v>
      </c>
      <c r="H124" s="55" t="s">
        <v>867</v>
      </c>
      <c r="I124" s="53" t="str">
        <f>H124</f>
        <v>지방자치TV 스페셜
&lt;21</v>
      </c>
    </row>
    <row r="125" spans="1:9" ht="6.75" customHeight="1" x14ac:dyDescent="0.3">
      <c r="A125" s="84"/>
      <c r="B125" s="77"/>
      <c r="C125" s="55"/>
      <c r="D125" s="55"/>
      <c r="E125" s="55"/>
      <c r="F125" s="53"/>
      <c r="G125" s="53"/>
      <c r="H125" s="55"/>
      <c r="I125" s="54"/>
    </row>
    <row r="126" spans="1:9" ht="6.75" customHeight="1" x14ac:dyDescent="0.3">
      <c r="A126" s="84"/>
      <c r="B126" s="77" t="s">
        <v>346</v>
      </c>
      <c r="C126" s="55"/>
      <c r="D126" s="55"/>
      <c r="E126" s="55"/>
      <c r="F126" s="53"/>
      <c r="G126" s="53"/>
      <c r="H126" s="55"/>
      <c r="I126" s="54"/>
    </row>
    <row r="127" spans="1:9" ht="6.75" customHeight="1" x14ac:dyDescent="0.3">
      <c r="A127" s="84"/>
      <c r="B127" s="77"/>
      <c r="C127" s="55"/>
      <c r="D127" s="55"/>
      <c r="E127" s="55"/>
      <c r="F127" s="53"/>
      <c r="G127" s="53"/>
      <c r="H127" s="55"/>
      <c r="I127" s="54"/>
    </row>
    <row r="128" spans="1:9" ht="6.75" customHeight="1" x14ac:dyDescent="0.3">
      <c r="A128" s="84"/>
      <c r="B128" s="77" t="s">
        <v>340</v>
      </c>
      <c r="C128" s="55"/>
      <c r="D128" s="55"/>
      <c r="E128" s="55"/>
      <c r="F128" s="53"/>
      <c r="G128" s="53"/>
      <c r="H128" s="55"/>
      <c r="I128" s="54"/>
    </row>
    <row r="129" spans="1:9" ht="6.75" customHeight="1" x14ac:dyDescent="0.3">
      <c r="A129" s="84"/>
      <c r="B129" s="77"/>
      <c r="C129" s="55"/>
      <c r="D129" s="55"/>
      <c r="E129" s="55"/>
      <c r="F129" s="53"/>
      <c r="G129" s="53"/>
      <c r="H129" s="55"/>
      <c r="I129" s="54"/>
    </row>
    <row r="130" spans="1:9" ht="6.75" customHeight="1" x14ac:dyDescent="0.3">
      <c r="A130" s="84"/>
      <c r="B130" s="77" t="s">
        <v>332</v>
      </c>
      <c r="C130" s="55"/>
      <c r="D130" s="55"/>
      <c r="E130" s="55"/>
      <c r="F130" s="53"/>
      <c r="G130" s="53"/>
      <c r="H130" s="55"/>
      <c r="I130" s="54"/>
    </row>
    <row r="131" spans="1:9" ht="6.75" customHeight="1" x14ac:dyDescent="0.3">
      <c r="A131" s="84"/>
      <c r="B131" s="77"/>
      <c r="C131" s="55"/>
      <c r="D131" s="55"/>
      <c r="E131" s="55"/>
      <c r="F131" s="53"/>
      <c r="G131" s="53"/>
      <c r="H131" s="55"/>
      <c r="I131" s="54"/>
    </row>
    <row r="132" spans="1:9" ht="6.75" customHeight="1" x14ac:dyDescent="0.3">
      <c r="A132" s="84"/>
      <c r="B132" s="77" t="s">
        <v>342</v>
      </c>
      <c r="C132" s="55"/>
      <c r="D132" s="55"/>
      <c r="E132" s="55"/>
      <c r="F132" s="53"/>
      <c r="G132" s="53"/>
      <c r="H132" s="55"/>
      <c r="I132" s="54"/>
    </row>
    <row r="133" spans="1:9" ht="6.75" customHeight="1" x14ac:dyDescent="0.3">
      <c r="A133" s="84"/>
      <c r="B133" s="77"/>
      <c r="C133" s="55"/>
      <c r="D133" s="55"/>
      <c r="E133" s="55"/>
      <c r="F133" s="53"/>
      <c r="G133" s="53"/>
      <c r="H133" s="55"/>
      <c r="I133" s="54"/>
    </row>
    <row r="134" spans="1:9" ht="6.75" customHeight="1" x14ac:dyDescent="0.3">
      <c r="A134" s="84"/>
      <c r="B134" s="77" t="s">
        <v>341</v>
      </c>
      <c r="C134" s="55"/>
      <c r="D134" s="55"/>
      <c r="E134" s="55"/>
      <c r="F134" s="53"/>
      <c r="G134" s="53"/>
      <c r="H134" s="55"/>
      <c r="I134" s="54"/>
    </row>
    <row r="135" spans="1:9" ht="6.75" customHeight="1" x14ac:dyDescent="0.3">
      <c r="A135" s="84"/>
      <c r="B135" s="77"/>
      <c r="C135" s="55"/>
      <c r="D135" s="55"/>
      <c r="E135" s="55"/>
      <c r="F135" s="53"/>
      <c r="G135" s="53"/>
      <c r="H135" s="55"/>
      <c r="I135" s="54"/>
    </row>
    <row r="136" spans="1:9" ht="6.75" customHeight="1" x14ac:dyDescent="0.3">
      <c r="A136" s="84">
        <v>11</v>
      </c>
      <c r="B136" s="77" t="s">
        <v>333</v>
      </c>
      <c r="C136" s="55" t="s">
        <v>868</v>
      </c>
      <c r="D136" s="55" t="s">
        <v>869</v>
      </c>
      <c r="E136" s="55" t="s">
        <v>870</v>
      </c>
      <c r="F136" s="55" t="s">
        <v>871</v>
      </c>
      <c r="G136" s="55" t="s">
        <v>872</v>
      </c>
      <c r="H136" s="55" t="s">
        <v>873</v>
      </c>
      <c r="I136" s="53" t="str">
        <f>H136</f>
        <v>지방자치TV 스페셜
&lt;22</v>
      </c>
    </row>
    <row r="137" spans="1:9" ht="6.75" customHeight="1" x14ac:dyDescent="0.3">
      <c r="A137" s="84"/>
      <c r="B137" s="77"/>
      <c r="C137" s="55"/>
      <c r="D137" s="55"/>
      <c r="E137" s="55"/>
      <c r="F137" s="55"/>
      <c r="G137" s="55"/>
      <c r="H137" s="55"/>
      <c r="I137" s="54"/>
    </row>
    <row r="138" spans="1:9" ht="6.75" customHeight="1" x14ac:dyDescent="0.3">
      <c r="A138" s="84"/>
      <c r="B138" s="77" t="s">
        <v>346</v>
      </c>
      <c r="C138" s="55"/>
      <c r="D138" s="55"/>
      <c r="E138" s="55"/>
      <c r="F138" s="55"/>
      <c r="G138" s="55"/>
      <c r="H138" s="55"/>
      <c r="I138" s="54"/>
    </row>
    <row r="139" spans="1:9" ht="6.75" customHeight="1" x14ac:dyDescent="0.3">
      <c r="A139" s="84"/>
      <c r="B139" s="77"/>
      <c r="C139" s="55"/>
      <c r="D139" s="55"/>
      <c r="E139" s="55"/>
      <c r="F139" s="55"/>
      <c r="G139" s="55"/>
      <c r="H139" s="55"/>
      <c r="I139" s="54"/>
    </row>
    <row r="140" spans="1:9" ht="6.75" customHeight="1" x14ac:dyDescent="0.3">
      <c r="A140" s="84"/>
      <c r="B140" s="77" t="s">
        <v>340</v>
      </c>
      <c r="C140" s="55"/>
      <c r="D140" s="55"/>
      <c r="E140" s="55"/>
      <c r="F140" s="55"/>
      <c r="G140" s="55"/>
      <c r="H140" s="55"/>
      <c r="I140" s="54"/>
    </row>
    <row r="141" spans="1:9" ht="6.75" customHeight="1" x14ac:dyDescent="0.3">
      <c r="A141" s="84"/>
      <c r="B141" s="77"/>
      <c r="C141" s="55"/>
      <c r="D141" s="55"/>
      <c r="E141" s="55"/>
      <c r="F141" s="55"/>
      <c r="G141" s="55"/>
      <c r="H141" s="55"/>
      <c r="I141" s="54"/>
    </row>
    <row r="142" spans="1:9" ht="6.75" customHeight="1" x14ac:dyDescent="0.3">
      <c r="A142" s="84"/>
      <c r="B142" s="77" t="s">
        <v>332</v>
      </c>
      <c r="C142" s="55"/>
      <c r="D142" s="55"/>
      <c r="E142" s="55"/>
      <c r="F142" s="55"/>
      <c r="G142" s="55"/>
      <c r="H142" s="55"/>
      <c r="I142" s="54"/>
    </row>
    <row r="143" spans="1:9" ht="6.75" customHeight="1" x14ac:dyDescent="0.3">
      <c r="A143" s="84"/>
      <c r="B143" s="77"/>
      <c r="C143" s="55"/>
      <c r="D143" s="55"/>
      <c r="E143" s="55"/>
      <c r="F143" s="55"/>
      <c r="G143" s="55"/>
      <c r="H143" s="55"/>
      <c r="I143" s="54"/>
    </row>
    <row r="144" spans="1:9" ht="6.75" customHeight="1" x14ac:dyDescent="0.3">
      <c r="A144" s="84"/>
      <c r="B144" s="77" t="s">
        <v>342</v>
      </c>
      <c r="C144" s="55"/>
      <c r="D144" s="55"/>
      <c r="E144" s="55"/>
      <c r="F144" s="55"/>
      <c r="G144" s="55"/>
      <c r="H144" s="55"/>
      <c r="I144" s="54"/>
    </row>
    <row r="145" spans="1:9" ht="6.75" customHeight="1" x14ac:dyDescent="0.3">
      <c r="A145" s="84"/>
      <c r="B145" s="77"/>
      <c r="C145" s="55"/>
      <c r="D145" s="55"/>
      <c r="E145" s="55"/>
      <c r="F145" s="55"/>
      <c r="G145" s="55"/>
      <c r="H145" s="55"/>
      <c r="I145" s="54"/>
    </row>
    <row r="146" spans="1:9" ht="6.75" customHeight="1" x14ac:dyDescent="0.3">
      <c r="A146" s="84"/>
      <c r="B146" s="77" t="s">
        <v>341</v>
      </c>
      <c r="C146" s="55"/>
      <c r="D146" s="55"/>
      <c r="E146" s="55"/>
      <c r="F146" s="55"/>
      <c r="G146" s="55"/>
      <c r="H146" s="55"/>
      <c r="I146" s="54"/>
    </row>
    <row r="147" spans="1:9" ht="6.75" customHeight="1" x14ac:dyDescent="0.3">
      <c r="A147" s="84"/>
      <c r="B147" s="77"/>
      <c r="C147" s="55"/>
      <c r="D147" s="55"/>
      <c r="E147" s="55"/>
      <c r="F147" s="55"/>
      <c r="G147" s="55"/>
      <c r="H147" s="55"/>
      <c r="I147" s="54"/>
    </row>
    <row r="148" spans="1:9" ht="6.75" customHeight="1" x14ac:dyDescent="0.3">
      <c r="A148" s="84">
        <v>12</v>
      </c>
      <c r="B148" s="77" t="s">
        <v>333</v>
      </c>
      <c r="C148" s="53" t="s">
        <v>874</v>
      </c>
      <c r="D148" s="53" t="s">
        <v>875</v>
      </c>
      <c r="E148" s="53" t="str">
        <f>C148</f>
        <v>행복무지개
&lt;31</v>
      </c>
      <c r="F148" s="53" t="str">
        <f>D148</f>
        <v>행복무지개
&lt;32</v>
      </c>
      <c r="G148" s="53" t="str">
        <f>C148</f>
        <v>행복무지개
&lt;31</v>
      </c>
      <c r="H148" s="53" t="str">
        <f>F148</f>
        <v>행복무지개
&lt;32</v>
      </c>
      <c r="I148" s="53" t="str">
        <f>G148</f>
        <v>행복무지개
&lt;31</v>
      </c>
    </row>
    <row r="149" spans="1:9" ht="6.75" customHeight="1" x14ac:dyDescent="0.3">
      <c r="A149" s="84"/>
      <c r="B149" s="77"/>
      <c r="C149" s="53"/>
      <c r="D149" s="53"/>
      <c r="E149" s="54"/>
      <c r="F149" s="54"/>
      <c r="G149" s="54"/>
      <c r="H149" s="54"/>
      <c r="I149" s="54"/>
    </row>
    <row r="150" spans="1:9" ht="6.75" customHeight="1" x14ac:dyDescent="0.3">
      <c r="A150" s="84"/>
      <c r="B150" s="77" t="s">
        <v>346</v>
      </c>
      <c r="C150" s="53"/>
      <c r="D150" s="53"/>
      <c r="E150" s="54"/>
      <c r="F150" s="54"/>
      <c r="G150" s="54"/>
      <c r="H150" s="54"/>
      <c r="I150" s="54"/>
    </row>
    <row r="151" spans="1:9" ht="6.75" customHeight="1" x14ac:dyDescent="0.3">
      <c r="A151" s="84"/>
      <c r="B151" s="77"/>
      <c r="C151" s="53"/>
      <c r="D151" s="53"/>
      <c r="E151" s="54"/>
      <c r="F151" s="54"/>
      <c r="G151" s="54"/>
      <c r="H151" s="54"/>
      <c r="I151" s="54"/>
    </row>
    <row r="152" spans="1:9" ht="6.75" customHeight="1" x14ac:dyDescent="0.3">
      <c r="A152" s="84"/>
      <c r="B152" s="77" t="s">
        <v>340</v>
      </c>
      <c r="C152" s="53"/>
      <c r="D152" s="53"/>
      <c r="E152" s="54"/>
      <c r="F152" s="54"/>
      <c r="G152" s="54"/>
      <c r="H152" s="54"/>
      <c r="I152" s="54"/>
    </row>
    <row r="153" spans="1:9" ht="6.75" customHeight="1" x14ac:dyDescent="0.3">
      <c r="A153" s="84"/>
      <c r="B153" s="77"/>
      <c r="C153" s="53"/>
      <c r="D153" s="53"/>
      <c r="E153" s="54"/>
      <c r="F153" s="54"/>
      <c r="G153" s="54"/>
      <c r="H153" s="54"/>
      <c r="I153" s="54"/>
    </row>
    <row r="154" spans="1:9" ht="6.75" customHeight="1" x14ac:dyDescent="0.3">
      <c r="A154" s="84"/>
      <c r="B154" s="77" t="s">
        <v>332</v>
      </c>
      <c r="C154" s="53"/>
      <c r="D154" s="53"/>
      <c r="E154" s="54"/>
      <c r="F154" s="54"/>
      <c r="G154" s="54"/>
      <c r="H154" s="54"/>
      <c r="I154" s="54"/>
    </row>
    <row r="155" spans="1:9" ht="6.75" customHeight="1" x14ac:dyDescent="0.3">
      <c r="A155" s="84"/>
      <c r="B155" s="77"/>
      <c r="C155" s="53"/>
      <c r="D155" s="53"/>
      <c r="E155" s="54"/>
      <c r="F155" s="54"/>
      <c r="G155" s="54"/>
      <c r="H155" s="54"/>
      <c r="I155" s="54"/>
    </row>
    <row r="156" spans="1:9" ht="6.75" customHeight="1" x14ac:dyDescent="0.3">
      <c r="A156" s="84"/>
      <c r="B156" s="77" t="s">
        <v>342</v>
      </c>
      <c r="C156" s="53"/>
      <c r="D156" s="53"/>
      <c r="E156" s="54"/>
      <c r="F156" s="54"/>
      <c r="G156" s="54"/>
      <c r="H156" s="54"/>
      <c r="I156" s="54"/>
    </row>
    <row r="157" spans="1:9" ht="6.75" customHeight="1" x14ac:dyDescent="0.3">
      <c r="A157" s="84"/>
      <c r="B157" s="77"/>
      <c r="C157" s="53"/>
      <c r="D157" s="53"/>
      <c r="E157" s="54"/>
      <c r="F157" s="54"/>
      <c r="G157" s="54"/>
      <c r="H157" s="54"/>
      <c r="I157" s="54"/>
    </row>
    <row r="158" spans="1:9" ht="6.75" customHeight="1" x14ac:dyDescent="0.3">
      <c r="A158" s="84"/>
      <c r="B158" s="77" t="s">
        <v>341</v>
      </c>
      <c r="C158" s="53"/>
      <c r="D158" s="53"/>
      <c r="E158" s="54"/>
      <c r="F158" s="54"/>
      <c r="G158" s="54"/>
      <c r="H158" s="54"/>
      <c r="I158" s="54"/>
    </row>
    <row r="159" spans="1:9" ht="6.75" customHeight="1" x14ac:dyDescent="0.3">
      <c r="A159" s="84"/>
      <c r="B159" s="77"/>
      <c r="C159" s="53"/>
      <c r="D159" s="53"/>
      <c r="E159" s="54"/>
      <c r="F159" s="54"/>
      <c r="G159" s="54"/>
      <c r="H159" s="54"/>
      <c r="I159" s="54"/>
    </row>
    <row r="160" spans="1:9" ht="6.75" customHeight="1" x14ac:dyDescent="0.3">
      <c r="A160" s="84">
        <v>13</v>
      </c>
      <c r="B160" s="77" t="s">
        <v>333</v>
      </c>
      <c r="C160" s="53" t="s">
        <v>803</v>
      </c>
      <c r="D160" s="53" t="str">
        <f>C160</f>
        <v xml:space="preserve"> NEWSJ
&lt;66</v>
      </c>
      <c r="E160" s="53" t="str">
        <f t="shared" ref="E160:G160" si="4">D160</f>
        <v xml:space="preserve"> NEWSJ
&lt;66</v>
      </c>
      <c r="F160" s="53" t="str">
        <f t="shared" si="4"/>
        <v xml:space="preserve"> NEWSJ
&lt;66</v>
      </c>
      <c r="G160" s="53" t="str">
        <f t="shared" si="4"/>
        <v xml:space="preserve"> NEWSJ
&lt;66</v>
      </c>
      <c r="H160" s="55" t="s">
        <v>876</v>
      </c>
      <c r="I160" s="53" t="str">
        <f>H160</f>
        <v xml:space="preserve"> NEWSJ
&lt;67</v>
      </c>
    </row>
    <row r="161" spans="1:9" ht="6.75" customHeight="1" x14ac:dyDescent="0.3">
      <c r="A161" s="84"/>
      <c r="B161" s="77"/>
      <c r="C161" s="54"/>
      <c r="D161" s="54"/>
      <c r="E161" s="54"/>
      <c r="F161" s="54"/>
      <c r="G161" s="54"/>
      <c r="H161" s="62"/>
      <c r="I161" s="54"/>
    </row>
    <row r="162" spans="1:9" ht="6.75" customHeight="1" x14ac:dyDescent="0.3">
      <c r="A162" s="84"/>
      <c r="B162" s="77" t="s">
        <v>346</v>
      </c>
      <c r="C162" s="54"/>
      <c r="D162" s="54"/>
      <c r="E162" s="54"/>
      <c r="F162" s="54"/>
      <c r="G162" s="54"/>
      <c r="H162" s="62"/>
      <c r="I162" s="54"/>
    </row>
    <row r="163" spans="1:9" ht="6.75" customHeight="1" x14ac:dyDescent="0.3">
      <c r="A163" s="84"/>
      <c r="B163" s="77"/>
      <c r="C163" s="54"/>
      <c r="D163" s="54"/>
      <c r="E163" s="54"/>
      <c r="F163" s="54"/>
      <c r="G163" s="54"/>
      <c r="H163" s="62"/>
      <c r="I163" s="54"/>
    </row>
    <row r="164" spans="1:9" ht="6.75" customHeight="1" x14ac:dyDescent="0.3">
      <c r="A164" s="84"/>
      <c r="B164" s="77" t="s">
        <v>340</v>
      </c>
      <c r="C164" s="54"/>
      <c r="D164" s="54"/>
      <c r="E164" s="54"/>
      <c r="F164" s="54"/>
      <c r="G164" s="54"/>
      <c r="H164" s="62"/>
      <c r="I164" s="54"/>
    </row>
    <row r="165" spans="1:9" ht="6.75" customHeight="1" x14ac:dyDescent="0.3">
      <c r="A165" s="84"/>
      <c r="B165" s="77"/>
      <c r="C165" s="54"/>
      <c r="D165" s="54"/>
      <c r="E165" s="54"/>
      <c r="F165" s="54"/>
      <c r="G165" s="54"/>
      <c r="H165" s="62"/>
      <c r="I165" s="54"/>
    </row>
    <row r="166" spans="1:9" ht="6.75" customHeight="1" x14ac:dyDescent="0.3">
      <c r="A166" s="84"/>
      <c r="B166" s="77" t="s">
        <v>332</v>
      </c>
      <c r="C166" s="53" t="s">
        <v>785</v>
      </c>
      <c r="D166" s="53" t="s">
        <v>804</v>
      </c>
      <c r="E166" s="53" t="s">
        <v>877</v>
      </c>
      <c r="F166" s="53" t="s">
        <v>878</v>
      </c>
      <c r="G166" s="55" t="s">
        <v>879</v>
      </c>
      <c r="H166" s="53" t="str">
        <f>G166</f>
        <v>더 人터뷰
&lt;54</v>
      </c>
      <c r="I166" s="53" t="str">
        <f>G166</f>
        <v>더 人터뷰
&lt;54</v>
      </c>
    </row>
    <row r="167" spans="1:9" ht="6.75" customHeight="1" x14ac:dyDescent="0.3">
      <c r="A167" s="84"/>
      <c r="B167" s="77"/>
      <c r="C167" s="54"/>
      <c r="D167" s="54"/>
      <c r="E167" s="54"/>
      <c r="F167" s="54"/>
      <c r="G167" s="55"/>
      <c r="H167" s="54"/>
      <c r="I167" s="54"/>
    </row>
    <row r="168" spans="1:9" ht="6.75" customHeight="1" x14ac:dyDescent="0.3">
      <c r="A168" s="84"/>
      <c r="B168" s="77" t="s">
        <v>342</v>
      </c>
      <c r="C168" s="54"/>
      <c r="D168" s="54"/>
      <c r="E168" s="54"/>
      <c r="F168" s="54"/>
      <c r="G168" s="55"/>
      <c r="H168" s="54"/>
      <c r="I168" s="54"/>
    </row>
    <row r="169" spans="1:9" ht="6.75" customHeight="1" x14ac:dyDescent="0.3">
      <c r="A169" s="84"/>
      <c r="B169" s="77"/>
      <c r="C169" s="54"/>
      <c r="D169" s="54"/>
      <c r="E169" s="54"/>
      <c r="F169" s="54"/>
      <c r="G169" s="55"/>
      <c r="H169" s="54"/>
      <c r="I169" s="54"/>
    </row>
    <row r="170" spans="1:9" ht="6.75" customHeight="1" x14ac:dyDescent="0.3">
      <c r="A170" s="84"/>
      <c r="B170" s="77" t="s">
        <v>341</v>
      </c>
      <c r="C170" s="54"/>
      <c r="D170" s="54"/>
      <c r="E170" s="54"/>
      <c r="F170" s="54"/>
      <c r="G170" s="55"/>
      <c r="H170" s="54"/>
      <c r="I170" s="54"/>
    </row>
    <row r="171" spans="1:9" ht="6.75" customHeight="1" x14ac:dyDescent="0.3">
      <c r="A171" s="84"/>
      <c r="B171" s="77"/>
      <c r="C171" s="54"/>
      <c r="D171" s="54"/>
      <c r="E171" s="54"/>
      <c r="F171" s="54"/>
      <c r="G171" s="55"/>
      <c r="H171" s="54"/>
      <c r="I171" s="54"/>
    </row>
    <row r="172" spans="1:9" ht="6.75" customHeight="1" x14ac:dyDescent="0.3">
      <c r="A172" s="84">
        <v>14</v>
      </c>
      <c r="B172" s="77" t="s">
        <v>333</v>
      </c>
      <c r="C172" s="55" t="s">
        <v>880</v>
      </c>
      <c r="D172" s="55" t="s">
        <v>881</v>
      </c>
      <c r="E172" s="55" t="s">
        <v>882</v>
      </c>
      <c r="F172" s="55" t="s">
        <v>883</v>
      </c>
      <c r="G172" s="55" t="s">
        <v>884</v>
      </c>
      <c r="H172" s="55" t="s">
        <v>885</v>
      </c>
      <c r="I172" s="53" t="str">
        <f>H172</f>
        <v>지방자치TV 스페셜
&lt;23</v>
      </c>
    </row>
    <row r="173" spans="1:9" ht="6.75" customHeight="1" x14ac:dyDescent="0.3">
      <c r="A173" s="84"/>
      <c r="B173" s="77"/>
      <c r="C173" s="55"/>
      <c r="D173" s="55"/>
      <c r="E173" s="55"/>
      <c r="F173" s="55"/>
      <c r="G173" s="55"/>
      <c r="H173" s="55"/>
      <c r="I173" s="54"/>
    </row>
    <row r="174" spans="1:9" ht="6.75" customHeight="1" x14ac:dyDescent="0.3">
      <c r="A174" s="84"/>
      <c r="B174" s="77" t="s">
        <v>346</v>
      </c>
      <c r="C174" s="55"/>
      <c r="D174" s="55"/>
      <c r="E174" s="55"/>
      <c r="F174" s="55"/>
      <c r="G174" s="55"/>
      <c r="H174" s="55"/>
      <c r="I174" s="54"/>
    </row>
    <row r="175" spans="1:9" ht="6.75" customHeight="1" x14ac:dyDescent="0.3">
      <c r="A175" s="84"/>
      <c r="B175" s="77"/>
      <c r="C175" s="55"/>
      <c r="D175" s="55"/>
      <c r="E175" s="55"/>
      <c r="F175" s="55"/>
      <c r="G175" s="55"/>
      <c r="H175" s="55"/>
      <c r="I175" s="54"/>
    </row>
    <row r="176" spans="1:9" ht="6.75" customHeight="1" x14ac:dyDescent="0.3">
      <c r="A176" s="84"/>
      <c r="B176" s="77" t="s">
        <v>340</v>
      </c>
      <c r="C176" s="55"/>
      <c r="D176" s="55"/>
      <c r="E176" s="55"/>
      <c r="F176" s="55"/>
      <c r="G176" s="55"/>
      <c r="H176" s="55"/>
      <c r="I176" s="54"/>
    </row>
    <row r="177" spans="1:9" ht="6.75" customHeight="1" x14ac:dyDescent="0.3">
      <c r="A177" s="84"/>
      <c r="B177" s="77"/>
      <c r="C177" s="55"/>
      <c r="D177" s="55"/>
      <c r="E177" s="55"/>
      <c r="F177" s="55"/>
      <c r="G177" s="55"/>
      <c r="H177" s="55"/>
      <c r="I177" s="54"/>
    </row>
    <row r="178" spans="1:9" ht="6.75" customHeight="1" x14ac:dyDescent="0.3">
      <c r="A178" s="84"/>
      <c r="B178" s="77" t="s">
        <v>332</v>
      </c>
      <c r="C178" s="55"/>
      <c r="D178" s="55"/>
      <c r="E178" s="55"/>
      <c r="F178" s="55"/>
      <c r="G178" s="55"/>
      <c r="H178" s="55"/>
      <c r="I178" s="54"/>
    </row>
    <row r="179" spans="1:9" ht="6.75" customHeight="1" x14ac:dyDescent="0.3">
      <c r="A179" s="84"/>
      <c r="B179" s="77"/>
      <c r="C179" s="55"/>
      <c r="D179" s="55"/>
      <c r="E179" s="55"/>
      <c r="F179" s="55"/>
      <c r="G179" s="55"/>
      <c r="H179" s="55"/>
      <c r="I179" s="54"/>
    </row>
    <row r="180" spans="1:9" ht="6.75" customHeight="1" x14ac:dyDescent="0.3">
      <c r="A180" s="84"/>
      <c r="B180" s="77" t="s">
        <v>342</v>
      </c>
      <c r="C180" s="55"/>
      <c r="D180" s="55"/>
      <c r="E180" s="55"/>
      <c r="F180" s="55"/>
      <c r="G180" s="55"/>
      <c r="H180" s="55"/>
      <c r="I180" s="54"/>
    </row>
    <row r="181" spans="1:9" ht="6.75" customHeight="1" x14ac:dyDescent="0.3">
      <c r="A181" s="84"/>
      <c r="B181" s="77"/>
      <c r="C181" s="55"/>
      <c r="D181" s="55"/>
      <c r="E181" s="55"/>
      <c r="F181" s="55"/>
      <c r="G181" s="55"/>
      <c r="H181" s="55"/>
      <c r="I181" s="54"/>
    </row>
    <row r="182" spans="1:9" ht="6.75" customHeight="1" x14ac:dyDescent="0.3">
      <c r="A182" s="84"/>
      <c r="B182" s="77" t="s">
        <v>341</v>
      </c>
      <c r="C182" s="55"/>
      <c r="D182" s="55"/>
      <c r="E182" s="55"/>
      <c r="F182" s="55"/>
      <c r="G182" s="55"/>
      <c r="H182" s="55"/>
      <c r="I182" s="54"/>
    </row>
    <row r="183" spans="1:9" ht="6.75" customHeight="1" x14ac:dyDescent="0.3">
      <c r="A183" s="84"/>
      <c r="B183" s="77"/>
      <c r="C183" s="55"/>
      <c r="D183" s="55"/>
      <c r="E183" s="55"/>
      <c r="F183" s="55"/>
      <c r="G183" s="55"/>
      <c r="H183" s="55"/>
      <c r="I183" s="54"/>
    </row>
    <row r="184" spans="1:9" ht="6.75" customHeight="1" x14ac:dyDescent="0.3">
      <c r="A184" s="84">
        <v>15</v>
      </c>
      <c r="B184" s="77" t="s">
        <v>333</v>
      </c>
      <c r="C184" s="53" t="str">
        <f>D148</f>
        <v>행복무지개
&lt;32</v>
      </c>
      <c r="D184" s="53" t="str">
        <f>C148</f>
        <v>행복무지개
&lt;31</v>
      </c>
      <c r="E184" s="53" t="str">
        <f>C184</f>
        <v>행복무지개
&lt;32</v>
      </c>
      <c r="F184" s="53" t="str">
        <f>D184</f>
        <v>행복무지개
&lt;31</v>
      </c>
      <c r="G184" s="53" t="str">
        <f>E184</f>
        <v>행복무지개
&lt;32</v>
      </c>
      <c r="H184" s="53" t="str">
        <f>G148</f>
        <v>행복무지개
&lt;31</v>
      </c>
      <c r="I184" s="53" t="str">
        <f>C184</f>
        <v>행복무지개
&lt;32</v>
      </c>
    </row>
    <row r="185" spans="1:9" ht="6.75" customHeight="1" x14ac:dyDescent="0.3">
      <c r="A185" s="84"/>
      <c r="B185" s="77"/>
      <c r="C185" s="54"/>
      <c r="D185" s="54"/>
      <c r="E185" s="54"/>
      <c r="F185" s="54"/>
      <c r="G185" s="54"/>
      <c r="H185" s="54"/>
      <c r="I185" s="54"/>
    </row>
    <row r="186" spans="1:9" ht="6.75" customHeight="1" x14ac:dyDescent="0.3">
      <c r="A186" s="84"/>
      <c r="B186" s="77" t="s">
        <v>346</v>
      </c>
      <c r="C186" s="54"/>
      <c r="D186" s="54"/>
      <c r="E186" s="54"/>
      <c r="F186" s="54"/>
      <c r="G186" s="54"/>
      <c r="H186" s="54"/>
      <c r="I186" s="54"/>
    </row>
    <row r="187" spans="1:9" ht="6.75" customHeight="1" x14ac:dyDescent="0.3">
      <c r="A187" s="84"/>
      <c r="B187" s="77"/>
      <c r="C187" s="54"/>
      <c r="D187" s="54"/>
      <c r="E187" s="54"/>
      <c r="F187" s="54"/>
      <c r="G187" s="54"/>
      <c r="H187" s="54"/>
      <c r="I187" s="54"/>
    </row>
    <row r="188" spans="1:9" ht="6.75" customHeight="1" x14ac:dyDescent="0.3">
      <c r="A188" s="84"/>
      <c r="B188" s="77" t="s">
        <v>340</v>
      </c>
      <c r="C188" s="54"/>
      <c r="D188" s="54"/>
      <c r="E188" s="54"/>
      <c r="F188" s="54"/>
      <c r="G188" s="54"/>
      <c r="H188" s="54"/>
      <c r="I188" s="54"/>
    </row>
    <row r="189" spans="1:9" ht="6.75" customHeight="1" x14ac:dyDescent="0.3">
      <c r="A189" s="84"/>
      <c r="B189" s="77"/>
      <c r="C189" s="54"/>
      <c r="D189" s="54"/>
      <c r="E189" s="54"/>
      <c r="F189" s="54"/>
      <c r="G189" s="54"/>
      <c r="H189" s="54"/>
      <c r="I189" s="54"/>
    </row>
    <row r="190" spans="1:9" ht="6.75" customHeight="1" x14ac:dyDescent="0.3">
      <c r="A190" s="84"/>
      <c r="B190" s="77" t="s">
        <v>332</v>
      </c>
      <c r="C190" s="54"/>
      <c r="D190" s="54"/>
      <c r="E190" s="54"/>
      <c r="F190" s="54"/>
      <c r="G190" s="54"/>
      <c r="H190" s="54"/>
      <c r="I190" s="54"/>
    </row>
    <row r="191" spans="1:9" ht="6.75" customHeight="1" x14ac:dyDescent="0.3">
      <c r="A191" s="84"/>
      <c r="B191" s="77"/>
      <c r="C191" s="54"/>
      <c r="D191" s="54"/>
      <c r="E191" s="54"/>
      <c r="F191" s="54"/>
      <c r="G191" s="54"/>
      <c r="H191" s="54"/>
      <c r="I191" s="54"/>
    </row>
    <row r="192" spans="1:9" ht="6.75" customHeight="1" x14ac:dyDescent="0.3">
      <c r="A192" s="84"/>
      <c r="B192" s="77" t="s">
        <v>342</v>
      </c>
      <c r="C192" s="54"/>
      <c r="D192" s="54"/>
      <c r="E192" s="54"/>
      <c r="F192" s="54"/>
      <c r="G192" s="54"/>
      <c r="H192" s="54"/>
      <c r="I192" s="54"/>
    </row>
    <row r="193" spans="1:9" ht="6.75" customHeight="1" x14ac:dyDescent="0.3">
      <c r="A193" s="84"/>
      <c r="B193" s="77"/>
      <c r="C193" s="54"/>
      <c r="D193" s="54"/>
      <c r="E193" s="54"/>
      <c r="F193" s="54"/>
      <c r="G193" s="54"/>
      <c r="H193" s="54"/>
      <c r="I193" s="54"/>
    </row>
    <row r="194" spans="1:9" ht="6.75" customHeight="1" x14ac:dyDescent="0.3">
      <c r="A194" s="84"/>
      <c r="B194" s="77" t="s">
        <v>341</v>
      </c>
      <c r="C194" s="54"/>
      <c r="D194" s="54"/>
      <c r="E194" s="54"/>
      <c r="F194" s="54"/>
      <c r="G194" s="54"/>
      <c r="H194" s="54"/>
      <c r="I194" s="54"/>
    </row>
    <row r="195" spans="1:9" ht="6.75" customHeight="1" x14ac:dyDescent="0.3">
      <c r="A195" s="84"/>
      <c r="B195" s="77"/>
      <c r="C195" s="54"/>
      <c r="D195" s="54"/>
      <c r="E195" s="54"/>
      <c r="F195" s="54"/>
      <c r="G195" s="54"/>
      <c r="H195" s="54"/>
      <c r="I195" s="54"/>
    </row>
    <row r="196" spans="1:9" ht="6.75" customHeight="1" x14ac:dyDescent="0.3">
      <c r="A196" s="84">
        <v>16</v>
      </c>
      <c r="B196" s="77" t="s">
        <v>333</v>
      </c>
      <c r="C196" s="53" t="s">
        <v>798</v>
      </c>
      <c r="D196" s="53" t="str">
        <f>C196</f>
        <v xml:space="preserve"> NEWS4
&lt;63</v>
      </c>
      <c r="E196" s="55" t="s">
        <v>886</v>
      </c>
      <c r="F196" s="53" t="str">
        <f t="shared" ref="F196:I196" si="5">E196</f>
        <v xml:space="preserve"> NEWS4
&lt;64</v>
      </c>
      <c r="G196" s="53" t="str">
        <f t="shared" si="5"/>
        <v xml:space="preserve"> NEWS4
&lt;64</v>
      </c>
      <c r="H196" s="53" t="str">
        <f t="shared" si="5"/>
        <v xml:space="preserve"> NEWS4
&lt;64</v>
      </c>
      <c r="I196" s="53" t="str">
        <f t="shared" si="5"/>
        <v xml:space="preserve"> NEWS4
&lt;64</v>
      </c>
    </row>
    <row r="197" spans="1:9" ht="6.75" customHeight="1" x14ac:dyDescent="0.3">
      <c r="A197" s="84"/>
      <c r="B197" s="77"/>
      <c r="C197" s="53"/>
      <c r="D197" s="54"/>
      <c r="E197" s="62"/>
      <c r="F197" s="54"/>
      <c r="G197" s="54"/>
      <c r="H197" s="54"/>
      <c r="I197" s="54"/>
    </row>
    <row r="198" spans="1:9" ht="6.75" customHeight="1" x14ac:dyDescent="0.3">
      <c r="A198" s="84"/>
      <c r="B198" s="77" t="s">
        <v>346</v>
      </c>
      <c r="C198" s="53"/>
      <c r="D198" s="54"/>
      <c r="E198" s="62"/>
      <c r="F198" s="54"/>
      <c r="G198" s="54"/>
      <c r="H198" s="54"/>
      <c r="I198" s="54"/>
    </row>
    <row r="199" spans="1:9" ht="6.75" customHeight="1" x14ac:dyDescent="0.3">
      <c r="A199" s="84"/>
      <c r="B199" s="77"/>
      <c r="C199" s="53"/>
      <c r="D199" s="54"/>
      <c r="E199" s="62"/>
      <c r="F199" s="54"/>
      <c r="G199" s="54"/>
      <c r="H199" s="54"/>
      <c r="I199" s="54"/>
    </row>
    <row r="200" spans="1:9" ht="6.75" customHeight="1" x14ac:dyDescent="0.3">
      <c r="A200" s="84"/>
      <c r="B200" s="77" t="s">
        <v>340</v>
      </c>
      <c r="C200" s="53"/>
      <c r="D200" s="54"/>
      <c r="E200" s="62"/>
      <c r="F200" s="54"/>
      <c r="G200" s="54"/>
      <c r="H200" s="54"/>
      <c r="I200" s="54"/>
    </row>
    <row r="201" spans="1:9" ht="6.75" customHeight="1" x14ac:dyDescent="0.3">
      <c r="A201" s="84"/>
      <c r="B201" s="77"/>
      <c r="C201" s="53"/>
      <c r="D201" s="54"/>
      <c r="E201" s="62"/>
      <c r="F201" s="54"/>
      <c r="G201" s="54"/>
      <c r="H201" s="54"/>
      <c r="I201" s="54"/>
    </row>
    <row r="202" spans="1:9" ht="6.75" customHeight="1" x14ac:dyDescent="0.3">
      <c r="A202" s="84"/>
      <c r="B202" s="77" t="s">
        <v>332</v>
      </c>
      <c r="C202" s="53" t="s">
        <v>887</v>
      </c>
      <c r="D202" s="53" t="s">
        <v>888</v>
      </c>
      <c r="E202" s="55" t="s">
        <v>889</v>
      </c>
      <c r="F202" s="53" t="str">
        <f>E202</f>
        <v>호남, 호남人
&lt;133</v>
      </c>
      <c r="G202" s="53" t="str">
        <f>F202</f>
        <v>호남, 호남人
&lt;133</v>
      </c>
      <c r="H202" s="55" t="s">
        <v>890</v>
      </c>
      <c r="I202" s="53" t="str">
        <f>H202</f>
        <v>지금은 지방시대 강원
&lt;18</v>
      </c>
    </row>
    <row r="203" spans="1:9" ht="6.75" customHeight="1" x14ac:dyDescent="0.3">
      <c r="A203" s="84"/>
      <c r="B203" s="77"/>
      <c r="C203" s="54"/>
      <c r="D203" s="54"/>
      <c r="E203" s="55"/>
      <c r="F203" s="54"/>
      <c r="G203" s="54"/>
      <c r="H203" s="55"/>
      <c r="I203" s="54"/>
    </row>
    <row r="204" spans="1:9" ht="6.75" customHeight="1" x14ac:dyDescent="0.3">
      <c r="A204" s="84"/>
      <c r="B204" s="77" t="s">
        <v>342</v>
      </c>
      <c r="C204" s="54"/>
      <c r="D204" s="54"/>
      <c r="E204" s="55"/>
      <c r="F204" s="54"/>
      <c r="G204" s="54"/>
      <c r="H204" s="55"/>
      <c r="I204" s="54"/>
    </row>
    <row r="205" spans="1:9" ht="6.75" customHeight="1" x14ac:dyDescent="0.3">
      <c r="A205" s="84"/>
      <c r="B205" s="77"/>
      <c r="C205" s="54"/>
      <c r="D205" s="54"/>
      <c r="E205" s="55"/>
      <c r="F205" s="54"/>
      <c r="G205" s="54"/>
      <c r="H205" s="55"/>
      <c r="I205" s="54"/>
    </row>
    <row r="206" spans="1:9" ht="6.75" customHeight="1" x14ac:dyDescent="0.3">
      <c r="A206" s="84"/>
      <c r="B206" s="77" t="s">
        <v>341</v>
      </c>
      <c r="C206" s="54"/>
      <c r="D206" s="54"/>
      <c r="E206" s="55"/>
      <c r="F206" s="54"/>
      <c r="G206" s="54"/>
      <c r="H206" s="55"/>
      <c r="I206" s="54"/>
    </row>
    <row r="207" spans="1:9" ht="6.75" customHeight="1" x14ac:dyDescent="0.3">
      <c r="A207" s="84"/>
      <c r="B207" s="77"/>
      <c r="C207" s="54"/>
      <c r="D207" s="54"/>
      <c r="E207" s="55"/>
      <c r="F207" s="54"/>
      <c r="G207" s="54"/>
      <c r="H207" s="55"/>
      <c r="I207" s="54"/>
    </row>
    <row r="208" spans="1:9" ht="6.75" customHeight="1" x14ac:dyDescent="0.3">
      <c r="A208" s="84">
        <v>17</v>
      </c>
      <c r="B208" s="77" t="s">
        <v>333</v>
      </c>
      <c r="C208" s="55" t="s">
        <v>891</v>
      </c>
      <c r="D208" s="55" t="s">
        <v>892</v>
      </c>
      <c r="E208" s="55" t="s">
        <v>893</v>
      </c>
      <c r="F208" s="52" t="s">
        <v>894</v>
      </c>
      <c r="G208" s="55" t="s">
        <v>895</v>
      </c>
      <c r="H208" s="53" t="s">
        <v>856</v>
      </c>
      <c r="I208" s="53" t="s">
        <v>857</v>
      </c>
    </row>
    <row r="209" spans="1:9" ht="6.75" customHeight="1" x14ac:dyDescent="0.3">
      <c r="A209" s="84"/>
      <c r="B209" s="77"/>
      <c r="C209" s="55"/>
      <c r="D209" s="55"/>
      <c r="E209" s="55"/>
      <c r="F209" s="52"/>
      <c r="G209" s="55"/>
      <c r="H209" s="53"/>
      <c r="I209" s="53"/>
    </row>
    <row r="210" spans="1:9" ht="6.75" customHeight="1" x14ac:dyDescent="0.3">
      <c r="A210" s="84"/>
      <c r="B210" s="77" t="s">
        <v>346</v>
      </c>
      <c r="C210" s="55"/>
      <c r="D210" s="55"/>
      <c r="E210" s="55"/>
      <c r="F210" s="52"/>
      <c r="G210" s="55"/>
      <c r="H210" s="53"/>
      <c r="I210" s="53"/>
    </row>
    <row r="211" spans="1:9" ht="6.75" customHeight="1" x14ac:dyDescent="0.3">
      <c r="A211" s="84"/>
      <c r="B211" s="77"/>
      <c r="C211" s="55"/>
      <c r="D211" s="55"/>
      <c r="E211" s="55"/>
      <c r="F211" s="52"/>
      <c r="G211" s="55"/>
      <c r="H211" s="53"/>
      <c r="I211" s="53"/>
    </row>
    <row r="212" spans="1:9" ht="6.75" customHeight="1" x14ac:dyDescent="0.3">
      <c r="A212" s="84"/>
      <c r="B212" s="77" t="s">
        <v>340</v>
      </c>
      <c r="C212" s="55"/>
      <c r="D212" s="55"/>
      <c r="E212" s="55"/>
      <c r="F212" s="52"/>
      <c r="G212" s="55"/>
      <c r="H212" s="53"/>
      <c r="I212" s="53"/>
    </row>
    <row r="213" spans="1:9" ht="6.75" customHeight="1" x14ac:dyDescent="0.3">
      <c r="A213" s="84"/>
      <c r="B213" s="77"/>
      <c r="C213" s="55"/>
      <c r="D213" s="55"/>
      <c r="E213" s="55"/>
      <c r="F213" s="52"/>
      <c r="G213" s="55"/>
      <c r="H213" s="53"/>
      <c r="I213" s="53"/>
    </row>
    <row r="214" spans="1:9" ht="6.75" customHeight="1" x14ac:dyDescent="0.3">
      <c r="A214" s="84"/>
      <c r="B214" s="77" t="s">
        <v>332</v>
      </c>
      <c r="C214" s="55"/>
      <c r="D214" s="55"/>
      <c r="E214" s="55"/>
      <c r="F214" s="52"/>
      <c r="G214" s="55"/>
      <c r="H214" s="53"/>
      <c r="I214" s="53"/>
    </row>
    <row r="215" spans="1:9" ht="6.75" customHeight="1" x14ac:dyDescent="0.3">
      <c r="A215" s="84"/>
      <c r="B215" s="77"/>
      <c r="C215" s="55"/>
      <c r="D215" s="55"/>
      <c r="E215" s="55"/>
      <c r="F215" s="52"/>
      <c r="G215" s="55"/>
      <c r="H215" s="53"/>
      <c r="I215" s="53"/>
    </row>
    <row r="216" spans="1:9" ht="6.75" customHeight="1" x14ac:dyDescent="0.3">
      <c r="A216" s="84"/>
      <c r="B216" s="77" t="s">
        <v>342</v>
      </c>
      <c r="C216" s="55"/>
      <c r="D216" s="55"/>
      <c r="E216" s="55"/>
      <c r="F216" s="52"/>
      <c r="G216" s="55"/>
      <c r="H216" s="53"/>
      <c r="I216" s="53"/>
    </row>
    <row r="217" spans="1:9" ht="6.75" customHeight="1" x14ac:dyDescent="0.3">
      <c r="A217" s="84"/>
      <c r="B217" s="77"/>
      <c r="C217" s="55"/>
      <c r="D217" s="55"/>
      <c r="E217" s="55"/>
      <c r="F217" s="52"/>
      <c r="G217" s="55"/>
      <c r="H217" s="53"/>
      <c r="I217" s="53"/>
    </row>
    <row r="218" spans="1:9" ht="6.75" customHeight="1" x14ac:dyDescent="0.3">
      <c r="A218" s="84"/>
      <c r="B218" s="77" t="s">
        <v>341</v>
      </c>
      <c r="C218" s="55"/>
      <c r="D218" s="55"/>
      <c r="E218" s="55"/>
      <c r="F218" s="52"/>
      <c r="G218" s="55"/>
      <c r="H218" s="53"/>
      <c r="I218" s="53"/>
    </row>
    <row r="219" spans="1:9" ht="6.75" customHeight="1" thickBot="1" x14ac:dyDescent="0.35">
      <c r="A219" s="84"/>
      <c r="B219" s="77"/>
      <c r="C219" s="55"/>
      <c r="D219" s="55"/>
      <c r="E219" s="55"/>
      <c r="F219" s="52"/>
      <c r="G219" s="65"/>
      <c r="H219" s="58"/>
      <c r="I219" s="58"/>
    </row>
    <row r="220" spans="1:9" ht="6.75" customHeight="1" x14ac:dyDescent="0.3">
      <c r="A220" s="84">
        <v>18</v>
      </c>
      <c r="B220" s="77" t="s">
        <v>333</v>
      </c>
      <c r="C220" s="55" t="s">
        <v>913</v>
      </c>
      <c r="D220" s="55" t="s">
        <v>914</v>
      </c>
      <c r="E220" s="55" t="s">
        <v>915</v>
      </c>
      <c r="F220" s="72" t="s">
        <v>916</v>
      </c>
      <c r="G220" s="74" t="s">
        <v>922</v>
      </c>
      <c r="H220" s="66" t="s">
        <v>922</v>
      </c>
      <c r="I220" s="68" t="str">
        <f>H220</f>
        <v>지방자치단체장 인터뷰
&lt;47</v>
      </c>
    </row>
    <row r="221" spans="1:9" ht="6.75" customHeight="1" x14ac:dyDescent="0.3">
      <c r="A221" s="84"/>
      <c r="B221" s="77"/>
      <c r="C221" s="62"/>
      <c r="D221" s="62"/>
      <c r="E221" s="62"/>
      <c r="F221" s="73"/>
      <c r="G221" s="75"/>
      <c r="H221" s="54"/>
      <c r="I221" s="69"/>
    </row>
    <row r="222" spans="1:9" ht="6.75" customHeight="1" x14ac:dyDescent="0.3">
      <c r="A222" s="84"/>
      <c r="B222" s="77" t="s">
        <v>346</v>
      </c>
      <c r="C222" s="62"/>
      <c r="D222" s="62"/>
      <c r="E222" s="62"/>
      <c r="F222" s="73"/>
      <c r="G222" s="75"/>
      <c r="H222" s="54"/>
      <c r="I222" s="69"/>
    </row>
    <row r="223" spans="1:9" ht="6.75" customHeight="1" x14ac:dyDescent="0.3">
      <c r="A223" s="84"/>
      <c r="B223" s="77"/>
      <c r="C223" s="62"/>
      <c r="D223" s="62"/>
      <c r="E223" s="62"/>
      <c r="F223" s="73"/>
      <c r="G223" s="75"/>
      <c r="H223" s="54"/>
      <c r="I223" s="69"/>
    </row>
    <row r="224" spans="1:9" ht="6.75" customHeight="1" x14ac:dyDescent="0.3">
      <c r="A224" s="84"/>
      <c r="B224" s="77" t="s">
        <v>340</v>
      </c>
      <c r="C224" s="62"/>
      <c r="D224" s="62"/>
      <c r="E224" s="62"/>
      <c r="F224" s="73"/>
      <c r="G224" s="75"/>
      <c r="H224" s="54"/>
      <c r="I224" s="69"/>
    </row>
    <row r="225" spans="1:9" ht="6.75" customHeight="1" thickBot="1" x14ac:dyDescent="0.35">
      <c r="A225" s="84"/>
      <c r="B225" s="77"/>
      <c r="C225" s="62"/>
      <c r="D225" s="62"/>
      <c r="E225" s="62"/>
      <c r="F225" s="73"/>
      <c r="G225" s="76"/>
      <c r="H225" s="67"/>
      <c r="I225" s="70"/>
    </row>
    <row r="226" spans="1:9" ht="6.75" customHeight="1" x14ac:dyDescent="0.3">
      <c r="A226" s="84"/>
      <c r="B226" s="77" t="s">
        <v>332</v>
      </c>
      <c r="C226" s="63" t="s">
        <v>811</v>
      </c>
      <c r="D226" s="53" t="s">
        <v>485</v>
      </c>
      <c r="E226" s="53" t="s">
        <v>486</v>
      </c>
      <c r="F226" s="53" t="s">
        <v>487</v>
      </c>
      <c r="G226" s="63" t="str">
        <f>G166</f>
        <v>더 人터뷰
&lt;54</v>
      </c>
      <c r="H226" s="63" t="str">
        <f>H166</f>
        <v>더 人터뷰
&lt;54</v>
      </c>
      <c r="I226" s="63" t="str">
        <f>I166</f>
        <v>더 人터뷰
&lt;54</v>
      </c>
    </row>
    <row r="227" spans="1:9" ht="6.75" customHeight="1" x14ac:dyDescent="0.3">
      <c r="A227" s="84"/>
      <c r="B227" s="77"/>
      <c r="C227" s="53"/>
      <c r="D227" s="53"/>
      <c r="E227" s="53"/>
      <c r="F227" s="53"/>
      <c r="G227" s="54"/>
      <c r="H227" s="54"/>
      <c r="I227" s="54"/>
    </row>
    <row r="228" spans="1:9" ht="6.75" customHeight="1" x14ac:dyDescent="0.3">
      <c r="A228" s="84"/>
      <c r="B228" s="77" t="s">
        <v>342</v>
      </c>
      <c r="C228" s="53"/>
      <c r="D228" s="53"/>
      <c r="E228" s="53"/>
      <c r="F228" s="53"/>
      <c r="G228" s="54"/>
      <c r="H228" s="54"/>
      <c r="I228" s="54"/>
    </row>
    <row r="229" spans="1:9" ht="6.75" customHeight="1" x14ac:dyDescent="0.3">
      <c r="A229" s="84"/>
      <c r="B229" s="77"/>
      <c r="C229" s="53"/>
      <c r="D229" s="53"/>
      <c r="E229" s="53"/>
      <c r="F229" s="53"/>
      <c r="G229" s="54"/>
      <c r="H229" s="54"/>
      <c r="I229" s="54"/>
    </row>
    <row r="230" spans="1:9" ht="6.75" customHeight="1" x14ac:dyDescent="0.3">
      <c r="A230" s="84"/>
      <c r="B230" s="77" t="s">
        <v>341</v>
      </c>
      <c r="C230" s="53"/>
      <c r="D230" s="53"/>
      <c r="E230" s="53"/>
      <c r="F230" s="53"/>
      <c r="G230" s="54"/>
      <c r="H230" s="54"/>
      <c r="I230" s="54"/>
    </row>
    <row r="231" spans="1:9" ht="6.75" customHeight="1" x14ac:dyDescent="0.3">
      <c r="A231" s="84"/>
      <c r="B231" s="77"/>
      <c r="C231" s="53"/>
      <c r="D231" s="53"/>
      <c r="E231" s="53"/>
      <c r="F231" s="53"/>
      <c r="G231" s="54"/>
      <c r="H231" s="54"/>
      <c r="I231" s="54"/>
    </row>
    <row r="232" spans="1:9" ht="6.75" customHeight="1" x14ac:dyDescent="0.3">
      <c r="A232" s="84">
        <v>19</v>
      </c>
      <c r="B232" s="77" t="s">
        <v>333</v>
      </c>
      <c r="C232" s="53" t="s">
        <v>896</v>
      </c>
      <c r="D232" s="53" t="s">
        <v>897</v>
      </c>
      <c r="E232" s="55" t="s">
        <v>917</v>
      </c>
      <c r="F232" s="55" t="s">
        <v>918</v>
      </c>
      <c r="G232" s="55" t="s">
        <v>898</v>
      </c>
      <c r="H232" s="53" t="s">
        <v>899</v>
      </c>
      <c r="I232" s="53" t="s">
        <v>900</v>
      </c>
    </row>
    <row r="233" spans="1:9" ht="6.75" customHeight="1" x14ac:dyDescent="0.3">
      <c r="A233" s="84"/>
      <c r="B233" s="77"/>
      <c r="C233" s="53"/>
      <c r="D233" s="53"/>
      <c r="E233" s="55"/>
      <c r="F233" s="55"/>
      <c r="G233" s="55"/>
      <c r="H233" s="53"/>
      <c r="I233" s="53"/>
    </row>
    <row r="234" spans="1:9" ht="6.75" customHeight="1" x14ac:dyDescent="0.3">
      <c r="A234" s="84"/>
      <c r="B234" s="77" t="s">
        <v>346</v>
      </c>
      <c r="C234" s="53"/>
      <c r="D234" s="53"/>
      <c r="E234" s="55"/>
      <c r="F234" s="55"/>
      <c r="G234" s="55"/>
      <c r="H234" s="53"/>
      <c r="I234" s="53"/>
    </row>
    <row r="235" spans="1:9" ht="6.75" customHeight="1" x14ac:dyDescent="0.3">
      <c r="A235" s="84"/>
      <c r="B235" s="77"/>
      <c r="C235" s="53"/>
      <c r="D235" s="53"/>
      <c r="E235" s="55"/>
      <c r="F235" s="55"/>
      <c r="G235" s="55"/>
      <c r="H235" s="53"/>
      <c r="I235" s="53"/>
    </row>
    <row r="236" spans="1:9" ht="6.75" customHeight="1" x14ac:dyDescent="0.3">
      <c r="A236" s="84"/>
      <c r="B236" s="77" t="s">
        <v>340</v>
      </c>
      <c r="C236" s="53"/>
      <c r="D236" s="53"/>
      <c r="E236" s="55"/>
      <c r="F236" s="55"/>
      <c r="G236" s="55"/>
      <c r="H236" s="53"/>
      <c r="I236" s="53"/>
    </row>
    <row r="237" spans="1:9" ht="6.75" customHeight="1" x14ac:dyDescent="0.3">
      <c r="A237" s="84"/>
      <c r="B237" s="77"/>
      <c r="C237" s="53"/>
      <c r="D237" s="53"/>
      <c r="E237" s="55"/>
      <c r="F237" s="55"/>
      <c r="G237" s="55"/>
      <c r="H237" s="53"/>
      <c r="I237" s="53"/>
    </row>
    <row r="238" spans="1:9" ht="6.75" customHeight="1" x14ac:dyDescent="0.3">
      <c r="A238" s="84"/>
      <c r="B238" s="77" t="s">
        <v>332</v>
      </c>
      <c r="C238" s="53"/>
      <c r="D238" s="53"/>
      <c r="E238" s="55"/>
      <c r="F238" s="55"/>
      <c r="G238" s="55"/>
      <c r="H238" s="53"/>
      <c r="I238" s="53"/>
    </row>
    <row r="239" spans="1:9" ht="6.75" customHeight="1" x14ac:dyDescent="0.3">
      <c r="A239" s="84"/>
      <c r="B239" s="77"/>
      <c r="C239" s="53"/>
      <c r="D239" s="53"/>
      <c r="E239" s="55"/>
      <c r="F239" s="55"/>
      <c r="G239" s="55"/>
      <c r="H239" s="53"/>
      <c r="I239" s="53"/>
    </row>
    <row r="240" spans="1:9" ht="6.75" customHeight="1" x14ac:dyDescent="0.3">
      <c r="A240" s="84"/>
      <c r="B240" s="77" t="s">
        <v>342</v>
      </c>
      <c r="C240" s="53"/>
      <c r="D240" s="53"/>
      <c r="E240" s="55"/>
      <c r="F240" s="55"/>
      <c r="G240" s="55"/>
      <c r="H240" s="53"/>
      <c r="I240" s="53"/>
    </row>
    <row r="241" spans="1:9" ht="6.75" customHeight="1" x14ac:dyDescent="0.3">
      <c r="A241" s="84"/>
      <c r="B241" s="77"/>
      <c r="C241" s="53"/>
      <c r="D241" s="53"/>
      <c r="E241" s="55"/>
      <c r="F241" s="55"/>
      <c r="G241" s="55"/>
      <c r="H241" s="53"/>
      <c r="I241" s="53"/>
    </row>
    <row r="242" spans="1:9" ht="6.75" customHeight="1" x14ac:dyDescent="0.3">
      <c r="A242" s="84"/>
      <c r="B242" s="77" t="s">
        <v>341</v>
      </c>
      <c r="C242" s="53"/>
      <c r="D242" s="53"/>
      <c r="E242" s="55"/>
      <c r="F242" s="55"/>
      <c r="G242" s="55"/>
      <c r="H242" s="53"/>
      <c r="I242" s="53"/>
    </row>
    <row r="243" spans="1:9" ht="6.75" customHeight="1" x14ac:dyDescent="0.3">
      <c r="A243" s="84"/>
      <c r="B243" s="77"/>
      <c r="C243" s="53"/>
      <c r="D243" s="53"/>
      <c r="E243" s="55"/>
      <c r="F243" s="55"/>
      <c r="G243" s="55"/>
      <c r="H243" s="53"/>
      <c r="I243" s="53"/>
    </row>
    <row r="244" spans="1:9" ht="6.75" customHeight="1" x14ac:dyDescent="0.3">
      <c r="A244" s="84">
        <v>20</v>
      </c>
      <c r="B244" s="77" t="s">
        <v>333</v>
      </c>
      <c r="C244" s="71" t="s">
        <v>812</v>
      </c>
      <c r="D244" s="71" t="str">
        <f>C244</f>
        <v xml:space="preserve"> NEWSON
&lt;66</v>
      </c>
      <c r="E244" s="71" t="str">
        <f>C244</f>
        <v xml:space="preserve"> NEWSON
&lt;66</v>
      </c>
      <c r="F244" s="71" t="str">
        <f>C244</f>
        <v xml:space="preserve"> NEWSON
&lt;66</v>
      </c>
      <c r="G244" s="71" t="str">
        <f>C244</f>
        <v xml:space="preserve"> NEWSON
&lt;66</v>
      </c>
      <c r="H244" s="52" t="s">
        <v>901</v>
      </c>
      <c r="I244" s="56" t="str">
        <f>H244</f>
        <v xml:space="preserve"> NEWSON
&lt;67</v>
      </c>
    </row>
    <row r="245" spans="1:9" ht="6.75" customHeight="1" x14ac:dyDescent="0.3">
      <c r="A245" s="84"/>
      <c r="B245" s="77"/>
      <c r="C245" s="71"/>
      <c r="D245" s="71"/>
      <c r="E245" s="71"/>
      <c r="F245" s="71"/>
      <c r="G245" s="71"/>
      <c r="H245" s="52"/>
      <c r="I245" s="57"/>
    </row>
    <row r="246" spans="1:9" ht="6.75" customHeight="1" x14ac:dyDescent="0.3">
      <c r="A246" s="84"/>
      <c r="B246" s="77" t="s">
        <v>346</v>
      </c>
      <c r="C246" s="71"/>
      <c r="D246" s="71"/>
      <c r="E246" s="71"/>
      <c r="F246" s="71"/>
      <c r="G246" s="71"/>
      <c r="H246" s="52"/>
      <c r="I246" s="57"/>
    </row>
    <row r="247" spans="1:9" ht="6.75" customHeight="1" x14ac:dyDescent="0.3">
      <c r="A247" s="84"/>
      <c r="B247" s="77"/>
      <c r="C247" s="71"/>
      <c r="D247" s="71"/>
      <c r="E247" s="71"/>
      <c r="F247" s="71"/>
      <c r="G247" s="71"/>
      <c r="H247" s="52"/>
      <c r="I247" s="57"/>
    </row>
    <row r="248" spans="1:9" ht="6.75" customHeight="1" x14ac:dyDescent="0.3">
      <c r="A248" s="84"/>
      <c r="B248" s="77" t="s">
        <v>340</v>
      </c>
      <c r="C248" s="71"/>
      <c r="D248" s="71"/>
      <c r="E248" s="71"/>
      <c r="F248" s="71"/>
      <c r="G248" s="71"/>
      <c r="H248" s="52"/>
      <c r="I248" s="57"/>
    </row>
    <row r="249" spans="1:9" ht="6.75" customHeight="1" x14ac:dyDescent="0.3">
      <c r="A249" s="84"/>
      <c r="B249" s="77"/>
      <c r="C249" s="71"/>
      <c r="D249" s="71"/>
      <c r="E249" s="71"/>
      <c r="F249" s="71"/>
      <c r="G249" s="71"/>
      <c r="H249" s="52"/>
      <c r="I249" s="57"/>
    </row>
    <row r="250" spans="1:9" ht="6.75" customHeight="1" x14ac:dyDescent="0.3">
      <c r="A250" s="84"/>
      <c r="B250" s="77" t="s">
        <v>332</v>
      </c>
      <c r="C250" s="53" t="s">
        <v>902</v>
      </c>
      <c r="D250" s="53" t="s">
        <v>903</v>
      </c>
      <c r="E250" s="53" t="s">
        <v>904</v>
      </c>
      <c r="F250" s="53" t="s">
        <v>905</v>
      </c>
      <c r="G250" s="53" t="s">
        <v>906</v>
      </c>
      <c r="H250" s="53" t="s">
        <v>813</v>
      </c>
      <c r="I250" s="53" t="s">
        <v>814</v>
      </c>
    </row>
    <row r="251" spans="1:9" ht="6.75" customHeight="1" x14ac:dyDescent="0.3">
      <c r="A251" s="84"/>
      <c r="B251" s="77"/>
      <c r="C251" s="54"/>
      <c r="D251" s="54"/>
      <c r="E251" s="54"/>
      <c r="F251" s="54"/>
      <c r="G251" s="54"/>
      <c r="H251" s="54"/>
      <c r="I251" s="54"/>
    </row>
    <row r="252" spans="1:9" ht="6.75" customHeight="1" x14ac:dyDescent="0.3">
      <c r="A252" s="84"/>
      <c r="B252" s="77" t="s">
        <v>342</v>
      </c>
      <c r="C252" s="54"/>
      <c r="D252" s="54"/>
      <c r="E252" s="54"/>
      <c r="F252" s="54"/>
      <c r="G252" s="54"/>
      <c r="H252" s="54"/>
      <c r="I252" s="54"/>
    </row>
    <row r="253" spans="1:9" ht="6.75" customHeight="1" x14ac:dyDescent="0.3">
      <c r="A253" s="84"/>
      <c r="B253" s="77"/>
      <c r="C253" s="54"/>
      <c r="D253" s="54"/>
      <c r="E253" s="54"/>
      <c r="F253" s="54"/>
      <c r="G253" s="54"/>
      <c r="H253" s="54"/>
      <c r="I253" s="54"/>
    </row>
    <row r="254" spans="1:9" ht="6.75" customHeight="1" x14ac:dyDescent="0.3">
      <c r="A254" s="84"/>
      <c r="B254" s="77" t="s">
        <v>341</v>
      </c>
      <c r="C254" s="54"/>
      <c r="D254" s="54"/>
      <c r="E254" s="54"/>
      <c r="F254" s="54"/>
      <c r="G254" s="54"/>
      <c r="H254" s="54"/>
      <c r="I254" s="54"/>
    </row>
    <row r="255" spans="1:9" ht="6.75" customHeight="1" x14ac:dyDescent="0.3">
      <c r="A255" s="84"/>
      <c r="B255" s="77"/>
      <c r="C255" s="54"/>
      <c r="D255" s="54"/>
      <c r="E255" s="54"/>
      <c r="F255" s="54"/>
      <c r="G255" s="54"/>
      <c r="H255" s="54"/>
      <c r="I255" s="54"/>
    </row>
    <row r="256" spans="1:9" ht="6.75" customHeight="1" x14ac:dyDescent="0.3">
      <c r="A256" s="84">
        <v>21</v>
      </c>
      <c r="B256" s="77" t="s">
        <v>333</v>
      </c>
      <c r="C256" s="54"/>
      <c r="D256" s="54"/>
      <c r="E256" s="54"/>
      <c r="F256" s="54"/>
      <c r="G256" s="54"/>
      <c r="H256" s="54"/>
      <c r="I256" s="54"/>
    </row>
    <row r="257" spans="1:9" ht="6.75" customHeight="1" x14ac:dyDescent="0.3">
      <c r="A257" s="84"/>
      <c r="B257" s="77"/>
      <c r="C257" s="54"/>
      <c r="D257" s="54"/>
      <c r="E257" s="54"/>
      <c r="F257" s="54"/>
      <c r="G257" s="54"/>
      <c r="H257" s="54"/>
      <c r="I257" s="54"/>
    </row>
    <row r="258" spans="1:9" ht="6.75" customHeight="1" x14ac:dyDescent="0.3">
      <c r="A258" s="84"/>
      <c r="B258" s="77" t="s">
        <v>346</v>
      </c>
      <c r="C258" s="54"/>
      <c r="D258" s="54"/>
      <c r="E258" s="54"/>
      <c r="F258" s="54"/>
      <c r="G258" s="54"/>
      <c r="H258" s="54"/>
      <c r="I258" s="54"/>
    </row>
    <row r="259" spans="1:9" ht="6.75" customHeight="1" x14ac:dyDescent="0.3">
      <c r="A259" s="84"/>
      <c r="B259" s="77"/>
      <c r="C259" s="54"/>
      <c r="D259" s="54"/>
      <c r="E259" s="54"/>
      <c r="F259" s="54"/>
      <c r="G259" s="54"/>
      <c r="H259" s="54"/>
      <c r="I259" s="54"/>
    </row>
    <row r="260" spans="1:9" ht="6.75" customHeight="1" x14ac:dyDescent="0.3">
      <c r="A260" s="84"/>
      <c r="B260" s="77" t="s">
        <v>340</v>
      </c>
      <c r="C260" s="58" t="s">
        <v>807</v>
      </c>
      <c r="D260" s="58" t="s">
        <v>808</v>
      </c>
      <c r="E260" s="58" t="s">
        <v>809</v>
      </c>
      <c r="F260" s="58" t="s">
        <v>810</v>
      </c>
      <c r="G260" s="53" t="s">
        <v>907</v>
      </c>
      <c r="H260" s="53" t="s">
        <v>485</v>
      </c>
      <c r="I260" s="53" t="s">
        <v>486</v>
      </c>
    </row>
    <row r="261" spans="1:9" ht="6.75" customHeight="1" x14ac:dyDescent="0.3">
      <c r="A261" s="84"/>
      <c r="B261" s="77"/>
      <c r="C261" s="64"/>
      <c r="D261" s="64"/>
      <c r="E261" s="64"/>
      <c r="F261" s="64"/>
      <c r="G261" s="53"/>
      <c r="H261" s="53"/>
      <c r="I261" s="53"/>
    </row>
    <row r="262" spans="1:9" ht="6.75" customHeight="1" x14ac:dyDescent="0.3">
      <c r="A262" s="84"/>
      <c r="B262" s="77" t="s">
        <v>332</v>
      </c>
      <c r="C262" s="64"/>
      <c r="D262" s="64"/>
      <c r="E262" s="64"/>
      <c r="F262" s="64"/>
      <c r="G262" s="53"/>
      <c r="H262" s="53"/>
      <c r="I262" s="53"/>
    </row>
    <row r="263" spans="1:9" ht="6.75" customHeight="1" x14ac:dyDescent="0.3">
      <c r="A263" s="84"/>
      <c r="B263" s="77"/>
      <c r="C263" s="64"/>
      <c r="D263" s="64"/>
      <c r="E263" s="64"/>
      <c r="F263" s="64"/>
      <c r="G263" s="53"/>
      <c r="H263" s="53"/>
      <c r="I263" s="53"/>
    </row>
    <row r="264" spans="1:9" ht="6.75" customHeight="1" x14ac:dyDescent="0.3">
      <c r="A264" s="84"/>
      <c r="B264" s="77" t="s">
        <v>342</v>
      </c>
      <c r="C264" s="64"/>
      <c r="D264" s="64"/>
      <c r="E264" s="64"/>
      <c r="F264" s="64"/>
      <c r="G264" s="53"/>
      <c r="H264" s="53"/>
      <c r="I264" s="53"/>
    </row>
    <row r="265" spans="1:9" ht="6.75" customHeight="1" x14ac:dyDescent="0.3">
      <c r="A265" s="84"/>
      <c r="B265" s="77"/>
      <c r="C265" s="64"/>
      <c r="D265" s="64"/>
      <c r="E265" s="64"/>
      <c r="F265" s="64"/>
      <c r="G265" s="53"/>
      <c r="H265" s="53"/>
      <c r="I265" s="53"/>
    </row>
    <row r="266" spans="1:9" ht="6.75" customHeight="1" x14ac:dyDescent="0.3">
      <c r="A266" s="84"/>
      <c r="B266" s="77" t="s">
        <v>341</v>
      </c>
      <c r="C266" s="64"/>
      <c r="D266" s="64"/>
      <c r="E266" s="64"/>
      <c r="F266" s="64"/>
      <c r="G266" s="53"/>
      <c r="H266" s="53"/>
      <c r="I266" s="53"/>
    </row>
    <row r="267" spans="1:9" ht="6.75" customHeight="1" x14ac:dyDescent="0.3">
      <c r="A267" s="84"/>
      <c r="B267" s="77"/>
      <c r="C267" s="63"/>
      <c r="D267" s="63"/>
      <c r="E267" s="63"/>
      <c r="F267" s="63"/>
      <c r="G267" s="53"/>
      <c r="H267" s="53"/>
      <c r="I267" s="53"/>
    </row>
    <row r="268" spans="1:9" ht="6.75" customHeight="1" x14ac:dyDescent="0.3">
      <c r="A268" s="84">
        <v>22</v>
      </c>
      <c r="B268" s="77" t="s">
        <v>333</v>
      </c>
      <c r="C268" s="58" t="str">
        <f>C124</f>
        <v>특집 2026 지방선거_서울특별시의회 생생중계_본회의
&lt;15</v>
      </c>
      <c r="D268" s="58" t="str">
        <f t="shared" ref="D268:G268" si="6">D124</f>
        <v>특집 2026 지방선거_서울특별시의회 생생중계_본회의
&lt;16</v>
      </c>
      <c r="E268" s="58" t="str">
        <f t="shared" si="6"/>
        <v>특집 2026 지방선거_서울특별시의회 생생중계_본회의
&lt;17</v>
      </c>
      <c r="F268" s="58" t="str">
        <f t="shared" si="6"/>
        <v>특집 2026 지방선거_서울특별시의회 생생중계_본회의
&lt;05</v>
      </c>
      <c r="G268" s="53" t="str">
        <f t="shared" si="6"/>
        <v>특집 2026 지방선거_서울특별시의회 생생중계_본회의
&lt;06</v>
      </c>
      <c r="H268" s="55" t="s">
        <v>909</v>
      </c>
      <c r="I268" s="53" t="s">
        <v>909</v>
      </c>
    </row>
    <row r="269" spans="1:9" ht="6.75" customHeight="1" x14ac:dyDescent="0.3">
      <c r="A269" s="84"/>
      <c r="B269" s="77"/>
      <c r="C269" s="59"/>
      <c r="D269" s="59"/>
      <c r="E269" s="59"/>
      <c r="F269" s="59"/>
      <c r="G269" s="54"/>
      <c r="H269" s="55"/>
      <c r="I269" s="54"/>
    </row>
    <row r="270" spans="1:9" ht="6.75" customHeight="1" x14ac:dyDescent="0.3">
      <c r="A270" s="84"/>
      <c r="B270" s="77" t="s">
        <v>346</v>
      </c>
      <c r="C270" s="59"/>
      <c r="D270" s="59"/>
      <c r="E270" s="59"/>
      <c r="F270" s="59"/>
      <c r="G270" s="54"/>
      <c r="H270" s="55"/>
      <c r="I270" s="54"/>
    </row>
    <row r="271" spans="1:9" ht="6.75" customHeight="1" x14ac:dyDescent="0.3">
      <c r="A271" s="84"/>
      <c r="B271" s="77"/>
      <c r="C271" s="59"/>
      <c r="D271" s="59"/>
      <c r="E271" s="59"/>
      <c r="F271" s="59"/>
      <c r="G271" s="54"/>
      <c r="H271" s="55"/>
      <c r="I271" s="54"/>
    </row>
    <row r="272" spans="1:9" ht="6.75" customHeight="1" x14ac:dyDescent="0.3">
      <c r="A272" s="84"/>
      <c r="B272" s="77" t="s">
        <v>340</v>
      </c>
      <c r="C272" s="59"/>
      <c r="D272" s="59"/>
      <c r="E272" s="59"/>
      <c r="F272" s="59"/>
      <c r="G272" s="54"/>
      <c r="H272" s="55"/>
      <c r="I272" s="54"/>
    </row>
    <row r="273" spans="1:9" ht="6.75" customHeight="1" x14ac:dyDescent="0.3">
      <c r="A273" s="84"/>
      <c r="B273" s="77"/>
      <c r="C273" s="59"/>
      <c r="D273" s="59"/>
      <c r="E273" s="59"/>
      <c r="F273" s="59"/>
      <c r="G273" s="54"/>
      <c r="H273" s="55"/>
      <c r="I273" s="54"/>
    </row>
    <row r="274" spans="1:9" ht="6.75" customHeight="1" x14ac:dyDescent="0.3">
      <c r="A274" s="84"/>
      <c r="B274" s="77" t="s">
        <v>332</v>
      </c>
      <c r="C274" s="59"/>
      <c r="D274" s="59"/>
      <c r="E274" s="59"/>
      <c r="F274" s="59"/>
      <c r="G274" s="54"/>
      <c r="H274" s="55"/>
      <c r="I274" s="54"/>
    </row>
    <row r="275" spans="1:9" ht="6.75" customHeight="1" x14ac:dyDescent="0.3">
      <c r="A275" s="84"/>
      <c r="B275" s="77"/>
      <c r="C275" s="59"/>
      <c r="D275" s="59"/>
      <c r="E275" s="59"/>
      <c r="F275" s="59"/>
      <c r="G275" s="54"/>
      <c r="H275" s="55" t="s">
        <v>908</v>
      </c>
      <c r="I275" s="53" t="str">
        <f>H275</f>
        <v>지방자치TV 스페셜
&lt;24</v>
      </c>
    </row>
    <row r="276" spans="1:9" ht="6.75" customHeight="1" x14ac:dyDescent="0.3">
      <c r="A276" s="84"/>
      <c r="B276" s="77" t="s">
        <v>342</v>
      </c>
      <c r="C276" s="59"/>
      <c r="D276" s="59"/>
      <c r="E276" s="59"/>
      <c r="F276" s="59"/>
      <c r="G276" s="54"/>
      <c r="H276" s="55"/>
      <c r="I276" s="54"/>
    </row>
    <row r="277" spans="1:9" ht="6.75" customHeight="1" x14ac:dyDescent="0.3">
      <c r="A277" s="84"/>
      <c r="B277" s="77"/>
      <c r="C277" s="59"/>
      <c r="D277" s="59"/>
      <c r="E277" s="59"/>
      <c r="F277" s="59"/>
      <c r="G277" s="54"/>
      <c r="H277" s="55"/>
      <c r="I277" s="54"/>
    </row>
    <row r="278" spans="1:9" ht="6.75" customHeight="1" x14ac:dyDescent="0.3">
      <c r="A278" s="84"/>
      <c r="B278" s="77" t="s">
        <v>341</v>
      </c>
      <c r="C278" s="59"/>
      <c r="D278" s="59"/>
      <c r="E278" s="59"/>
      <c r="F278" s="59"/>
      <c r="G278" s="54"/>
      <c r="H278" s="55"/>
      <c r="I278" s="54"/>
    </row>
    <row r="279" spans="1:9" ht="6.75" customHeight="1" x14ac:dyDescent="0.3">
      <c r="A279" s="84"/>
      <c r="B279" s="77"/>
      <c r="C279" s="60"/>
      <c r="D279" s="60"/>
      <c r="E279" s="60"/>
      <c r="F279" s="60"/>
      <c r="G279" s="54"/>
      <c r="H279" s="55"/>
      <c r="I279" s="54"/>
    </row>
    <row r="280" spans="1:9" ht="6.75" customHeight="1" x14ac:dyDescent="0.3">
      <c r="A280" s="84">
        <v>23</v>
      </c>
      <c r="B280" s="77" t="s">
        <v>333</v>
      </c>
      <c r="C280" s="58" t="str">
        <f>C172</f>
        <v>특집 2026 지방선거_서울특별시의회 생생중계_상임위
&lt;15</v>
      </c>
      <c r="D280" s="58" t="str">
        <f t="shared" ref="D280:G280" si="7">D172</f>
        <v>특집 2026 지방선거_서울특별시의회 생생중계_상임위
&lt;16</v>
      </c>
      <c r="E280" s="58" t="str">
        <f t="shared" si="7"/>
        <v>특집 2026 지방선거_서울특별시의회 생생중계_상임위
&lt;17</v>
      </c>
      <c r="F280" s="58" t="str">
        <f t="shared" si="7"/>
        <v>특집 2026 지방선거_서울특별시의회 생생중계_상임위
&lt;18</v>
      </c>
      <c r="G280" s="53" t="str">
        <f t="shared" si="7"/>
        <v>특집 2026 지방선거_서울특별시의회 생생중계_상임위
&lt;19</v>
      </c>
      <c r="H280" s="55"/>
      <c r="I280" s="54"/>
    </row>
    <row r="281" spans="1:9" ht="6.75" customHeight="1" x14ac:dyDescent="0.3">
      <c r="A281" s="84"/>
      <c r="B281" s="77"/>
      <c r="C281" s="59"/>
      <c r="D281" s="59"/>
      <c r="E281" s="59"/>
      <c r="F281" s="59"/>
      <c r="G281" s="54"/>
      <c r="H281" s="55"/>
      <c r="I281" s="54"/>
    </row>
    <row r="282" spans="1:9" ht="6.75" customHeight="1" x14ac:dyDescent="0.3">
      <c r="A282" s="84"/>
      <c r="B282" s="77" t="s">
        <v>346</v>
      </c>
      <c r="C282" s="59"/>
      <c r="D282" s="59"/>
      <c r="E282" s="59"/>
      <c r="F282" s="59"/>
      <c r="G282" s="54"/>
      <c r="H282" s="55"/>
      <c r="I282" s="54"/>
    </row>
    <row r="283" spans="1:9" ht="6.75" customHeight="1" x14ac:dyDescent="0.3">
      <c r="A283" s="84"/>
      <c r="B283" s="77"/>
      <c r="C283" s="59"/>
      <c r="D283" s="59"/>
      <c r="E283" s="59"/>
      <c r="F283" s="59"/>
      <c r="G283" s="54"/>
      <c r="H283" s="55"/>
      <c r="I283" s="54"/>
    </row>
    <row r="284" spans="1:9" ht="6.75" customHeight="1" x14ac:dyDescent="0.3">
      <c r="A284" s="84"/>
      <c r="B284" s="77" t="s">
        <v>340</v>
      </c>
      <c r="C284" s="59"/>
      <c r="D284" s="59"/>
      <c r="E284" s="59"/>
      <c r="F284" s="59"/>
      <c r="G284" s="54"/>
      <c r="H284" s="55"/>
      <c r="I284" s="54"/>
    </row>
    <row r="285" spans="1:9" ht="6.75" customHeight="1" x14ac:dyDescent="0.3">
      <c r="A285" s="84"/>
      <c r="B285" s="77"/>
      <c r="C285" s="59"/>
      <c r="D285" s="59"/>
      <c r="E285" s="59"/>
      <c r="F285" s="59"/>
      <c r="G285" s="54"/>
      <c r="H285" s="55"/>
      <c r="I285" s="54"/>
    </row>
    <row r="286" spans="1:9" ht="6.75" customHeight="1" x14ac:dyDescent="0.3">
      <c r="A286" s="84"/>
      <c r="B286" s="77" t="s">
        <v>332</v>
      </c>
      <c r="C286" s="59"/>
      <c r="D286" s="59"/>
      <c r="E286" s="59"/>
      <c r="F286" s="59"/>
      <c r="G286" s="54"/>
      <c r="H286" s="55"/>
      <c r="I286" s="54"/>
    </row>
    <row r="287" spans="1:9" ht="6.75" customHeight="1" x14ac:dyDescent="0.3">
      <c r="A287" s="84"/>
      <c r="B287" s="77"/>
      <c r="C287" s="59"/>
      <c r="D287" s="59"/>
      <c r="E287" s="59"/>
      <c r="F287" s="59"/>
      <c r="G287" s="54"/>
      <c r="H287" s="55"/>
      <c r="I287" s="54"/>
    </row>
    <row r="288" spans="1:9" ht="6.75" customHeight="1" x14ac:dyDescent="0.3">
      <c r="A288" s="84"/>
      <c r="B288" s="77" t="s">
        <v>342</v>
      </c>
      <c r="C288" s="59"/>
      <c r="D288" s="59"/>
      <c r="E288" s="59"/>
      <c r="F288" s="59"/>
      <c r="G288" s="54"/>
      <c r="H288" s="55"/>
      <c r="I288" s="54"/>
    </row>
    <row r="289" spans="1:9" ht="6.75" customHeight="1" x14ac:dyDescent="0.3">
      <c r="A289" s="84"/>
      <c r="B289" s="77"/>
      <c r="C289" s="59"/>
      <c r="D289" s="59"/>
      <c r="E289" s="59"/>
      <c r="F289" s="59"/>
      <c r="G289" s="54"/>
      <c r="H289" s="55"/>
      <c r="I289" s="54"/>
    </row>
    <row r="290" spans="1:9" ht="6.75" customHeight="1" x14ac:dyDescent="0.3">
      <c r="A290" s="84"/>
      <c r="B290" s="77" t="s">
        <v>341</v>
      </c>
      <c r="C290" s="59"/>
      <c r="D290" s="59"/>
      <c r="E290" s="59"/>
      <c r="F290" s="59"/>
      <c r="G290" s="54"/>
      <c r="H290" s="55"/>
      <c r="I290" s="54"/>
    </row>
    <row r="291" spans="1:9" ht="6.75" customHeight="1" x14ac:dyDescent="0.3">
      <c r="A291" s="84"/>
      <c r="B291" s="77"/>
      <c r="C291" s="60"/>
      <c r="D291" s="60"/>
      <c r="E291" s="60"/>
      <c r="F291" s="60"/>
      <c r="G291" s="54"/>
      <c r="H291" s="55"/>
      <c r="I291" s="54"/>
    </row>
    <row r="292" spans="1:9" ht="7.5" customHeight="1" x14ac:dyDescent="0.35"/>
    <row r="293" spans="1:9" ht="20.25" customHeight="1" x14ac:dyDescent="0.35"/>
    <row r="294" spans="1:9" ht="19.5" customHeight="1" x14ac:dyDescent="0.35"/>
    <row r="295" spans="1:9" ht="19.5" customHeight="1" x14ac:dyDescent="0.35"/>
    <row r="296" spans="1:9" ht="19.5" customHeight="1" x14ac:dyDescent="0.35"/>
    <row r="297" spans="1:9" ht="19.5" customHeight="1" x14ac:dyDescent="0.35"/>
    <row r="298" spans="1:9" ht="19.5" customHeight="1" x14ac:dyDescent="0.35"/>
    <row r="299" spans="1:9" ht="19.5" customHeight="1" x14ac:dyDescent="0.35"/>
    <row r="300" spans="1:9" ht="19.5" customHeight="1" x14ac:dyDescent="0.35"/>
    <row r="301" spans="1:9" ht="19.5" customHeight="1" x14ac:dyDescent="0.35"/>
    <row r="302" spans="1:9" ht="19.5" customHeight="1" x14ac:dyDescent="0.35"/>
    <row r="303" spans="1:9" s="1" customFormat="1" ht="19.5" customHeight="1" x14ac:dyDescent="0.35">
      <c r="A303" s="6"/>
      <c r="B303" s="7"/>
      <c r="C303"/>
      <c r="D303"/>
      <c r="E303"/>
      <c r="F303"/>
      <c r="G303"/>
      <c r="H303" s="2"/>
      <c r="I303" s="5"/>
    </row>
    <row r="304" spans="1:9" s="1" customFormat="1" ht="19.5" customHeight="1" x14ac:dyDescent="0.35">
      <c r="A304" s="6"/>
      <c r="B304" s="7"/>
      <c r="C304"/>
      <c r="D304"/>
      <c r="E304"/>
      <c r="F304"/>
      <c r="G304"/>
      <c r="H304" s="2"/>
      <c r="I304" s="5"/>
    </row>
    <row r="305" spans="1:9" s="1" customFormat="1" ht="19.5" customHeight="1" x14ac:dyDescent="0.35">
      <c r="A305" s="6"/>
      <c r="B305" s="7"/>
      <c r="C305"/>
      <c r="D305"/>
      <c r="E305"/>
      <c r="F305"/>
      <c r="G305"/>
      <c r="H305" s="2"/>
      <c r="I305" s="5"/>
    </row>
    <row r="306" spans="1:9" s="1" customFormat="1" ht="19.5" customHeight="1" x14ac:dyDescent="0.35">
      <c r="A306" s="6"/>
      <c r="B306" s="7"/>
      <c r="C306"/>
      <c r="D306"/>
      <c r="E306"/>
      <c r="F306"/>
      <c r="G306"/>
      <c r="H306" s="2"/>
      <c r="I306" s="5"/>
    </row>
    <row r="307" spans="1:9" s="1" customFormat="1" ht="19.5" customHeight="1" x14ac:dyDescent="0.35">
      <c r="A307" s="6"/>
      <c r="B307" s="7"/>
      <c r="C307"/>
      <c r="D307"/>
      <c r="E307"/>
      <c r="F307"/>
      <c r="G307"/>
      <c r="H307" s="2"/>
      <c r="I307" s="5"/>
    </row>
    <row r="308" spans="1:9" s="1" customFormat="1" ht="19.5" customHeight="1" x14ac:dyDescent="0.35">
      <c r="A308" s="6"/>
      <c r="B308" s="7"/>
      <c r="C308"/>
      <c r="D308"/>
      <c r="E308"/>
      <c r="F308"/>
      <c r="G308"/>
      <c r="H308" s="2"/>
      <c r="I308" s="5"/>
    </row>
    <row r="309" spans="1:9" s="1" customFormat="1" ht="19.5" customHeight="1" x14ac:dyDescent="0.35">
      <c r="A309" s="6"/>
      <c r="B309" s="7"/>
      <c r="C309"/>
      <c r="D309"/>
      <c r="E309"/>
      <c r="F309"/>
      <c r="G309"/>
      <c r="H309" s="2"/>
      <c r="I309" s="5"/>
    </row>
    <row r="310" spans="1:9" s="1" customFormat="1" ht="19.5" customHeight="1" x14ac:dyDescent="0.35">
      <c r="A310" s="6"/>
      <c r="B310" s="7"/>
      <c r="C310"/>
      <c r="D310"/>
      <c r="E310"/>
      <c r="F310"/>
      <c r="G310"/>
      <c r="H310" s="2"/>
      <c r="I310" s="5"/>
    </row>
    <row r="311" spans="1:9" s="1" customFormat="1" ht="19.5" customHeight="1" x14ac:dyDescent="0.35">
      <c r="A311" s="6"/>
      <c r="B311" s="7"/>
      <c r="C311"/>
      <c r="D311"/>
      <c r="E311"/>
      <c r="F311"/>
      <c r="G311"/>
      <c r="H311" s="2"/>
      <c r="I311" s="5"/>
    </row>
    <row r="312" spans="1:9" s="1" customFormat="1" ht="19.5" customHeight="1" x14ac:dyDescent="0.35">
      <c r="A312" s="6"/>
      <c r="B312" s="7"/>
      <c r="C312"/>
      <c r="D312"/>
      <c r="E312"/>
      <c r="F312"/>
      <c r="G312"/>
      <c r="H312" s="2"/>
      <c r="I312" s="5"/>
    </row>
    <row r="313" spans="1:9" s="1" customFormat="1" ht="19.5" customHeight="1" x14ac:dyDescent="0.35">
      <c r="A313" s="6"/>
      <c r="B313" s="7"/>
      <c r="C313"/>
      <c r="D313"/>
      <c r="E313"/>
      <c r="F313"/>
      <c r="G313"/>
      <c r="H313" s="2"/>
      <c r="I313" s="5"/>
    </row>
    <row r="314" spans="1:9" s="1" customFormat="1" ht="19.5" customHeight="1" x14ac:dyDescent="0.35">
      <c r="A314" s="6"/>
      <c r="B314" s="7"/>
      <c r="C314"/>
      <c r="D314"/>
      <c r="E314"/>
      <c r="F314"/>
      <c r="G314"/>
      <c r="H314" s="2"/>
      <c r="I314" s="5"/>
    </row>
    <row r="315" spans="1:9" s="1" customFormat="1" ht="19.5" customHeight="1" x14ac:dyDescent="0.35">
      <c r="A315" s="6"/>
      <c r="B315" s="7"/>
      <c r="C315"/>
      <c r="D315"/>
      <c r="E315"/>
      <c r="F315"/>
      <c r="G315"/>
      <c r="H315" s="2"/>
      <c r="I315" s="5"/>
    </row>
    <row r="316" spans="1:9" s="1" customFormat="1" ht="19.5" customHeight="1" x14ac:dyDescent="0.35">
      <c r="A316" s="6"/>
      <c r="B316" s="7"/>
      <c r="C316"/>
      <c r="D316"/>
      <c r="E316"/>
      <c r="F316"/>
      <c r="G316"/>
      <c r="H316" s="2"/>
      <c r="I316" s="5"/>
    </row>
    <row r="317" spans="1:9" s="1" customFormat="1" ht="19.5" customHeight="1" x14ac:dyDescent="0.35">
      <c r="A317" s="6"/>
      <c r="B317" s="7"/>
      <c r="C317"/>
      <c r="D317"/>
      <c r="E317"/>
      <c r="F317"/>
      <c r="G317"/>
      <c r="H317" s="2"/>
      <c r="I317" s="5"/>
    </row>
    <row r="318" spans="1:9" s="1" customFormat="1" ht="19.5" customHeight="1" x14ac:dyDescent="0.35">
      <c r="A318" s="6"/>
      <c r="B318" s="7"/>
      <c r="C318"/>
      <c r="D318"/>
      <c r="E318"/>
      <c r="F318"/>
      <c r="G318"/>
      <c r="H318" s="2"/>
      <c r="I318" s="5"/>
    </row>
    <row r="319" spans="1:9" s="1" customFormat="1" ht="19.5" customHeight="1" x14ac:dyDescent="0.35">
      <c r="A319" s="6"/>
      <c r="B319" s="7"/>
      <c r="C319"/>
      <c r="D319"/>
      <c r="E319"/>
      <c r="F319"/>
      <c r="G319"/>
      <c r="H319" s="2"/>
      <c r="I319" s="5"/>
    </row>
    <row r="320" spans="1:9" s="1" customFormat="1" ht="19.5" customHeight="1" x14ac:dyDescent="0.35">
      <c r="A320" s="6"/>
      <c r="B320" s="7"/>
      <c r="C320"/>
      <c r="D320"/>
      <c r="E320"/>
      <c r="F320"/>
      <c r="G320"/>
      <c r="H320" s="2"/>
      <c r="I320" s="5"/>
    </row>
    <row r="321" spans="1:9" s="1" customFormat="1" ht="19.5" customHeight="1" x14ac:dyDescent="0.35">
      <c r="A321" s="6"/>
      <c r="B321" s="7"/>
      <c r="C321"/>
      <c r="D321"/>
      <c r="E321"/>
      <c r="F321"/>
      <c r="G321"/>
      <c r="H321" s="2"/>
      <c r="I321" s="5"/>
    </row>
    <row r="322" spans="1:9" s="1" customFormat="1" ht="19.5" customHeight="1" x14ac:dyDescent="0.35">
      <c r="A322" s="6"/>
      <c r="B322" s="7"/>
      <c r="C322"/>
      <c r="D322"/>
      <c r="E322"/>
      <c r="F322"/>
      <c r="G322"/>
      <c r="H322" s="2"/>
      <c r="I322" s="5"/>
    </row>
    <row r="323" spans="1:9" s="1" customFormat="1" ht="19.5" customHeight="1" x14ac:dyDescent="0.35">
      <c r="A323" s="6"/>
      <c r="B323" s="7"/>
      <c r="C323"/>
      <c r="D323"/>
      <c r="E323"/>
      <c r="F323"/>
      <c r="G323"/>
      <c r="H323" s="2"/>
      <c r="I323" s="5"/>
    </row>
    <row r="324" spans="1:9" s="1" customFormat="1" ht="19.5" customHeight="1" x14ac:dyDescent="0.35">
      <c r="A324" s="6"/>
      <c r="B324" s="7"/>
      <c r="C324"/>
      <c r="D324"/>
      <c r="E324"/>
      <c r="F324"/>
      <c r="G324"/>
      <c r="H324" s="2"/>
      <c r="I324" s="5"/>
    </row>
    <row r="325" spans="1:9" s="1" customFormat="1" ht="19.5" customHeight="1" x14ac:dyDescent="0.35">
      <c r="A325" s="6"/>
      <c r="B325" s="7"/>
      <c r="C325"/>
      <c r="D325"/>
      <c r="E325"/>
      <c r="F325"/>
      <c r="G325"/>
      <c r="H325" s="2"/>
      <c r="I325" s="5"/>
    </row>
    <row r="326" spans="1:9" s="1" customFormat="1" ht="19.5" customHeight="1" x14ac:dyDescent="0.35">
      <c r="A326" s="6"/>
      <c r="B326" s="7"/>
      <c r="C326"/>
      <c r="D326"/>
      <c r="E326"/>
      <c r="F326"/>
      <c r="G326"/>
      <c r="H326" s="2"/>
      <c r="I326" s="5"/>
    </row>
    <row r="327" spans="1:9" s="1" customFormat="1" ht="19.5" customHeight="1" x14ac:dyDescent="0.35">
      <c r="A327" s="6"/>
      <c r="B327" s="7"/>
      <c r="C327"/>
      <c r="D327"/>
      <c r="E327"/>
      <c r="F327"/>
      <c r="G327"/>
      <c r="H327" s="2"/>
      <c r="I327" s="5"/>
    </row>
    <row r="328" spans="1:9" s="1" customFormat="1" ht="19.5" customHeight="1" x14ac:dyDescent="0.35">
      <c r="A328" s="6"/>
      <c r="B328" s="7"/>
      <c r="C328"/>
      <c r="D328"/>
      <c r="E328"/>
      <c r="F328"/>
      <c r="G328"/>
      <c r="H328" s="2"/>
      <c r="I328" s="5"/>
    </row>
    <row r="329" spans="1:9" s="1" customFormat="1" ht="19.5" customHeight="1" x14ac:dyDescent="0.35">
      <c r="A329" s="6"/>
      <c r="B329" s="7"/>
      <c r="C329"/>
      <c r="D329"/>
      <c r="E329"/>
      <c r="F329"/>
      <c r="G329"/>
      <c r="H329" s="2"/>
      <c r="I329" s="5"/>
    </row>
    <row r="330" spans="1:9" s="1" customFormat="1" ht="19.5" customHeight="1" x14ac:dyDescent="0.35">
      <c r="A330" s="6"/>
      <c r="B330" s="7"/>
      <c r="C330"/>
      <c r="D330"/>
      <c r="E330"/>
      <c r="F330"/>
      <c r="G330"/>
      <c r="H330" s="2"/>
      <c r="I330" s="5"/>
    </row>
    <row r="331" spans="1:9" s="1" customFormat="1" ht="19.5" customHeight="1" x14ac:dyDescent="0.35">
      <c r="A331" s="6"/>
      <c r="B331" s="7"/>
      <c r="C331"/>
      <c r="D331"/>
      <c r="E331"/>
      <c r="F331"/>
      <c r="G331"/>
      <c r="H331" s="2"/>
      <c r="I331" s="5"/>
    </row>
    <row r="332" spans="1:9" s="1" customFormat="1" ht="19.5" customHeight="1" x14ac:dyDescent="0.35">
      <c r="A332" s="6"/>
      <c r="B332" s="7"/>
      <c r="C332"/>
      <c r="D332"/>
      <c r="E332"/>
      <c r="F332"/>
      <c r="G332"/>
      <c r="H332" s="2"/>
      <c r="I332" s="5"/>
    </row>
    <row r="333" spans="1:9" s="1" customFormat="1" ht="19.5" customHeight="1" x14ac:dyDescent="0.35">
      <c r="A333" s="6"/>
      <c r="B333" s="7"/>
      <c r="C333"/>
      <c r="D333"/>
      <c r="E333"/>
      <c r="F333"/>
      <c r="G333"/>
      <c r="H333" s="2"/>
      <c r="I333" s="5"/>
    </row>
    <row r="334" spans="1:9" s="1" customFormat="1" ht="19.5" customHeight="1" x14ac:dyDescent="0.35">
      <c r="A334" s="6"/>
      <c r="B334" s="7"/>
      <c r="C334"/>
      <c r="D334"/>
      <c r="E334"/>
      <c r="F334"/>
      <c r="G334"/>
      <c r="H334" s="2"/>
      <c r="I334" s="5"/>
    </row>
    <row r="335" spans="1:9" s="1" customFormat="1" ht="19.5" customHeight="1" x14ac:dyDescent="0.35">
      <c r="A335" s="6"/>
      <c r="B335" s="7"/>
      <c r="C335"/>
      <c r="D335"/>
      <c r="E335"/>
      <c r="F335"/>
      <c r="G335"/>
      <c r="H335" s="2"/>
      <c r="I335" s="5"/>
    </row>
    <row r="336" spans="1:9" s="1" customFormat="1" ht="19.5" customHeight="1" x14ac:dyDescent="0.35">
      <c r="A336" s="6"/>
      <c r="B336" s="7"/>
      <c r="C336"/>
      <c r="D336"/>
      <c r="E336"/>
      <c r="F336"/>
      <c r="G336"/>
      <c r="H336" s="2"/>
      <c r="I336" s="5"/>
    </row>
    <row r="337" spans="1:9" s="1" customFormat="1" ht="19.5" customHeight="1" x14ac:dyDescent="0.35">
      <c r="A337" s="6"/>
      <c r="B337" s="7"/>
      <c r="C337"/>
      <c r="D337"/>
      <c r="E337"/>
      <c r="F337"/>
      <c r="G337"/>
      <c r="H337" s="2"/>
      <c r="I337" s="5"/>
    </row>
    <row r="338" spans="1:9" s="1" customFormat="1" ht="19.5" customHeight="1" x14ac:dyDescent="0.35">
      <c r="A338" s="6"/>
      <c r="B338" s="7"/>
      <c r="C338"/>
      <c r="D338"/>
      <c r="E338"/>
      <c r="F338"/>
      <c r="G338"/>
      <c r="H338" s="2"/>
      <c r="I338" s="5"/>
    </row>
    <row r="339" spans="1:9" s="1" customFormat="1" ht="19.5" customHeight="1" x14ac:dyDescent="0.35">
      <c r="A339" s="6"/>
      <c r="B339" s="7"/>
      <c r="C339"/>
      <c r="D339"/>
      <c r="E339"/>
      <c r="F339"/>
      <c r="G339"/>
      <c r="H339" s="2"/>
      <c r="I339" s="5"/>
    </row>
    <row r="340" spans="1:9" s="1" customFormat="1" ht="19.5" customHeight="1" x14ac:dyDescent="0.35">
      <c r="A340" s="6"/>
      <c r="B340" s="7"/>
      <c r="C340"/>
      <c r="D340"/>
      <c r="E340"/>
      <c r="F340"/>
      <c r="G340"/>
      <c r="H340" s="2"/>
      <c r="I340" s="5"/>
    </row>
    <row r="341" spans="1:9" s="1" customFormat="1" ht="19.5" customHeight="1" x14ac:dyDescent="0.35">
      <c r="A341" s="6"/>
      <c r="B341" s="7"/>
      <c r="C341"/>
      <c r="D341"/>
      <c r="E341"/>
      <c r="F341"/>
      <c r="G341"/>
      <c r="H341" s="2"/>
      <c r="I341" s="5"/>
    </row>
    <row r="342" spans="1:9" s="1" customFormat="1" ht="19.5" customHeight="1" x14ac:dyDescent="0.35">
      <c r="A342" s="6"/>
      <c r="B342" s="7"/>
      <c r="C342"/>
      <c r="D342"/>
      <c r="E342"/>
      <c r="F342"/>
      <c r="G342"/>
      <c r="H342" s="2"/>
      <c r="I342" s="5"/>
    </row>
    <row r="343" spans="1:9" s="1" customFormat="1" ht="19.5" customHeight="1" x14ac:dyDescent="0.35">
      <c r="A343" s="6"/>
      <c r="B343" s="7"/>
      <c r="C343"/>
      <c r="D343"/>
      <c r="E343"/>
      <c r="F343"/>
      <c r="G343"/>
      <c r="H343" s="2"/>
      <c r="I343" s="5"/>
    </row>
    <row r="344" spans="1:9" s="1" customFormat="1" ht="19.5" customHeight="1" x14ac:dyDescent="0.35">
      <c r="A344" s="6"/>
      <c r="B344" s="7"/>
      <c r="C344"/>
      <c r="D344"/>
      <c r="E344"/>
      <c r="F344"/>
      <c r="G344"/>
      <c r="H344" s="2"/>
      <c r="I344" s="5"/>
    </row>
    <row r="345" spans="1:9" s="1" customFormat="1" ht="19.5" customHeight="1" x14ac:dyDescent="0.35">
      <c r="A345" s="6"/>
      <c r="B345" s="7"/>
      <c r="C345"/>
      <c r="D345"/>
      <c r="E345"/>
      <c r="F345"/>
      <c r="G345"/>
      <c r="H345" s="2"/>
      <c r="I345" s="5"/>
    </row>
    <row r="346" spans="1:9" s="1" customFormat="1" ht="19.5" customHeight="1" x14ac:dyDescent="0.35">
      <c r="A346" s="6"/>
      <c r="B346" s="7"/>
      <c r="C346"/>
      <c r="D346"/>
      <c r="E346"/>
      <c r="F346"/>
      <c r="G346"/>
      <c r="H346" s="2"/>
      <c r="I346" s="5"/>
    </row>
    <row r="347" spans="1:9" s="1" customFormat="1" ht="19.5" customHeight="1" x14ac:dyDescent="0.35">
      <c r="A347" s="6"/>
      <c r="B347" s="7"/>
      <c r="C347"/>
      <c r="D347"/>
      <c r="E347"/>
      <c r="F347"/>
      <c r="G347"/>
      <c r="H347" s="2"/>
      <c r="I347" s="5"/>
    </row>
    <row r="348" spans="1:9" s="1" customFormat="1" ht="19.5" customHeight="1" x14ac:dyDescent="0.35">
      <c r="A348" s="6"/>
      <c r="B348" s="7"/>
      <c r="C348"/>
      <c r="D348"/>
      <c r="E348"/>
      <c r="F348"/>
      <c r="G348"/>
      <c r="H348" s="2"/>
      <c r="I348" s="5"/>
    </row>
    <row r="349" spans="1:9" s="1" customFormat="1" ht="19.5" customHeight="1" x14ac:dyDescent="0.35">
      <c r="A349" s="6"/>
      <c r="B349" s="7"/>
      <c r="C349"/>
      <c r="D349"/>
      <c r="E349"/>
      <c r="F349"/>
      <c r="G349"/>
      <c r="H349" s="2"/>
      <c r="I349" s="5"/>
    </row>
    <row r="350" spans="1:9" s="1" customFormat="1" ht="19.5" customHeight="1" x14ac:dyDescent="0.35">
      <c r="A350" s="6"/>
      <c r="B350" s="7"/>
      <c r="C350"/>
      <c r="D350"/>
      <c r="E350"/>
      <c r="F350"/>
      <c r="G350"/>
      <c r="H350" s="2"/>
      <c r="I350" s="5"/>
    </row>
    <row r="351" spans="1:9" s="1" customFormat="1" ht="19.5" customHeight="1" x14ac:dyDescent="0.35">
      <c r="A351" s="6"/>
      <c r="B351" s="7"/>
      <c r="C351"/>
      <c r="D351"/>
      <c r="E351"/>
      <c r="F351"/>
      <c r="G351"/>
      <c r="H351" s="2"/>
      <c r="I351" s="5"/>
    </row>
    <row r="352" spans="1:9" s="1" customFormat="1" ht="19.5" customHeight="1" x14ac:dyDescent="0.35">
      <c r="A352" s="6"/>
      <c r="B352" s="7"/>
      <c r="C352"/>
      <c r="D352"/>
      <c r="E352"/>
      <c r="F352"/>
      <c r="G352"/>
      <c r="H352" s="2"/>
      <c r="I352" s="5"/>
    </row>
    <row r="353" spans="1:9" s="1" customFormat="1" ht="19.5" customHeight="1" x14ac:dyDescent="0.35">
      <c r="A353" s="6"/>
      <c r="B353" s="7"/>
      <c r="C353"/>
      <c r="D353"/>
      <c r="E353"/>
      <c r="F353"/>
      <c r="G353"/>
      <c r="H353" s="2"/>
      <c r="I353" s="5"/>
    </row>
    <row r="354" spans="1:9" s="1" customFormat="1" ht="19.5" customHeight="1" x14ac:dyDescent="0.35">
      <c r="A354" s="6"/>
      <c r="B354" s="7"/>
      <c r="C354"/>
      <c r="D354"/>
      <c r="E354"/>
      <c r="F354"/>
      <c r="G354"/>
      <c r="H354" s="2"/>
      <c r="I354" s="5"/>
    </row>
    <row r="355" spans="1:9" s="1" customFormat="1" ht="19.5" customHeight="1" x14ac:dyDescent="0.35">
      <c r="A355" s="6"/>
      <c r="B355" s="7"/>
      <c r="C355"/>
      <c r="D355"/>
      <c r="E355"/>
      <c r="F355"/>
      <c r="G355"/>
      <c r="H355" s="2"/>
      <c r="I355" s="5"/>
    </row>
    <row r="356" spans="1:9" s="1" customFormat="1" ht="19.5" customHeight="1" x14ac:dyDescent="0.35">
      <c r="A356" s="6"/>
      <c r="B356" s="7"/>
      <c r="C356"/>
      <c r="D356"/>
      <c r="E356"/>
      <c r="F356"/>
      <c r="G356"/>
      <c r="H356" s="2"/>
      <c r="I356" s="5"/>
    </row>
    <row r="357" spans="1:9" s="1" customFormat="1" ht="19.5" customHeight="1" x14ac:dyDescent="0.35">
      <c r="A357" s="6"/>
      <c r="B357" s="7"/>
      <c r="C357"/>
      <c r="D357"/>
      <c r="E357"/>
      <c r="F357"/>
      <c r="G357"/>
      <c r="H357" s="2"/>
      <c r="I357" s="5"/>
    </row>
    <row r="358" spans="1:9" s="1" customFormat="1" ht="19.5" customHeight="1" x14ac:dyDescent="0.35">
      <c r="A358" s="6"/>
      <c r="B358" s="7"/>
      <c r="C358"/>
      <c r="D358"/>
      <c r="E358"/>
      <c r="F358"/>
      <c r="G358"/>
      <c r="H358" s="2"/>
      <c r="I358" s="5"/>
    </row>
    <row r="359" spans="1:9" s="1" customFormat="1" ht="19.5" customHeight="1" x14ac:dyDescent="0.35">
      <c r="A359" s="6"/>
      <c r="B359" s="7"/>
      <c r="C359"/>
      <c r="D359"/>
      <c r="E359"/>
      <c r="F359"/>
      <c r="G359"/>
      <c r="H359" s="2"/>
      <c r="I359" s="5"/>
    </row>
    <row r="360" spans="1:9" s="1" customFormat="1" ht="19.5" customHeight="1" x14ac:dyDescent="0.35">
      <c r="A360" s="6"/>
      <c r="B360" s="7"/>
      <c r="C360"/>
      <c r="D360"/>
      <c r="E360"/>
      <c r="F360"/>
      <c r="G360"/>
      <c r="H360" s="2"/>
      <c r="I360" s="5"/>
    </row>
    <row r="361" spans="1:9" s="1" customFormat="1" ht="19.5" customHeight="1" x14ac:dyDescent="0.35">
      <c r="A361" s="6"/>
      <c r="B361" s="7"/>
      <c r="C361"/>
      <c r="D361"/>
      <c r="E361"/>
      <c r="F361"/>
      <c r="G361"/>
      <c r="H361" s="2"/>
      <c r="I361" s="5"/>
    </row>
    <row r="362" spans="1:9" s="1" customFormat="1" ht="19.5" customHeight="1" x14ac:dyDescent="0.35">
      <c r="A362" s="6"/>
      <c r="B362" s="7"/>
      <c r="C362"/>
      <c r="D362"/>
      <c r="E362"/>
      <c r="F362"/>
      <c r="G362"/>
      <c r="H362" s="2"/>
      <c r="I362" s="5"/>
    </row>
    <row r="363" spans="1:9" s="1" customFormat="1" ht="19.5" customHeight="1" x14ac:dyDescent="0.35">
      <c r="A363" s="6"/>
      <c r="B363" s="7"/>
      <c r="C363"/>
      <c r="D363"/>
      <c r="E363"/>
      <c r="F363"/>
      <c r="G363"/>
      <c r="H363" s="2"/>
      <c r="I363" s="5"/>
    </row>
    <row r="364" spans="1:9" s="1" customFormat="1" ht="19.5" customHeight="1" x14ac:dyDescent="0.35">
      <c r="A364" s="6"/>
      <c r="B364" s="7"/>
      <c r="C364"/>
      <c r="D364"/>
      <c r="E364"/>
      <c r="F364"/>
      <c r="G364"/>
      <c r="H364" s="2"/>
      <c r="I364" s="5"/>
    </row>
    <row r="365" spans="1:9" s="1" customFormat="1" ht="19.5" customHeight="1" x14ac:dyDescent="0.35">
      <c r="A365" s="6"/>
      <c r="B365" s="7"/>
      <c r="C365"/>
      <c r="D365"/>
      <c r="E365"/>
      <c r="F365"/>
      <c r="G365"/>
      <c r="H365" s="2"/>
      <c r="I365" s="5"/>
    </row>
    <row r="366" spans="1:9" s="1" customFormat="1" ht="19.5" customHeight="1" x14ac:dyDescent="0.35">
      <c r="A366" s="6"/>
      <c r="B366" s="7"/>
      <c r="C366"/>
      <c r="D366"/>
      <c r="E366"/>
      <c r="F366"/>
      <c r="G366"/>
      <c r="H366" s="2"/>
      <c r="I366" s="5"/>
    </row>
    <row r="367" spans="1:9" s="1" customFormat="1" ht="19.5" customHeight="1" x14ac:dyDescent="0.35">
      <c r="A367" s="6"/>
      <c r="B367" s="7"/>
      <c r="C367"/>
      <c r="D367"/>
      <c r="E367"/>
      <c r="F367"/>
      <c r="G367"/>
      <c r="H367" s="2"/>
      <c r="I367" s="5"/>
    </row>
    <row r="368" spans="1:9" s="1" customFormat="1" ht="19.5" customHeight="1" x14ac:dyDescent="0.35">
      <c r="A368" s="6"/>
      <c r="B368" s="7"/>
      <c r="C368"/>
      <c r="D368"/>
      <c r="E368"/>
      <c r="F368"/>
      <c r="G368"/>
      <c r="H368" s="2"/>
      <c r="I368" s="5"/>
    </row>
    <row r="369" spans="1:9" s="1" customFormat="1" ht="19.5" customHeight="1" x14ac:dyDescent="0.35">
      <c r="A369" s="6"/>
      <c r="B369" s="7"/>
      <c r="C369"/>
      <c r="D369"/>
      <c r="E369"/>
      <c r="F369"/>
      <c r="G369"/>
      <c r="H369" s="2"/>
      <c r="I369" s="5"/>
    </row>
    <row r="370" spans="1:9" s="1" customFormat="1" ht="19.5" customHeight="1" x14ac:dyDescent="0.35">
      <c r="A370" s="6"/>
      <c r="B370" s="7"/>
      <c r="C370"/>
      <c r="D370"/>
      <c r="E370"/>
      <c r="F370"/>
      <c r="G370"/>
      <c r="H370" s="2"/>
      <c r="I370" s="5"/>
    </row>
    <row r="371" spans="1:9" s="1" customFormat="1" ht="19.5" customHeight="1" x14ac:dyDescent="0.35">
      <c r="A371" s="6"/>
      <c r="B371" s="7"/>
      <c r="C371"/>
      <c r="D371"/>
      <c r="E371"/>
      <c r="F371"/>
      <c r="G371"/>
      <c r="H371" s="2"/>
      <c r="I371" s="5"/>
    </row>
    <row r="372" spans="1:9" s="1" customFormat="1" ht="19.5" customHeight="1" x14ac:dyDescent="0.35">
      <c r="A372" s="6"/>
      <c r="B372" s="7"/>
      <c r="C372"/>
      <c r="D372"/>
      <c r="E372"/>
      <c r="F372"/>
      <c r="G372"/>
      <c r="H372" s="2"/>
      <c r="I372" s="5"/>
    </row>
    <row r="373" spans="1:9" s="1" customFormat="1" ht="19.5" customHeight="1" x14ac:dyDescent="0.35">
      <c r="A373" s="6"/>
      <c r="B373" s="7"/>
      <c r="C373"/>
      <c r="D373"/>
      <c r="E373"/>
      <c r="F373"/>
      <c r="G373"/>
      <c r="H373" s="2"/>
      <c r="I373" s="5"/>
    </row>
    <row r="374" spans="1:9" s="1" customFormat="1" ht="19.5" customHeight="1" x14ac:dyDescent="0.35">
      <c r="A374" s="6"/>
      <c r="B374" s="7"/>
      <c r="C374"/>
      <c r="D374"/>
      <c r="E374"/>
      <c r="F374"/>
      <c r="G374"/>
      <c r="H374" s="2"/>
      <c r="I374" s="5"/>
    </row>
    <row r="375" spans="1:9" s="1" customFormat="1" ht="19.5" customHeight="1" x14ac:dyDescent="0.35">
      <c r="A375" s="6"/>
      <c r="B375" s="7"/>
      <c r="C375"/>
      <c r="D375"/>
      <c r="E375"/>
      <c r="F375"/>
      <c r="G375"/>
      <c r="H375" s="2"/>
      <c r="I375" s="5"/>
    </row>
    <row r="376" spans="1:9" s="1" customFormat="1" ht="19.5" customHeight="1" x14ac:dyDescent="0.35">
      <c r="A376" s="6"/>
      <c r="B376" s="7"/>
      <c r="C376"/>
      <c r="D376"/>
      <c r="E376"/>
      <c r="F376"/>
      <c r="G376"/>
      <c r="H376" s="2"/>
      <c r="I376" s="5"/>
    </row>
    <row r="377" spans="1:9" s="1" customFormat="1" ht="19.5" customHeight="1" x14ac:dyDescent="0.35">
      <c r="A377" s="6"/>
      <c r="B377" s="7"/>
      <c r="C377"/>
      <c r="D377"/>
      <c r="E377"/>
      <c r="F377"/>
      <c r="G377"/>
      <c r="H377" s="2"/>
      <c r="I377" s="5"/>
    </row>
    <row r="378" spans="1:9" s="1" customFormat="1" ht="19.5" customHeight="1" x14ac:dyDescent="0.35">
      <c r="A378" s="6"/>
      <c r="B378" s="7"/>
      <c r="C378"/>
      <c r="D378"/>
      <c r="E378"/>
      <c r="F378"/>
      <c r="G378"/>
      <c r="H378" s="2"/>
      <c r="I378" s="5"/>
    </row>
    <row r="379" spans="1:9" s="1" customFormat="1" ht="19.5" customHeight="1" x14ac:dyDescent="0.35">
      <c r="A379" s="6"/>
      <c r="B379" s="7"/>
      <c r="C379"/>
      <c r="D379"/>
      <c r="E379"/>
      <c r="F379"/>
      <c r="G379"/>
      <c r="H379" s="2"/>
      <c r="I379" s="5"/>
    </row>
    <row r="380" spans="1:9" s="1" customFormat="1" ht="19.5" customHeight="1" x14ac:dyDescent="0.35">
      <c r="A380" s="6"/>
      <c r="B380" s="7"/>
      <c r="C380"/>
      <c r="D380"/>
      <c r="E380"/>
      <c r="F380"/>
      <c r="G380"/>
      <c r="H380" s="2"/>
      <c r="I380" s="5"/>
    </row>
    <row r="381" spans="1:9" s="1" customFormat="1" ht="19.5" customHeight="1" x14ac:dyDescent="0.35">
      <c r="A381" s="6"/>
      <c r="B381" s="7"/>
      <c r="C381"/>
      <c r="D381"/>
      <c r="E381"/>
      <c r="F381"/>
      <c r="G381"/>
      <c r="H381" s="2"/>
      <c r="I381" s="5"/>
    </row>
    <row r="382" spans="1:9" s="1" customFormat="1" ht="19.5" customHeight="1" x14ac:dyDescent="0.35">
      <c r="A382" s="6"/>
      <c r="B382" s="7"/>
      <c r="C382"/>
      <c r="D382"/>
      <c r="E382"/>
      <c r="F382"/>
      <c r="G382"/>
      <c r="H382" s="2"/>
      <c r="I382" s="5"/>
    </row>
    <row r="383" spans="1:9" s="1" customFormat="1" ht="20.25" customHeight="1" x14ac:dyDescent="0.35">
      <c r="A383" s="6"/>
      <c r="B383" s="7"/>
      <c r="C383"/>
      <c r="D383"/>
      <c r="E383"/>
      <c r="F383"/>
      <c r="G383"/>
      <c r="H383" s="2"/>
      <c r="I383" s="5"/>
    </row>
  </sheetData>
  <mergeCells count="379">
    <mergeCell ref="H232:H243"/>
    <mergeCell ref="I232:I243"/>
    <mergeCell ref="H184:H195"/>
    <mergeCell ref="C136:C147"/>
    <mergeCell ref="D136:D147"/>
    <mergeCell ref="E136:E147"/>
    <mergeCell ref="F160:F165"/>
    <mergeCell ref="G160:G165"/>
    <mergeCell ref="H160:H165"/>
    <mergeCell ref="I160:I165"/>
    <mergeCell ref="F166:F171"/>
    <mergeCell ref="G166:G171"/>
    <mergeCell ref="I148:I159"/>
    <mergeCell ref="H148:H159"/>
    <mergeCell ref="E196:E201"/>
    <mergeCell ref="F196:F201"/>
    <mergeCell ref="G196:G201"/>
    <mergeCell ref="H196:H201"/>
    <mergeCell ref="G202:G207"/>
    <mergeCell ref="F202:F207"/>
    <mergeCell ref="D202:D207"/>
    <mergeCell ref="B182:B183"/>
    <mergeCell ref="B154:B155"/>
    <mergeCell ref="C148:C159"/>
    <mergeCell ref="D148:D159"/>
    <mergeCell ref="C166:C171"/>
    <mergeCell ref="C172:C183"/>
    <mergeCell ref="D166:D171"/>
    <mergeCell ref="D172:D183"/>
    <mergeCell ref="E166:E171"/>
    <mergeCell ref="E172:E183"/>
    <mergeCell ref="B168:B169"/>
    <mergeCell ref="B170:B171"/>
    <mergeCell ref="B158:B159"/>
    <mergeCell ref="C160:C165"/>
    <mergeCell ref="D160:D165"/>
    <mergeCell ref="E160:E165"/>
    <mergeCell ref="B156:B157"/>
    <mergeCell ref="B164:B165"/>
    <mergeCell ref="B166:B167"/>
    <mergeCell ref="B176:B177"/>
    <mergeCell ref="B178:B179"/>
    <mergeCell ref="B162:B163"/>
    <mergeCell ref="B198:B199"/>
    <mergeCell ref="B200:B201"/>
    <mergeCell ref="B206:B207"/>
    <mergeCell ref="B202:B203"/>
    <mergeCell ref="B188:B189"/>
    <mergeCell ref="E148:E159"/>
    <mergeCell ref="F148:F159"/>
    <mergeCell ref="G148:G159"/>
    <mergeCell ref="B192:B193"/>
    <mergeCell ref="C196:C201"/>
    <mergeCell ref="B184:B185"/>
    <mergeCell ref="B190:B191"/>
    <mergeCell ref="B196:B197"/>
    <mergeCell ref="B172:B173"/>
    <mergeCell ref="B150:B151"/>
    <mergeCell ref="B152:B153"/>
    <mergeCell ref="B180:B181"/>
    <mergeCell ref="C184:C195"/>
    <mergeCell ref="D184:D195"/>
    <mergeCell ref="E184:E195"/>
    <mergeCell ref="F184:F195"/>
    <mergeCell ref="G184:G195"/>
    <mergeCell ref="B204:B205"/>
    <mergeCell ref="D196:D201"/>
    <mergeCell ref="A208:A219"/>
    <mergeCell ref="B208:B209"/>
    <mergeCell ref="B222:B223"/>
    <mergeCell ref="B224:B225"/>
    <mergeCell ref="B226:B227"/>
    <mergeCell ref="B228:B229"/>
    <mergeCell ref="B210:B211"/>
    <mergeCell ref="B218:B219"/>
    <mergeCell ref="B212:B213"/>
    <mergeCell ref="B214:B215"/>
    <mergeCell ref="B216:B217"/>
    <mergeCell ref="C260:C267"/>
    <mergeCell ref="C268:C279"/>
    <mergeCell ref="C280:C291"/>
    <mergeCell ref="D260:D267"/>
    <mergeCell ref="D268:D279"/>
    <mergeCell ref="D280:D291"/>
    <mergeCell ref="E260:E267"/>
    <mergeCell ref="E268:E279"/>
    <mergeCell ref="B240:B241"/>
    <mergeCell ref="E250:E259"/>
    <mergeCell ref="B280:B281"/>
    <mergeCell ref="B282:B283"/>
    <mergeCell ref="B290:B291"/>
    <mergeCell ref="B278:B279"/>
    <mergeCell ref="B286:B287"/>
    <mergeCell ref="B268:B269"/>
    <mergeCell ref="B270:B271"/>
    <mergeCell ref="B272:B273"/>
    <mergeCell ref="B288:B289"/>
    <mergeCell ref="B284:B285"/>
    <mergeCell ref="B274:B275"/>
    <mergeCell ref="B276:B277"/>
    <mergeCell ref="B242:B243"/>
    <mergeCell ref="E280:E291"/>
    <mergeCell ref="A268:A279"/>
    <mergeCell ref="A256:A267"/>
    <mergeCell ref="B230:B231"/>
    <mergeCell ref="B232:B233"/>
    <mergeCell ref="B238:B239"/>
    <mergeCell ref="B260:B261"/>
    <mergeCell ref="B262:B263"/>
    <mergeCell ref="B264:B265"/>
    <mergeCell ref="B266:B267"/>
    <mergeCell ref="B256:B257"/>
    <mergeCell ref="B258:B259"/>
    <mergeCell ref="A244:A255"/>
    <mergeCell ref="B252:B253"/>
    <mergeCell ref="B244:B245"/>
    <mergeCell ref="B246:B247"/>
    <mergeCell ref="B248:B249"/>
    <mergeCell ref="B250:B251"/>
    <mergeCell ref="B254:B255"/>
    <mergeCell ref="A232:A243"/>
    <mergeCell ref="A196:A207"/>
    <mergeCell ref="A220:A231"/>
    <mergeCell ref="B220:B221"/>
    <mergeCell ref="A88:A99"/>
    <mergeCell ref="B88:B89"/>
    <mergeCell ref="A280:A291"/>
    <mergeCell ref="B234:B235"/>
    <mergeCell ref="B236:B237"/>
    <mergeCell ref="A136:A147"/>
    <mergeCell ref="B136:B137"/>
    <mergeCell ref="B138:B139"/>
    <mergeCell ref="B140:B141"/>
    <mergeCell ref="B142:B143"/>
    <mergeCell ref="B144:B145"/>
    <mergeCell ref="B146:B147"/>
    <mergeCell ref="A184:A195"/>
    <mergeCell ref="B194:B195"/>
    <mergeCell ref="B186:B187"/>
    <mergeCell ref="A148:A159"/>
    <mergeCell ref="B148:B149"/>
    <mergeCell ref="A160:A171"/>
    <mergeCell ref="B160:B161"/>
    <mergeCell ref="A172:A183"/>
    <mergeCell ref="B174:B175"/>
    <mergeCell ref="C48:C59"/>
    <mergeCell ref="D48:D59"/>
    <mergeCell ref="A52:A63"/>
    <mergeCell ref="A40:A51"/>
    <mergeCell ref="A76:A87"/>
    <mergeCell ref="A64:A75"/>
    <mergeCell ref="A112:A123"/>
    <mergeCell ref="B112:B113"/>
    <mergeCell ref="A124:A135"/>
    <mergeCell ref="B124:B125"/>
    <mergeCell ref="B114:B115"/>
    <mergeCell ref="B116:B117"/>
    <mergeCell ref="B118:B119"/>
    <mergeCell ref="B120:B121"/>
    <mergeCell ref="B122:B123"/>
    <mergeCell ref="B126:B127"/>
    <mergeCell ref="B128:B129"/>
    <mergeCell ref="B130:B131"/>
    <mergeCell ref="B132:B133"/>
    <mergeCell ref="B134:B135"/>
    <mergeCell ref="A100:A111"/>
    <mergeCell ref="B90:B91"/>
    <mergeCell ref="B92:B93"/>
    <mergeCell ref="B94:B95"/>
    <mergeCell ref="D36:D47"/>
    <mergeCell ref="B52:B53"/>
    <mergeCell ref="B48:B49"/>
    <mergeCell ref="B34:B35"/>
    <mergeCell ref="B36:B37"/>
    <mergeCell ref="B38:B39"/>
    <mergeCell ref="B46:B47"/>
    <mergeCell ref="B40:B41"/>
    <mergeCell ref="B110:B111"/>
    <mergeCell ref="B96:B97"/>
    <mergeCell ref="B98:B99"/>
    <mergeCell ref="C100:C105"/>
    <mergeCell ref="D100:D105"/>
    <mergeCell ref="D88:D99"/>
    <mergeCell ref="C60:C65"/>
    <mergeCell ref="D60:D65"/>
    <mergeCell ref="B66:B67"/>
    <mergeCell ref="B68:B69"/>
    <mergeCell ref="B70:B71"/>
    <mergeCell ref="B72:B73"/>
    <mergeCell ref="B74:B75"/>
    <mergeCell ref="B50:B51"/>
    <mergeCell ref="B56:B57"/>
    <mergeCell ref="B58:B59"/>
    <mergeCell ref="A1:I1"/>
    <mergeCell ref="A4:A15"/>
    <mergeCell ref="B4:B5"/>
    <mergeCell ref="B18:B19"/>
    <mergeCell ref="B20:B21"/>
    <mergeCell ref="B22:B23"/>
    <mergeCell ref="B24:B25"/>
    <mergeCell ref="B26:B27"/>
    <mergeCell ref="B6:B7"/>
    <mergeCell ref="B8:B9"/>
    <mergeCell ref="B10:B11"/>
    <mergeCell ref="B12:B13"/>
    <mergeCell ref="B14:B15"/>
    <mergeCell ref="A16:A27"/>
    <mergeCell ref="B16:B17"/>
    <mergeCell ref="C4:C15"/>
    <mergeCell ref="D4:D15"/>
    <mergeCell ref="E4:E15"/>
    <mergeCell ref="F4:F15"/>
    <mergeCell ref="G4:G15"/>
    <mergeCell ref="H4:H15"/>
    <mergeCell ref="I4:I15"/>
    <mergeCell ref="C16:C27"/>
    <mergeCell ref="D16:D27"/>
    <mergeCell ref="B28:B29"/>
    <mergeCell ref="A28:A39"/>
    <mergeCell ref="D106:D115"/>
    <mergeCell ref="E106:E115"/>
    <mergeCell ref="F106:F115"/>
    <mergeCell ref="G106:G115"/>
    <mergeCell ref="H106:H115"/>
    <mergeCell ref="I106:I115"/>
    <mergeCell ref="B78:B79"/>
    <mergeCell ref="B80:B81"/>
    <mergeCell ref="B86:B87"/>
    <mergeCell ref="B82:B83"/>
    <mergeCell ref="B84:B85"/>
    <mergeCell ref="G48:G59"/>
    <mergeCell ref="H48:H59"/>
    <mergeCell ref="E36:E47"/>
    <mergeCell ref="B42:B43"/>
    <mergeCell ref="B100:B101"/>
    <mergeCell ref="B102:B103"/>
    <mergeCell ref="B54:B55"/>
    <mergeCell ref="B44:B45"/>
    <mergeCell ref="B30:B31"/>
    <mergeCell ref="B32:B33"/>
    <mergeCell ref="C36:C47"/>
    <mergeCell ref="B104:B105"/>
    <mergeCell ref="B106:B107"/>
    <mergeCell ref="D78:D87"/>
    <mergeCell ref="I60:I65"/>
    <mergeCell ref="C66:C77"/>
    <mergeCell ref="D66:D77"/>
    <mergeCell ref="E66:E77"/>
    <mergeCell ref="F66:F77"/>
    <mergeCell ref="G66:G77"/>
    <mergeCell ref="H66:H77"/>
    <mergeCell ref="I66:I77"/>
    <mergeCell ref="C78:C87"/>
    <mergeCell ref="C88:C99"/>
    <mergeCell ref="E78:E87"/>
    <mergeCell ref="F78:F87"/>
    <mergeCell ref="G78:G87"/>
    <mergeCell ref="C106:C115"/>
    <mergeCell ref="B60:B61"/>
    <mergeCell ref="B64:B65"/>
    <mergeCell ref="B62:B63"/>
    <mergeCell ref="B76:B77"/>
    <mergeCell ref="B108:B109"/>
    <mergeCell ref="E60:E65"/>
    <mergeCell ref="F60:F65"/>
    <mergeCell ref="C250:C259"/>
    <mergeCell ref="D250:D259"/>
    <mergeCell ref="F244:F249"/>
    <mergeCell ref="G244:G249"/>
    <mergeCell ref="E244:E249"/>
    <mergeCell ref="E220:E225"/>
    <mergeCell ref="F220:F225"/>
    <mergeCell ref="G220:G225"/>
    <mergeCell ref="D244:D249"/>
    <mergeCell ref="D220:D225"/>
    <mergeCell ref="C232:C243"/>
    <mergeCell ref="D232:D243"/>
    <mergeCell ref="E232:E243"/>
    <mergeCell ref="F232:F243"/>
    <mergeCell ref="G232:G243"/>
    <mergeCell ref="C244:C249"/>
    <mergeCell ref="F250:F259"/>
    <mergeCell ref="G250:G259"/>
    <mergeCell ref="C124:C135"/>
    <mergeCell ref="D124:D135"/>
    <mergeCell ref="E124:E135"/>
    <mergeCell ref="F124:F135"/>
    <mergeCell ref="G124:G135"/>
    <mergeCell ref="H124:H135"/>
    <mergeCell ref="I124:I135"/>
    <mergeCell ref="E202:E207"/>
    <mergeCell ref="C226:C231"/>
    <mergeCell ref="D226:D231"/>
    <mergeCell ref="E226:E231"/>
    <mergeCell ref="F226:F231"/>
    <mergeCell ref="G226:G231"/>
    <mergeCell ref="H226:H231"/>
    <mergeCell ref="I226:I231"/>
    <mergeCell ref="H220:H225"/>
    <mergeCell ref="I220:I225"/>
    <mergeCell ref="I208:I219"/>
    <mergeCell ref="I202:I207"/>
    <mergeCell ref="C202:C207"/>
    <mergeCell ref="C220:C225"/>
    <mergeCell ref="C208:C219"/>
    <mergeCell ref="D208:D219"/>
    <mergeCell ref="E208:E219"/>
    <mergeCell ref="C28:C35"/>
    <mergeCell ref="D28:D35"/>
    <mergeCell ref="E28:E35"/>
    <mergeCell ref="F28:F35"/>
    <mergeCell ref="G28:G35"/>
    <mergeCell ref="H28:H35"/>
    <mergeCell ref="F268:F279"/>
    <mergeCell ref="G268:G279"/>
    <mergeCell ref="F280:F291"/>
    <mergeCell ref="G280:G291"/>
    <mergeCell ref="H166:H171"/>
    <mergeCell ref="F172:F183"/>
    <mergeCell ref="G172:G183"/>
    <mergeCell ref="H172:H183"/>
    <mergeCell ref="F260:F267"/>
    <mergeCell ref="G260:G267"/>
    <mergeCell ref="H260:H267"/>
    <mergeCell ref="F208:F219"/>
    <mergeCell ref="G208:G219"/>
    <mergeCell ref="F48:F59"/>
    <mergeCell ref="C116:C123"/>
    <mergeCell ref="D116:D123"/>
    <mergeCell ref="E116:E123"/>
    <mergeCell ref="F116:F123"/>
    <mergeCell ref="H268:H274"/>
    <mergeCell ref="I268:I274"/>
    <mergeCell ref="H275:H291"/>
    <mergeCell ref="I275:I291"/>
    <mergeCell ref="I28:I35"/>
    <mergeCell ref="F136:F147"/>
    <mergeCell ref="G136:G147"/>
    <mergeCell ref="H136:H147"/>
    <mergeCell ref="I136:I147"/>
    <mergeCell ref="I166:I171"/>
    <mergeCell ref="I172:I183"/>
    <mergeCell ref="I260:I267"/>
    <mergeCell ref="I184:I195"/>
    <mergeCell ref="I196:I201"/>
    <mergeCell ref="G116:G123"/>
    <mergeCell ref="H116:H123"/>
    <mergeCell ref="I116:I123"/>
    <mergeCell ref="G60:G65"/>
    <mergeCell ref="H60:H65"/>
    <mergeCell ref="I36:I47"/>
    <mergeCell ref="I48:I59"/>
    <mergeCell ref="F36:F47"/>
    <mergeCell ref="G36:G47"/>
    <mergeCell ref="H36:H47"/>
    <mergeCell ref="H244:H249"/>
    <mergeCell ref="I250:I259"/>
    <mergeCell ref="H202:H207"/>
    <mergeCell ref="I244:I249"/>
    <mergeCell ref="H250:H259"/>
    <mergeCell ref="E16:E27"/>
    <mergeCell ref="F16:F27"/>
    <mergeCell ref="G16:G27"/>
    <mergeCell ref="H16:H27"/>
    <mergeCell ref="I16:I27"/>
    <mergeCell ref="E48:E59"/>
    <mergeCell ref="H100:H105"/>
    <mergeCell ref="I100:I105"/>
    <mergeCell ref="G100:G105"/>
    <mergeCell ref="E100:E105"/>
    <mergeCell ref="F100:F105"/>
    <mergeCell ref="H78:H87"/>
    <mergeCell ref="I78:I87"/>
    <mergeCell ref="E88:E99"/>
    <mergeCell ref="F88:F99"/>
    <mergeCell ref="G88:G99"/>
    <mergeCell ref="H88:H99"/>
    <mergeCell ref="I88:I99"/>
    <mergeCell ref="H208:H219"/>
  </mergeCells>
  <phoneticPr fontId="15" type="noConversion"/>
  <conditionalFormatting sqref="C36:I36">
    <cfRule type="containsText" dxfId="28" priority="29" operator="containsText" text="NEWS">
      <formula>NOT(ISERROR(SEARCH("NEWS",C36)))</formula>
    </cfRule>
  </conditionalFormatting>
  <conditionalFormatting sqref="C60:I60">
    <cfRule type="containsText" dxfId="27" priority="28" operator="containsText" text="NEWS">
      <formula>NOT(ISERROR(SEARCH("NEWS",C60)))</formula>
    </cfRule>
  </conditionalFormatting>
  <conditionalFormatting sqref="C48:I48">
    <cfRule type="containsText" dxfId="26" priority="27" operator="containsText" text="NEWS">
      <formula>NOT(ISERROR(SEARCH("NEWS",C48)))</formula>
    </cfRule>
  </conditionalFormatting>
  <conditionalFormatting sqref="C66:I66">
    <cfRule type="containsText" dxfId="25" priority="26" operator="containsText" text="NEWS">
      <formula>NOT(ISERROR(SEARCH("NEWS",C66)))</formula>
    </cfRule>
  </conditionalFormatting>
  <conditionalFormatting sqref="C106:I106">
    <cfRule type="containsText" dxfId="24" priority="25" operator="containsText" text="NEWS">
      <formula>NOT(ISERROR(SEARCH("NEWS",C106)))</formula>
    </cfRule>
  </conditionalFormatting>
  <conditionalFormatting sqref="C116:I116">
    <cfRule type="containsText" dxfId="23" priority="24" operator="containsText" text="NEWS">
      <formula>NOT(ISERROR(SEARCH("NEWS",C116)))</formula>
    </cfRule>
  </conditionalFormatting>
  <conditionalFormatting sqref="C148:I159">
    <cfRule type="containsText" dxfId="22" priority="23" operator="containsText" text="NEWS">
      <formula>NOT(ISERROR(SEARCH("NEWS",C148)))</formula>
    </cfRule>
  </conditionalFormatting>
  <conditionalFormatting sqref="C100:C105">
    <cfRule type="containsText" dxfId="21" priority="22" operator="containsText" text="NEWS">
      <formula>NOT(ISERROR(SEARCH("NEWS",C100)))</formula>
    </cfRule>
  </conditionalFormatting>
  <conditionalFormatting sqref="D100:D105">
    <cfRule type="containsText" dxfId="20" priority="21" operator="containsText" text="NEWS">
      <formula>NOT(ISERROR(SEARCH("NEWS",D100)))</formula>
    </cfRule>
  </conditionalFormatting>
  <conditionalFormatting sqref="D88:I88">
    <cfRule type="containsText" dxfId="19" priority="20" operator="containsText" text="NEWS">
      <formula>NOT(ISERROR(SEARCH("NEWS",D88)))</formula>
    </cfRule>
  </conditionalFormatting>
  <conditionalFormatting sqref="C250:I250">
    <cfRule type="containsText" dxfId="18" priority="19" operator="containsText" text="NEWS">
      <formula>NOT(ISERROR(SEARCH("NEWS",C250)))</formula>
    </cfRule>
  </conditionalFormatting>
  <conditionalFormatting sqref="C202:I202">
    <cfRule type="containsText" dxfId="17" priority="18" operator="containsText" text="NEWS">
      <formula>NOT(ISERROR(SEARCH("NEWS",C202)))</formula>
    </cfRule>
  </conditionalFormatting>
  <conditionalFormatting sqref="C220:I220">
    <cfRule type="containsText" dxfId="16" priority="17" operator="containsText" text="NEWS">
      <formula>NOT(ISERROR(SEARCH("NEWS",C220)))</formula>
    </cfRule>
  </conditionalFormatting>
  <conditionalFormatting sqref="H244:H249">
    <cfRule type="containsText" dxfId="15" priority="16" operator="containsText" text="NEWS">
      <formula>NOT(ISERROR(SEARCH("NEWS",H244)))</formula>
    </cfRule>
  </conditionalFormatting>
  <conditionalFormatting sqref="I244:I249">
    <cfRule type="containsText" dxfId="14" priority="15" operator="containsText" text="NEWS">
      <formula>NOT(ISERROR(SEARCH("NEWS",I244)))</formula>
    </cfRule>
  </conditionalFormatting>
  <conditionalFormatting sqref="C196:I196">
    <cfRule type="containsText" dxfId="13" priority="14" operator="containsText" text="NEWS">
      <formula>NOT(ISERROR(SEARCH("NEWS",C196)))</formula>
    </cfRule>
  </conditionalFormatting>
  <conditionalFormatting sqref="C226:I226">
    <cfRule type="containsText" dxfId="12" priority="13" operator="containsText" text="NEWS">
      <formula>NOT(ISERROR(SEARCH("NEWS",C226)))</formula>
    </cfRule>
  </conditionalFormatting>
  <conditionalFormatting sqref="D184:D195 F184:F195 H184:H195">
    <cfRule type="containsText" dxfId="11" priority="12" operator="containsText" text="NEWS">
      <formula>NOT(ISERROR(SEARCH("NEWS",D184)))</formula>
    </cfRule>
  </conditionalFormatting>
  <conditionalFormatting sqref="C184:C195">
    <cfRule type="containsText" dxfId="10" priority="11" operator="containsText" text="NEWS">
      <formula>NOT(ISERROR(SEARCH("NEWS",C184)))</formula>
    </cfRule>
  </conditionalFormatting>
  <conditionalFormatting sqref="E184:E195">
    <cfRule type="containsText" dxfId="9" priority="10" operator="containsText" text="NEWS">
      <formula>NOT(ISERROR(SEARCH("NEWS",E184)))</formula>
    </cfRule>
  </conditionalFormatting>
  <conditionalFormatting sqref="G184:G195">
    <cfRule type="containsText" dxfId="8" priority="9" operator="containsText" text="NEWS">
      <formula>NOT(ISERROR(SEARCH("NEWS",G184)))</formula>
    </cfRule>
  </conditionalFormatting>
  <conditionalFormatting sqref="I184:I195">
    <cfRule type="containsText" dxfId="7" priority="8" operator="containsText" text="NEWS">
      <formula>NOT(ISERROR(SEARCH("NEWS",I184)))</formula>
    </cfRule>
  </conditionalFormatting>
  <conditionalFormatting sqref="C260:I260">
    <cfRule type="containsText" dxfId="6" priority="7" operator="containsText" text="NEWS">
      <formula>NOT(ISERROR(SEARCH("NEWS",C260)))</formula>
    </cfRule>
  </conditionalFormatting>
  <conditionalFormatting sqref="C88">
    <cfRule type="containsText" dxfId="5" priority="6" operator="containsText" text="NEWS">
      <formula>NOT(ISERROR(SEARCH("NEWS",C88)))</formula>
    </cfRule>
  </conditionalFormatting>
  <conditionalFormatting sqref="E100:I105">
    <cfRule type="containsText" dxfId="4" priority="5" operator="containsText" text="NEWS">
      <formula>NOT(ISERROR(SEARCH("NEWS",E100)))</formula>
    </cfRule>
  </conditionalFormatting>
  <conditionalFormatting sqref="G166:I166">
    <cfRule type="containsText" dxfId="3" priority="4" operator="containsText" text="NEWS">
      <formula>NOT(ISERROR(SEARCH("NEWS",G166)))</formula>
    </cfRule>
  </conditionalFormatting>
  <conditionalFormatting sqref="C160:I160">
    <cfRule type="containsText" dxfId="2" priority="3" operator="containsText" text="NEWS">
      <formula>NOT(ISERROR(SEARCH("NEWS",C160)))</formula>
    </cfRule>
  </conditionalFormatting>
  <conditionalFormatting sqref="C166:F166">
    <cfRule type="containsText" dxfId="1" priority="2" operator="containsText" text="NEWS">
      <formula>NOT(ISERROR(SEARCH("NEWS",C166)))</formula>
    </cfRule>
  </conditionalFormatting>
  <conditionalFormatting sqref="E232:G232">
    <cfRule type="containsText" dxfId="0" priority="1" operator="containsText" text="NEWS">
      <formula>NOT(ISERROR(SEARCH("NEWS",E232)))</formula>
    </cfRule>
  </conditionalFormatting>
  <printOptions horizontalCentered="1"/>
  <pageMargins left="0.19666667282581329" right="0.19666667282581329" top="0.35430556535720825" bottom="0.19666667282581329" header="0.19666667282581329" footer="0.19666667282581329"/>
  <pageSetup paperSize="9" scale="3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21"/>
  <sheetViews>
    <sheetView topLeftCell="A32" zoomScale="115" zoomScaleNormal="115" zoomScaleSheetLayoutView="75" workbookViewId="0">
      <selection activeCell="A72" sqref="A72"/>
    </sheetView>
  </sheetViews>
  <sheetFormatPr defaultColWidth="9" defaultRowHeight="11.25" customHeight="1" x14ac:dyDescent="0.3"/>
  <cols>
    <col min="1" max="1" width="37.5" style="9" bestFit="1" customWidth="1"/>
    <col min="2" max="2" width="5.625" style="16" bestFit="1" customWidth="1"/>
    <col min="3" max="3" width="9.625" style="16" bestFit="1" customWidth="1"/>
    <col min="4" max="5" width="7" style="16" bestFit="1" customWidth="1"/>
    <col min="6" max="6" width="10" style="16" bestFit="1" customWidth="1"/>
    <col min="7" max="8" width="7" style="16" bestFit="1" customWidth="1"/>
    <col min="9" max="10" width="10" style="16" customWidth="1"/>
    <col min="11" max="16384" width="9" style="9"/>
  </cols>
  <sheetData>
    <row r="1" spans="1:10" ht="11.25" customHeight="1" x14ac:dyDescent="0.3">
      <c r="A1" s="22" t="s">
        <v>283</v>
      </c>
      <c r="B1" s="22" t="s">
        <v>331</v>
      </c>
      <c r="C1" s="22" t="s">
        <v>546</v>
      </c>
      <c r="D1" s="22" t="s">
        <v>432</v>
      </c>
      <c r="E1" s="22" t="s">
        <v>458</v>
      </c>
      <c r="F1" s="22" t="s">
        <v>456</v>
      </c>
      <c r="G1" s="22" t="s">
        <v>453</v>
      </c>
      <c r="H1" s="22" t="s">
        <v>473</v>
      </c>
      <c r="I1" s="22" t="s">
        <v>467</v>
      </c>
      <c r="J1" s="22" t="s">
        <v>372</v>
      </c>
    </row>
    <row r="2" spans="1:10" ht="11.25" customHeight="1" x14ac:dyDescent="0.3">
      <c r="A2" s="13" t="s">
        <v>258</v>
      </c>
      <c r="B2" s="14" t="s">
        <v>331</v>
      </c>
      <c r="C2" s="14" t="s">
        <v>545</v>
      </c>
      <c r="D2" s="14" t="s">
        <v>370</v>
      </c>
      <c r="E2" s="14" t="s">
        <v>439</v>
      </c>
      <c r="F2" s="14" t="s">
        <v>374</v>
      </c>
      <c r="G2" s="14">
        <v>2023</v>
      </c>
      <c r="H2" s="14" t="s">
        <v>366</v>
      </c>
      <c r="I2" s="14" t="s">
        <v>468</v>
      </c>
      <c r="J2" s="14" t="s">
        <v>372</v>
      </c>
    </row>
    <row r="3" spans="1:10" ht="11.25" customHeight="1" x14ac:dyDescent="0.3">
      <c r="A3" s="13" t="s">
        <v>326</v>
      </c>
      <c r="B3" s="14" t="s">
        <v>331</v>
      </c>
      <c r="C3" s="14" t="s">
        <v>547</v>
      </c>
      <c r="D3" s="14" t="s">
        <v>370</v>
      </c>
      <c r="E3" s="14" t="s">
        <v>439</v>
      </c>
      <c r="F3" s="14" t="s">
        <v>374</v>
      </c>
      <c r="G3" s="14">
        <v>2023</v>
      </c>
      <c r="H3" s="14" t="s">
        <v>366</v>
      </c>
      <c r="I3" s="14" t="s">
        <v>468</v>
      </c>
      <c r="J3" s="14" t="s">
        <v>372</v>
      </c>
    </row>
    <row r="4" spans="1:10" ht="11.25" customHeight="1" x14ac:dyDescent="0.3">
      <c r="A4" s="13" t="s">
        <v>279</v>
      </c>
      <c r="B4" s="14" t="s">
        <v>331</v>
      </c>
      <c r="C4" s="14" t="s">
        <v>620</v>
      </c>
      <c r="D4" s="14" t="s">
        <v>370</v>
      </c>
      <c r="E4" s="14" t="s">
        <v>439</v>
      </c>
      <c r="F4" s="14" t="s">
        <v>374</v>
      </c>
      <c r="G4" s="14">
        <v>2023</v>
      </c>
      <c r="H4" s="14" t="s">
        <v>366</v>
      </c>
      <c r="I4" s="14" t="s">
        <v>468</v>
      </c>
      <c r="J4" s="14" t="s">
        <v>372</v>
      </c>
    </row>
    <row r="5" spans="1:10" ht="11.25" customHeight="1" x14ac:dyDescent="0.3">
      <c r="A5" s="13" t="s">
        <v>322</v>
      </c>
      <c r="B5" s="14" t="s">
        <v>331</v>
      </c>
      <c r="C5" s="14" t="s">
        <v>564</v>
      </c>
      <c r="D5" s="14" t="s">
        <v>370</v>
      </c>
      <c r="E5" s="14" t="s">
        <v>439</v>
      </c>
      <c r="F5" s="14" t="s">
        <v>374</v>
      </c>
      <c r="G5" s="14">
        <v>2023</v>
      </c>
      <c r="H5" s="14" t="s">
        <v>366</v>
      </c>
      <c r="I5" s="14" t="s">
        <v>468</v>
      </c>
      <c r="J5" s="14" t="s">
        <v>372</v>
      </c>
    </row>
    <row r="6" spans="1:10" ht="11.25" customHeight="1" x14ac:dyDescent="0.3">
      <c r="A6" s="13" t="s">
        <v>256</v>
      </c>
      <c r="B6" s="14" t="s">
        <v>365</v>
      </c>
      <c r="C6" s="14" t="s">
        <v>555</v>
      </c>
      <c r="D6" s="14" t="s">
        <v>370</v>
      </c>
      <c r="E6" s="14" t="s">
        <v>421</v>
      </c>
      <c r="F6" s="14" t="s">
        <v>395</v>
      </c>
      <c r="G6" s="14">
        <v>2023</v>
      </c>
      <c r="H6" s="14" t="s">
        <v>348</v>
      </c>
      <c r="I6" s="14" t="s">
        <v>118</v>
      </c>
      <c r="J6" s="14" t="s">
        <v>372</v>
      </c>
    </row>
    <row r="7" spans="1:10" ht="11.25" customHeight="1" x14ac:dyDescent="0.3">
      <c r="A7" s="13" t="s">
        <v>259</v>
      </c>
      <c r="B7" s="14" t="s">
        <v>331</v>
      </c>
      <c r="C7" s="14" t="s">
        <v>557</v>
      </c>
      <c r="D7" s="14" t="s">
        <v>370</v>
      </c>
      <c r="E7" s="14" t="s">
        <v>421</v>
      </c>
      <c r="F7" s="14" t="s">
        <v>395</v>
      </c>
      <c r="G7" s="14">
        <v>2023</v>
      </c>
      <c r="H7" s="14" t="s">
        <v>120</v>
      </c>
      <c r="I7" s="14" t="s">
        <v>468</v>
      </c>
      <c r="J7" s="14" t="s">
        <v>372</v>
      </c>
    </row>
    <row r="8" spans="1:10" ht="11.25" customHeight="1" x14ac:dyDescent="0.3">
      <c r="A8" s="13" t="s">
        <v>254</v>
      </c>
      <c r="B8" s="14" t="s">
        <v>331</v>
      </c>
      <c r="C8" s="14" t="s">
        <v>551</v>
      </c>
      <c r="D8" s="14" t="s">
        <v>370</v>
      </c>
      <c r="E8" s="14" t="s">
        <v>421</v>
      </c>
      <c r="F8" s="14" t="s">
        <v>395</v>
      </c>
      <c r="G8" s="14">
        <v>2023</v>
      </c>
      <c r="H8" s="14" t="s">
        <v>481</v>
      </c>
      <c r="I8" s="14" t="s">
        <v>468</v>
      </c>
      <c r="J8" s="14" t="s">
        <v>372</v>
      </c>
    </row>
    <row r="9" spans="1:10" ht="11.25" customHeight="1" x14ac:dyDescent="0.3">
      <c r="A9" s="13" t="s">
        <v>257</v>
      </c>
      <c r="B9" s="14" t="s">
        <v>365</v>
      </c>
      <c r="C9" s="14" t="s">
        <v>550</v>
      </c>
      <c r="D9" s="14" t="s">
        <v>370</v>
      </c>
      <c r="E9" s="14" t="s">
        <v>421</v>
      </c>
      <c r="F9" s="14" t="s">
        <v>395</v>
      </c>
      <c r="G9" s="14">
        <v>2023</v>
      </c>
      <c r="H9" s="14" t="s">
        <v>348</v>
      </c>
      <c r="I9" s="14" t="s">
        <v>118</v>
      </c>
      <c r="J9" s="14" t="s">
        <v>372</v>
      </c>
    </row>
    <row r="10" spans="1:10" ht="11.25" customHeight="1" x14ac:dyDescent="0.3">
      <c r="A10" s="13" t="s">
        <v>567</v>
      </c>
      <c r="B10" s="14" t="s">
        <v>331</v>
      </c>
      <c r="C10" s="14" t="s">
        <v>559</v>
      </c>
      <c r="D10" s="14" t="s">
        <v>396</v>
      </c>
      <c r="E10" s="14" t="s">
        <v>437</v>
      </c>
      <c r="F10" s="14" t="s">
        <v>364</v>
      </c>
      <c r="G10" s="14">
        <v>2022</v>
      </c>
      <c r="H10" s="14" t="s">
        <v>385</v>
      </c>
      <c r="I10" s="14" t="s">
        <v>351</v>
      </c>
      <c r="J10" s="14" t="s">
        <v>371</v>
      </c>
    </row>
    <row r="11" spans="1:10" ht="11.25" customHeight="1" x14ac:dyDescent="0.3">
      <c r="A11" s="13" t="s">
        <v>565</v>
      </c>
      <c r="B11" s="14" t="s">
        <v>365</v>
      </c>
      <c r="C11" s="14" t="s">
        <v>561</v>
      </c>
      <c r="D11" s="14" t="s">
        <v>396</v>
      </c>
      <c r="E11" s="14" t="s">
        <v>437</v>
      </c>
      <c r="F11" s="14" t="s">
        <v>431</v>
      </c>
      <c r="G11" s="14">
        <v>2019</v>
      </c>
      <c r="H11" s="14" t="s">
        <v>385</v>
      </c>
      <c r="I11" s="14" t="s">
        <v>351</v>
      </c>
      <c r="J11" s="14" t="s">
        <v>371</v>
      </c>
    </row>
    <row r="12" spans="1:10" ht="11.25" customHeight="1" x14ac:dyDescent="0.3">
      <c r="A12" s="13" t="s">
        <v>566</v>
      </c>
      <c r="B12" s="14" t="s">
        <v>331</v>
      </c>
      <c r="C12" s="14" t="s">
        <v>552</v>
      </c>
      <c r="D12" s="14" t="s">
        <v>396</v>
      </c>
      <c r="E12" s="14" t="s">
        <v>437</v>
      </c>
      <c r="F12" s="14" t="s">
        <v>364</v>
      </c>
      <c r="G12" s="14">
        <v>2022</v>
      </c>
      <c r="H12" s="14" t="s">
        <v>385</v>
      </c>
      <c r="I12" s="14" t="s">
        <v>118</v>
      </c>
      <c r="J12" s="14" t="s">
        <v>371</v>
      </c>
    </row>
    <row r="13" spans="1:10" ht="11.25" customHeight="1" x14ac:dyDescent="0.3">
      <c r="A13" s="13" t="s">
        <v>563</v>
      </c>
      <c r="B13" s="14" t="s">
        <v>331</v>
      </c>
      <c r="C13" s="14" t="s">
        <v>558</v>
      </c>
      <c r="D13" s="14" t="s">
        <v>396</v>
      </c>
      <c r="E13" s="14" t="s">
        <v>446</v>
      </c>
      <c r="F13" s="14" t="s">
        <v>433</v>
      </c>
      <c r="G13" s="14">
        <v>2020</v>
      </c>
      <c r="H13" s="14" t="s">
        <v>348</v>
      </c>
      <c r="I13" s="14" t="s">
        <v>118</v>
      </c>
      <c r="J13" s="14" t="s">
        <v>371</v>
      </c>
    </row>
    <row r="14" spans="1:10" ht="11.25" customHeight="1" x14ac:dyDescent="0.3">
      <c r="A14" s="13" t="s">
        <v>269</v>
      </c>
      <c r="B14" s="14" t="s">
        <v>331</v>
      </c>
      <c r="C14" s="14" t="s">
        <v>562</v>
      </c>
      <c r="D14" s="14" t="s">
        <v>396</v>
      </c>
      <c r="E14" s="14" t="s">
        <v>446</v>
      </c>
      <c r="F14" s="14" t="s">
        <v>377</v>
      </c>
      <c r="G14" s="14">
        <v>2021</v>
      </c>
      <c r="H14" s="14" t="s">
        <v>348</v>
      </c>
      <c r="I14" s="14" t="s">
        <v>478</v>
      </c>
      <c r="J14" s="14" t="s">
        <v>371</v>
      </c>
    </row>
    <row r="15" spans="1:10" ht="11.25" customHeight="1" x14ac:dyDescent="0.3">
      <c r="A15" s="13" t="s">
        <v>297</v>
      </c>
      <c r="B15" s="14" t="s">
        <v>331</v>
      </c>
      <c r="C15" s="14" t="s">
        <v>549</v>
      </c>
      <c r="D15" s="14" t="s">
        <v>396</v>
      </c>
      <c r="E15" s="14" t="s">
        <v>437</v>
      </c>
      <c r="F15" s="14" t="s">
        <v>364</v>
      </c>
      <c r="G15" s="14">
        <v>2022</v>
      </c>
      <c r="H15" s="14" t="s">
        <v>385</v>
      </c>
      <c r="I15" s="14" t="s">
        <v>118</v>
      </c>
      <c r="J15" s="14" t="s">
        <v>371</v>
      </c>
    </row>
    <row r="16" spans="1:10" ht="11.25" customHeight="1" x14ac:dyDescent="0.3">
      <c r="A16" s="13" t="s">
        <v>284</v>
      </c>
      <c r="B16" s="14" t="s">
        <v>365</v>
      </c>
      <c r="C16" s="14" t="s">
        <v>556</v>
      </c>
      <c r="D16" s="14" t="s">
        <v>370</v>
      </c>
      <c r="E16" s="14" t="s">
        <v>439</v>
      </c>
      <c r="F16" s="14" t="s">
        <v>374</v>
      </c>
      <c r="G16" s="14">
        <v>2021</v>
      </c>
      <c r="H16" s="14" t="s">
        <v>385</v>
      </c>
      <c r="I16" s="14" t="s">
        <v>118</v>
      </c>
      <c r="J16" s="14" t="s">
        <v>372</v>
      </c>
    </row>
    <row r="17" spans="1:10" ht="11.25" customHeight="1" x14ac:dyDescent="0.3">
      <c r="A17" s="13" t="s">
        <v>266</v>
      </c>
      <c r="B17" s="14" t="s">
        <v>331</v>
      </c>
      <c r="C17" s="14" t="s">
        <v>560</v>
      </c>
      <c r="D17" s="14" t="s">
        <v>396</v>
      </c>
      <c r="E17" s="14" t="s">
        <v>437</v>
      </c>
      <c r="F17" s="14" t="s">
        <v>364</v>
      </c>
      <c r="G17" s="14">
        <v>2022</v>
      </c>
      <c r="H17" s="14" t="s">
        <v>385</v>
      </c>
      <c r="I17" s="14" t="s">
        <v>118</v>
      </c>
      <c r="J17" s="14" t="s">
        <v>371</v>
      </c>
    </row>
    <row r="18" spans="1:10" ht="11.25" customHeight="1" x14ac:dyDescent="0.3">
      <c r="A18" s="13" t="s">
        <v>273</v>
      </c>
      <c r="B18" s="14" t="s">
        <v>365</v>
      </c>
      <c r="C18" s="14" t="s">
        <v>553</v>
      </c>
      <c r="D18" s="14" t="s">
        <v>396</v>
      </c>
      <c r="E18" s="14" t="s">
        <v>446</v>
      </c>
      <c r="F18" s="14" t="s">
        <v>442</v>
      </c>
      <c r="G18" s="14">
        <v>2023</v>
      </c>
      <c r="H18" s="14" t="s">
        <v>348</v>
      </c>
      <c r="I18" s="14" t="s">
        <v>118</v>
      </c>
      <c r="J18" s="14" t="s">
        <v>371</v>
      </c>
    </row>
    <row r="19" spans="1:10" ht="11.25" customHeight="1" x14ac:dyDescent="0.3">
      <c r="A19" s="13" t="s">
        <v>586</v>
      </c>
      <c r="B19" s="14" t="s">
        <v>331</v>
      </c>
      <c r="C19" s="14" t="s">
        <v>554</v>
      </c>
      <c r="D19" s="14" t="s">
        <v>370</v>
      </c>
      <c r="E19" s="14" t="s">
        <v>439</v>
      </c>
      <c r="F19" s="14" t="s">
        <v>462</v>
      </c>
      <c r="G19" s="14">
        <v>2022</v>
      </c>
      <c r="H19" s="14" t="s">
        <v>385</v>
      </c>
      <c r="I19" s="14" t="s">
        <v>122</v>
      </c>
      <c r="J19" s="14" t="s">
        <v>372</v>
      </c>
    </row>
    <row r="20" spans="1:10" ht="11.25" customHeight="1" x14ac:dyDescent="0.3">
      <c r="A20" s="13" t="s">
        <v>275</v>
      </c>
      <c r="B20" s="14" t="s">
        <v>331</v>
      </c>
      <c r="C20" s="14" t="s">
        <v>19</v>
      </c>
      <c r="D20" s="14" t="s">
        <v>396</v>
      </c>
      <c r="E20" s="14" t="s">
        <v>437</v>
      </c>
      <c r="F20" s="14" t="s">
        <v>364</v>
      </c>
      <c r="G20" s="14">
        <v>2023</v>
      </c>
      <c r="H20" s="14" t="s">
        <v>366</v>
      </c>
      <c r="I20" s="14" t="s">
        <v>468</v>
      </c>
      <c r="J20" s="14" t="s">
        <v>371</v>
      </c>
    </row>
    <row r="21" spans="1:10" ht="11.25" customHeight="1" x14ac:dyDescent="0.3">
      <c r="A21" s="13" t="s">
        <v>302</v>
      </c>
      <c r="B21" s="14" t="s">
        <v>331</v>
      </c>
      <c r="C21" s="14" t="s">
        <v>35</v>
      </c>
      <c r="D21" s="14" t="s">
        <v>370</v>
      </c>
      <c r="E21" s="14" t="s">
        <v>461</v>
      </c>
      <c r="F21" s="14" t="s">
        <v>364</v>
      </c>
      <c r="G21" s="14">
        <v>2023</v>
      </c>
      <c r="H21" s="14" t="s">
        <v>120</v>
      </c>
      <c r="I21" s="14" t="s">
        <v>468</v>
      </c>
      <c r="J21" s="14" t="s">
        <v>371</v>
      </c>
    </row>
    <row r="22" spans="1:10" ht="11.25" customHeight="1" x14ac:dyDescent="0.3">
      <c r="A22" s="13" t="s">
        <v>327</v>
      </c>
      <c r="B22" s="14" t="s">
        <v>331</v>
      </c>
      <c r="C22" s="14" t="s">
        <v>28</v>
      </c>
      <c r="D22" s="14" t="s">
        <v>396</v>
      </c>
      <c r="E22" s="14" t="s">
        <v>437</v>
      </c>
      <c r="F22" s="14" t="s">
        <v>364</v>
      </c>
      <c r="G22" s="14">
        <v>2022</v>
      </c>
      <c r="H22" s="14" t="s">
        <v>348</v>
      </c>
      <c r="I22" s="14" t="s">
        <v>118</v>
      </c>
      <c r="J22" s="14" t="s">
        <v>371</v>
      </c>
    </row>
    <row r="23" spans="1:10" ht="11.25" customHeight="1" x14ac:dyDescent="0.3">
      <c r="A23" s="13" t="s">
        <v>570</v>
      </c>
      <c r="B23" s="14" t="s">
        <v>331</v>
      </c>
      <c r="C23" s="14" t="s">
        <v>34</v>
      </c>
      <c r="D23" s="14" t="s">
        <v>370</v>
      </c>
      <c r="E23" s="14" t="s">
        <v>439</v>
      </c>
      <c r="F23" s="14" t="s">
        <v>374</v>
      </c>
      <c r="G23" s="14">
        <v>2022</v>
      </c>
      <c r="H23" s="14" t="s">
        <v>385</v>
      </c>
      <c r="I23" s="14" t="s">
        <v>118</v>
      </c>
      <c r="J23" s="14" t="s">
        <v>372</v>
      </c>
    </row>
    <row r="24" spans="1:10" ht="11.25" customHeight="1" x14ac:dyDescent="0.3">
      <c r="A24" s="13" t="s">
        <v>325</v>
      </c>
      <c r="B24" s="14" t="s">
        <v>331</v>
      </c>
      <c r="C24" s="14" t="s">
        <v>26</v>
      </c>
      <c r="D24" s="14" t="s">
        <v>396</v>
      </c>
      <c r="E24" s="14" t="s">
        <v>437</v>
      </c>
      <c r="F24" s="14" t="s">
        <v>364</v>
      </c>
      <c r="G24" s="14">
        <v>2023</v>
      </c>
      <c r="H24" s="14" t="s">
        <v>385</v>
      </c>
      <c r="I24" s="14" t="s">
        <v>118</v>
      </c>
      <c r="J24" s="14" t="s">
        <v>371</v>
      </c>
    </row>
    <row r="25" spans="1:10" ht="11.25" customHeight="1" x14ac:dyDescent="0.3">
      <c r="A25" s="13" t="s">
        <v>264</v>
      </c>
      <c r="B25" s="14" t="s">
        <v>331</v>
      </c>
      <c r="C25" s="14" t="s">
        <v>36</v>
      </c>
      <c r="D25" s="14" t="s">
        <v>370</v>
      </c>
      <c r="E25" s="14" t="s">
        <v>434</v>
      </c>
      <c r="F25" s="14" t="s">
        <v>629</v>
      </c>
      <c r="G25" s="14">
        <v>2022</v>
      </c>
      <c r="H25" s="14" t="s">
        <v>348</v>
      </c>
      <c r="I25" s="14" t="s">
        <v>118</v>
      </c>
      <c r="J25" s="14" t="s">
        <v>372</v>
      </c>
    </row>
    <row r="26" spans="1:10" ht="11.25" customHeight="1" x14ac:dyDescent="0.3">
      <c r="A26" s="13" t="s">
        <v>500</v>
      </c>
      <c r="B26" s="14" t="s">
        <v>365</v>
      </c>
      <c r="C26" s="14" t="s">
        <v>32</v>
      </c>
      <c r="D26" s="14" t="s">
        <v>396</v>
      </c>
      <c r="E26" s="14" t="s">
        <v>446</v>
      </c>
      <c r="F26" s="14" t="s">
        <v>442</v>
      </c>
      <c r="G26" s="14">
        <v>2023</v>
      </c>
      <c r="H26" s="14" t="s">
        <v>385</v>
      </c>
      <c r="I26" s="14" t="s">
        <v>118</v>
      </c>
      <c r="J26" s="14" t="s">
        <v>371</v>
      </c>
    </row>
    <row r="27" spans="1:10" ht="11.25" customHeight="1" x14ac:dyDescent="0.3">
      <c r="A27" s="13" t="s">
        <v>282</v>
      </c>
      <c r="B27" s="14" t="s">
        <v>331</v>
      </c>
      <c r="C27" s="14" t="s">
        <v>27</v>
      </c>
      <c r="D27" s="14" t="s">
        <v>370</v>
      </c>
      <c r="E27" s="14" t="s">
        <v>439</v>
      </c>
      <c r="F27" s="14" t="s">
        <v>374</v>
      </c>
      <c r="G27" s="14">
        <v>2021</v>
      </c>
      <c r="H27" s="14" t="s">
        <v>385</v>
      </c>
      <c r="I27" s="14" t="s">
        <v>118</v>
      </c>
      <c r="J27" s="14" t="s">
        <v>372</v>
      </c>
    </row>
    <row r="28" spans="1:10" ht="11.25" customHeight="1" x14ac:dyDescent="0.3">
      <c r="A28" s="13" t="s">
        <v>291</v>
      </c>
      <c r="B28" s="14" t="s">
        <v>331</v>
      </c>
      <c r="C28" s="14" t="s">
        <v>37</v>
      </c>
      <c r="D28" s="14" t="s">
        <v>396</v>
      </c>
      <c r="E28" s="14" t="s">
        <v>437</v>
      </c>
      <c r="F28" s="14" t="s">
        <v>364</v>
      </c>
      <c r="G28" s="14">
        <v>2022</v>
      </c>
      <c r="H28" s="14" t="s">
        <v>385</v>
      </c>
      <c r="I28" s="14" t="s">
        <v>118</v>
      </c>
      <c r="J28" s="14" t="s">
        <v>371</v>
      </c>
    </row>
    <row r="29" spans="1:10" ht="11.25" customHeight="1" x14ac:dyDescent="0.3">
      <c r="A29" s="13" t="s">
        <v>276</v>
      </c>
      <c r="B29" s="14" t="s">
        <v>331</v>
      </c>
      <c r="C29" s="14" t="s">
        <v>29</v>
      </c>
      <c r="D29" s="14" t="s">
        <v>396</v>
      </c>
      <c r="E29" s="14" t="s">
        <v>437</v>
      </c>
      <c r="F29" s="14" t="s">
        <v>364</v>
      </c>
      <c r="G29" s="14">
        <v>2022</v>
      </c>
      <c r="H29" s="14" t="s">
        <v>385</v>
      </c>
      <c r="I29" s="14" t="s">
        <v>118</v>
      </c>
      <c r="J29" s="14" t="s">
        <v>371</v>
      </c>
    </row>
    <row r="30" spans="1:10" ht="11.25" customHeight="1" x14ac:dyDescent="0.3">
      <c r="A30" s="13" t="s">
        <v>568</v>
      </c>
      <c r="B30" s="14" t="s">
        <v>331</v>
      </c>
      <c r="C30" s="14" t="s">
        <v>17</v>
      </c>
      <c r="D30" s="14" t="s">
        <v>396</v>
      </c>
      <c r="E30" s="14" t="s">
        <v>435</v>
      </c>
      <c r="F30" s="14" t="s">
        <v>466</v>
      </c>
      <c r="G30" s="14">
        <v>2021</v>
      </c>
      <c r="H30" s="14" t="s">
        <v>385</v>
      </c>
      <c r="I30" s="14" t="s">
        <v>478</v>
      </c>
      <c r="J30" s="14" t="s">
        <v>371</v>
      </c>
    </row>
    <row r="31" spans="1:10" ht="11.25" customHeight="1" x14ac:dyDescent="0.3">
      <c r="A31" s="13" t="s">
        <v>270</v>
      </c>
      <c r="B31" s="14" t="s">
        <v>331</v>
      </c>
      <c r="C31" s="14" t="s">
        <v>38</v>
      </c>
      <c r="D31" s="14" t="s">
        <v>396</v>
      </c>
      <c r="E31" s="14" t="s">
        <v>435</v>
      </c>
      <c r="F31" s="14" t="s">
        <v>463</v>
      </c>
      <c r="G31" s="14">
        <v>2021</v>
      </c>
      <c r="H31" s="14" t="s">
        <v>348</v>
      </c>
      <c r="I31" s="14" t="s">
        <v>118</v>
      </c>
      <c r="J31" s="14" t="s">
        <v>371</v>
      </c>
    </row>
    <row r="32" spans="1:10" ht="11.25" customHeight="1" x14ac:dyDescent="0.3">
      <c r="A32" s="13" t="s">
        <v>265</v>
      </c>
      <c r="B32" s="14" t="s">
        <v>331</v>
      </c>
      <c r="C32" s="14" t="s">
        <v>33</v>
      </c>
      <c r="D32" s="14" t="s">
        <v>396</v>
      </c>
      <c r="E32" s="14" t="s">
        <v>435</v>
      </c>
      <c r="F32" s="14" t="s">
        <v>463</v>
      </c>
      <c r="G32" s="14">
        <v>2021</v>
      </c>
      <c r="H32" s="14" t="s">
        <v>348</v>
      </c>
      <c r="I32" s="14" t="s">
        <v>118</v>
      </c>
      <c r="J32" s="14" t="s">
        <v>371</v>
      </c>
    </row>
    <row r="33" spans="1:10" ht="11.25" customHeight="1" x14ac:dyDescent="0.3">
      <c r="A33" s="13" t="s">
        <v>262</v>
      </c>
      <c r="B33" s="14" t="s">
        <v>365</v>
      </c>
      <c r="C33" s="14" t="s">
        <v>30</v>
      </c>
      <c r="D33" s="14" t="s">
        <v>370</v>
      </c>
      <c r="E33" s="14" t="s">
        <v>434</v>
      </c>
      <c r="F33" s="14" t="s">
        <v>449</v>
      </c>
      <c r="G33" s="14">
        <v>2022</v>
      </c>
      <c r="H33" s="14" t="s">
        <v>348</v>
      </c>
      <c r="I33" s="14" t="s">
        <v>118</v>
      </c>
      <c r="J33" s="14" t="s">
        <v>372</v>
      </c>
    </row>
    <row r="34" spans="1:10" ht="11.25" customHeight="1" x14ac:dyDescent="0.3">
      <c r="A34" s="13" t="s">
        <v>572</v>
      </c>
      <c r="B34" s="14" t="s">
        <v>331</v>
      </c>
      <c r="C34" s="14" t="s">
        <v>31</v>
      </c>
      <c r="D34" s="14" t="s">
        <v>396</v>
      </c>
      <c r="E34" s="14" t="s">
        <v>437</v>
      </c>
      <c r="F34" s="14" t="s">
        <v>388</v>
      </c>
      <c r="G34" s="14">
        <v>2022</v>
      </c>
      <c r="H34" s="14" t="s">
        <v>385</v>
      </c>
      <c r="I34" s="14" t="s">
        <v>118</v>
      </c>
      <c r="J34" s="14" t="s">
        <v>371</v>
      </c>
    </row>
    <row r="35" spans="1:10" ht="11.25" customHeight="1" x14ac:dyDescent="0.3">
      <c r="A35" s="13" t="s">
        <v>306</v>
      </c>
      <c r="B35" s="14" t="s">
        <v>331</v>
      </c>
      <c r="C35" s="14" t="s">
        <v>18</v>
      </c>
      <c r="D35" s="14" t="s">
        <v>396</v>
      </c>
      <c r="E35" s="14" t="s">
        <v>437</v>
      </c>
      <c r="F35" s="14" t="s">
        <v>450</v>
      </c>
      <c r="G35" s="14">
        <v>2014</v>
      </c>
      <c r="H35" s="14" t="s">
        <v>348</v>
      </c>
      <c r="I35" s="14" t="s">
        <v>118</v>
      </c>
      <c r="J35" s="14" t="s">
        <v>371</v>
      </c>
    </row>
    <row r="36" spans="1:10" ht="11.25" customHeight="1" x14ac:dyDescent="0.3">
      <c r="A36" s="13" t="s">
        <v>272</v>
      </c>
      <c r="B36" s="14" t="s">
        <v>331</v>
      </c>
      <c r="C36" s="14" t="s">
        <v>25</v>
      </c>
      <c r="D36" s="14" t="s">
        <v>396</v>
      </c>
      <c r="E36" s="14" t="s">
        <v>437</v>
      </c>
      <c r="F36" s="14" t="s">
        <v>364</v>
      </c>
      <c r="G36" s="14">
        <v>2022</v>
      </c>
      <c r="H36" s="14" t="s">
        <v>385</v>
      </c>
      <c r="I36" s="14" t="s">
        <v>118</v>
      </c>
      <c r="J36" s="14" t="s">
        <v>371</v>
      </c>
    </row>
    <row r="37" spans="1:10" ht="11.25" customHeight="1" x14ac:dyDescent="0.3">
      <c r="A37" s="13" t="s">
        <v>260</v>
      </c>
      <c r="B37" s="14" t="s">
        <v>331</v>
      </c>
      <c r="C37" s="14" t="s">
        <v>22</v>
      </c>
      <c r="D37" s="14" t="s">
        <v>370</v>
      </c>
      <c r="E37" s="14" t="s">
        <v>439</v>
      </c>
      <c r="F37" s="14" t="s">
        <v>374</v>
      </c>
      <c r="G37" s="14">
        <v>2020</v>
      </c>
      <c r="H37" s="14" t="s">
        <v>385</v>
      </c>
      <c r="I37" s="14" t="s">
        <v>118</v>
      </c>
      <c r="J37" s="14" t="s">
        <v>372</v>
      </c>
    </row>
    <row r="38" spans="1:10" ht="11.25" customHeight="1" x14ac:dyDescent="0.3">
      <c r="A38" s="13" t="s">
        <v>571</v>
      </c>
      <c r="B38" s="14" t="s">
        <v>331</v>
      </c>
      <c r="C38" s="14" t="s">
        <v>615</v>
      </c>
      <c r="D38" s="14" t="s">
        <v>370</v>
      </c>
      <c r="E38" s="14" t="s">
        <v>439</v>
      </c>
      <c r="F38" s="14" t="s">
        <v>374</v>
      </c>
      <c r="G38" s="14">
        <v>2022</v>
      </c>
      <c r="H38" s="14" t="s">
        <v>120</v>
      </c>
      <c r="I38" s="14" t="s">
        <v>468</v>
      </c>
      <c r="J38" s="14" t="s">
        <v>372</v>
      </c>
    </row>
    <row r="39" spans="1:10" ht="11.25" customHeight="1" x14ac:dyDescent="0.3">
      <c r="A39" s="13" t="s">
        <v>548</v>
      </c>
      <c r="B39" s="14" t="s">
        <v>365</v>
      </c>
      <c r="C39" s="14" t="s">
        <v>21</v>
      </c>
      <c r="D39" s="14" t="s">
        <v>396</v>
      </c>
      <c r="E39" s="14" t="s">
        <v>437</v>
      </c>
      <c r="F39" s="14" t="s">
        <v>460</v>
      </c>
      <c r="G39" s="14">
        <v>2005</v>
      </c>
      <c r="H39" s="14" t="s">
        <v>385</v>
      </c>
      <c r="I39" s="14" t="s">
        <v>359</v>
      </c>
      <c r="J39" s="14" t="s">
        <v>371</v>
      </c>
    </row>
    <row r="40" spans="1:10" ht="11.25" customHeight="1" x14ac:dyDescent="0.3">
      <c r="A40" s="13" t="s">
        <v>501</v>
      </c>
      <c r="B40" s="14" t="s">
        <v>331</v>
      </c>
      <c r="C40" s="14" t="s">
        <v>13</v>
      </c>
      <c r="D40" s="14" t="s">
        <v>396</v>
      </c>
      <c r="E40" s="14" t="s">
        <v>446</v>
      </c>
      <c r="F40" s="14" t="s">
        <v>454</v>
      </c>
      <c r="G40" s="14">
        <v>2020</v>
      </c>
      <c r="H40" s="14" t="s">
        <v>348</v>
      </c>
      <c r="I40" s="14" t="s">
        <v>118</v>
      </c>
      <c r="J40" s="14" t="s">
        <v>371</v>
      </c>
    </row>
    <row r="41" spans="1:10" ht="11.25" customHeight="1" x14ac:dyDescent="0.3">
      <c r="A41" s="13" t="s">
        <v>544</v>
      </c>
      <c r="B41" s="14" t="s">
        <v>331</v>
      </c>
      <c r="C41" s="14" t="s">
        <v>20</v>
      </c>
      <c r="D41" s="14" t="s">
        <v>370</v>
      </c>
      <c r="E41" s="14" t="s">
        <v>457</v>
      </c>
      <c r="F41" s="14" t="s">
        <v>462</v>
      </c>
      <c r="G41" s="14">
        <v>2023</v>
      </c>
      <c r="H41" s="14" t="s">
        <v>385</v>
      </c>
      <c r="I41" s="14" t="s">
        <v>122</v>
      </c>
      <c r="J41" s="14" t="s">
        <v>371</v>
      </c>
    </row>
    <row r="42" spans="1:10" ht="11.25" customHeight="1" x14ac:dyDescent="0.3">
      <c r="A42" s="13" t="s">
        <v>569</v>
      </c>
      <c r="B42" s="14" t="s">
        <v>331</v>
      </c>
      <c r="C42" s="14" t="s">
        <v>15</v>
      </c>
      <c r="D42" s="14" t="s">
        <v>396</v>
      </c>
      <c r="E42" s="14" t="s">
        <v>437</v>
      </c>
      <c r="F42" s="14" t="s">
        <v>451</v>
      </c>
      <c r="G42" s="14">
        <v>2016</v>
      </c>
      <c r="H42" s="14" t="s">
        <v>385</v>
      </c>
      <c r="I42" s="14" t="s">
        <v>476</v>
      </c>
      <c r="J42" s="14" t="s">
        <v>371</v>
      </c>
    </row>
    <row r="43" spans="1:10" ht="11.25" customHeight="1" x14ac:dyDescent="0.3">
      <c r="A43" s="13" t="s">
        <v>505</v>
      </c>
      <c r="B43" s="14" t="s">
        <v>331</v>
      </c>
      <c r="C43" s="14" t="s">
        <v>23</v>
      </c>
      <c r="D43" s="14" t="s">
        <v>396</v>
      </c>
      <c r="E43" s="14" t="s">
        <v>446</v>
      </c>
      <c r="F43" s="14" t="s">
        <v>454</v>
      </c>
      <c r="G43" s="14">
        <v>2021</v>
      </c>
      <c r="H43" s="14" t="s">
        <v>348</v>
      </c>
      <c r="I43" s="14" t="s">
        <v>118</v>
      </c>
      <c r="J43" s="14" t="s">
        <v>371</v>
      </c>
    </row>
    <row r="44" spans="1:10" ht="11.25" customHeight="1" x14ac:dyDescent="0.3">
      <c r="A44" s="13" t="s">
        <v>573</v>
      </c>
      <c r="B44" s="14" t="s">
        <v>331</v>
      </c>
      <c r="C44" s="14" t="s">
        <v>611</v>
      </c>
      <c r="D44" s="14" t="s">
        <v>396</v>
      </c>
      <c r="E44" s="14" t="s">
        <v>437</v>
      </c>
      <c r="F44" s="14" t="s">
        <v>451</v>
      </c>
      <c r="G44" s="14">
        <v>2016</v>
      </c>
      <c r="H44" s="14" t="s">
        <v>385</v>
      </c>
      <c r="I44" s="14" t="s">
        <v>476</v>
      </c>
      <c r="J44" s="14" t="s">
        <v>371</v>
      </c>
    </row>
    <row r="45" spans="1:10" ht="11.25" customHeight="1" x14ac:dyDescent="0.3">
      <c r="A45" s="13" t="s">
        <v>294</v>
      </c>
      <c r="B45" s="14" t="s">
        <v>331</v>
      </c>
      <c r="C45" s="14" t="s">
        <v>14</v>
      </c>
      <c r="D45" s="14" t="s">
        <v>396</v>
      </c>
      <c r="E45" s="14" t="s">
        <v>437</v>
      </c>
      <c r="F45" s="14" t="s">
        <v>364</v>
      </c>
      <c r="G45" s="14">
        <v>2023</v>
      </c>
      <c r="H45" s="14" t="s">
        <v>348</v>
      </c>
      <c r="I45" s="14" t="s">
        <v>118</v>
      </c>
      <c r="J45" s="14" t="s">
        <v>371</v>
      </c>
    </row>
    <row r="46" spans="1:10" ht="11.25" customHeight="1" x14ac:dyDescent="0.3">
      <c r="A46" s="13" t="s">
        <v>277</v>
      </c>
      <c r="B46" s="14" t="s">
        <v>331</v>
      </c>
      <c r="C46" s="14" t="s">
        <v>606</v>
      </c>
      <c r="D46" s="14" t="s">
        <v>396</v>
      </c>
      <c r="E46" s="14" t="s">
        <v>437</v>
      </c>
      <c r="F46" s="14" t="s">
        <v>440</v>
      </c>
      <c r="G46" s="14">
        <v>2021</v>
      </c>
      <c r="H46" s="14" t="s">
        <v>385</v>
      </c>
      <c r="I46" s="14" t="s">
        <v>351</v>
      </c>
      <c r="J46" s="14" t="s">
        <v>371</v>
      </c>
    </row>
    <row r="47" spans="1:10" ht="11.25" customHeight="1" x14ac:dyDescent="0.3">
      <c r="A47" s="13" t="s">
        <v>312</v>
      </c>
      <c r="B47" s="14" t="s">
        <v>365</v>
      </c>
      <c r="C47" s="14" t="s">
        <v>24</v>
      </c>
      <c r="D47" s="14" t="s">
        <v>396</v>
      </c>
      <c r="E47" s="14" t="s">
        <v>446</v>
      </c>
      <c r="F47" s="14" t="s">
        <v>459</v>
      </c>
      <c r="G47" s="14">
        <v>2021</v>
      </c>
      <c r="H47" s="14" t="s">
        <v>385</v>
      </c>
      <c r="I47" s="14" t="s">
        <v>351</v>
      </c>
      <c r="J47" s="14" t="s">
        <v>371</v>
      </c>
    </row>
    <row r="48" spans="1:10" ht="11.25" customHeight="1" x14ac:dyDescent="0.3">
      <c r="A48" s="13" t="s">
        <v>261</v>
      </c>
      <c r="B48" s="14" t="s">
        <v>365</v>
      </c>
      <c r="C48" s="14" t="s">
        <v>604</v>
      </c>
      <c r="D48" s="14" t="s">
        <v>396</v>
      </c>
      <c r="E48" s="14" t="s">
        <v>446</v>
      </c>
      <c r="F48" s="14" t="s">
        <v>459</v>
      </c>
      <c r="G48" s="14">
        <v>2022</v>
      </c>
      <c r="H48" s="14" t="s">
        <v>385</v>
      </c>
      <c r="I48" s="14" t="s">
        <v>351</v>
      </c>
      <c r="J48" s="14" t="s">
        <v>371</v>
      </c>
    </row>
    <row r="49" spans="1:10" ht="11.25" customHeight="1" x14ac:dyDescent="0.3">
      <c r="A49" s="13" t="s">
        <v>582</v>
      </c>
      <c r="B49" s="14" t="s">
        <v>331</v>
      </c>
      <c r="C49" s="14" t="s">
        <v>16</v>
      </c>
      <c r="D49" s="14" t="s">
        <v>396</v>
      </c>
      <c r="E49" s="14" t="s">
        <v>437</v>
      </c>
      <c r="F49" s="14" t="s">
        <v>438</v>
      </c>
      <c r="G49" s="14">
        <v>2019</v>
      </c>
      <c r="H49" s="14" t="s">
        <v>348</v>
      </c>
      <c r="I49" s="14" t="s">
        <v>118</v>
      </c>
      <c r="J49" s="14" t="s">
        <v>371</v>
      </c>
    </row>
    <row r="50" spans="1:10" ht="11.25" customHeight="1" x14ac:dyDescent="0.3">
      <c r="A50" s="13" t="s">
        <v>584</v>
      </c>
      <c r="B50" s="14" t="s">
        <v>331</v>
      </c>
      <c r="C50" s="14" t="s">
        <v>612</v>
      </c>
      <c r="D50" s="14" t="s">
        <v>396</v>
      </c>
      <c r="E50" s="14" t="s">
        <v>437</v>
      </c>
      <c r="F50" s="14" t="s">
        <v>450</v>
      </c>
      <c r="G50" s="14">
        <v>2012</v>
      </c>
      <c r="H50" s="14" t="s">
        <v>385</v>
      </c>
      <c r="I50" s="14" t="s">
        <v>118</v>
      </c>
      <c r="J50" s="14" t="s">
        <v>371</v>
      </c>
    </row>
    <row r="51" spans="1:10" ht="11.25" customHeight="1" x14ac:dyDescent="0.3">
      <c r="A51" s="13" t="s">
        <v>285</v>
      </c>
      <c r="B51" s="14" t="s">
        <v>331</v>
      </c>
      <c r="C51" s="14" t="s">
        <v>608</v>
      </c>
      <c r="D51" s="14" t="s">
        <v>370</v>
      </c>
      <c r="E51" s="14" t="s">
        <v>439</v>
      </c>
      <c r="F51" s="14" t="s">
        <v>374</v>
      </c>
      <c r="G51" s="14">
        <v>2023</v>
      </c>
      <c r="H51" s="14" t="s">
        <v>120</v>
      </c>
      <c r="I51" s="14" t="s">
        <v>468</v>
      </c>
      <c r="J51" s="14" t="s">
        <v>372</v>
      </c>
    </row>
    <row r="52" spans="1:10" ht="11.25" customHeight="1" x14ac:dyDescent="0.3">
      <c r="A52" s="13" t="s">
        <v>583</v>
      </c>
      <c r="B52" s="14" t="s">
        <v>331</v>
      </c>
      <c r="C52" s="14" t="s">
        <v>616</v>
      </c>
      <c r="D52" s="14" t="s">
        <v>396</v>
      </c>
      <c r="E52" s="14" t="s">
        <v>437</v>
      </c>
      <c r="F52" s="14" t="s">
        <v>448</v>
      </c>
      <c r="G52" s="14">
        <v>2014</v>
      </c>
      <c r="H52" s="14" t="s">
        <v>348</v>
      </c>
      <c r="I52" s="14" t="s">
        <v>118</v>
      </c>
      <c r="J52" s="14" t="s">
        <v>371</v>
      </c>
    </row>
    <row r="53" spans="1:10" ht="11.25" customHeight="1" x14ac:dyDescent="0.3">
      <c r="A53" s="13" t="s">
        <v>278</v>
      </c>
      <c r="B53" s="14" t="s">
        <v>331</v>
      </c>
      <c r="C53" s="14" t="s">
        <v>602</v>
      </c>
      <c r="D53" s="14" t="s">
        <v>396</v>
      </c>
      <c r="E53" s="14" t="s">
        <v>437</v>
      </c>
      <c r="F53" s="14" t="s">
        <v>452</v>
      </c>
      <c r="G53" s="14">
        <v>2022</v>
      </c>
      <c r="H53" s="14" t="s">
        <v>385</v>
      </c>
      <c r="I53" s="14" t="s">
        <v>118</v>
      </c>
      <c r="J53" s="14" t="s">
        <v>371</v>
      </c>
    </row>
    <row r="54" spans="1:10" ht="11.25" customHeight="1" x14ac:dyDescent="0.3">
      <c r="A54" s="13" t="s">
        <v>575</v>
      </c>
      <c r="B54" s="14" t="s">
        <v>331</v>
      </c>
      <c r="C54" s="14" t="s">
        <v>607</v>
      </c>
      <c r="D54" s="14" t="s">
        <v>396</v>
      </c>
      <c r="E54" s="14" t="s">
        <v>437</v>
      </c>
      <c r="F54" s="14" t="s">
        <v>364</v>
      </c>
      <c r="G54" s="14">
        <v>2023</v>
      </c>
      <c r="H54" s="14" t="s">
        <v>385</v>
      </c>
      <c r="I54" s="14" t="s">
        <v>118</v>
      </c>
      <c r="J54" s="14" t="s">
        <v>371</v>
      </c>
    </row>
    <row r="55" spans="1:10" ht="11.25" customHeight="1" x14ac:dyDescent="0.3">
      <c r="A55" s="13" t="s">
        <v>493</v>
      </c>
      <c r="B55" s="14" t="s">
        <v>331</v>
      </c>
      <c r="C55" s="14" t="s">
        <v>623</v>
      </c>
      <c r="D55" s="14" t="s">
        <v>396</v>
      </c>
      <c r="E55" s="14" t="s">
        <v>437</v>
      </c>
      <c r="F55" s="14" t="s">
        <v>452</v>
      </c>
      <c r="G55" s="14">
        <v>2022</v>
      </c>
      <c r="H55" s="14" t="s">
        <v>385</v>
      </c>
      <c r="I55" s="14" t="s">
        <v>351</v>
      </c>
      <c r="J55" s="14" t="s">
        <v>371</v>
      </c>
    </row>
    <row r="56" spans="1:10" ht="11.25" customHeight="1" x14ac:dyDescent="0.3">
      <c r="A56" s="13" t="s">
        <v>581</v>
      </c>
      <c r="B56" s="14" t="s">
        <v>331</v>
      </c>
      <c r="C56" s="14" t="s">
        <v>605</v>
      </c>
      <c r="D56" s="14" t="s">
        <v>396</v>
      </c>
      <c r="E56" s="14" t="s">
        <v>437</v>
      </c>
      <c r="F56" s="14" t="s">
        <v>448</v>
      </c>
      <c r="G56" s="14">
        <v>2015</v>
      </c>
      <c r="H56" s="14" t="s">
        <v>348</v>
      </c>
      <c r="I56" s="14" t="s">
        <v>118</v>
      </c>
      <c r="J56" s="14" t="s">
        <v>371</v>
      </c>
    </row>
    <row r="57" spans="1:10" ht="11.25" customHeight="1" x14ac:dyDescent="0.3">
      <c r="A57" s="13" t="s">
        <v>305</v>
      </c>
      <c r="B57" s="14" t="s">
        <v>365</v>
      </c>
      <c r="C57" s="14" t="s">
        <v>621</v>
      </c>
      <c r="D57" s="14" t="s">
        <v>396</v>
      </c>
      <c r="E57" s="14" t="s">
        <v>446</v>
      </c>
      <c r="F57" s="14" t="s">
        <v>422</v>
      </c>
      <c r="G57" s="14">
        <v>2023</v>
      </c>
      <c r="H57" s="14" t="s">
        <v>385</v>
      </c>
      <c r="I57" s="14" t="s">
        <v>122</v>
      </c>
      <c r="J57" s="14" t="s">
        <v>371</v>
      </c>
    </row>
    <row r="58" spans="1:10" ht="11.25" customHeight="1" x14ac:dyDescent="0.3">
      <c r="A58" s="13" t="s">
        <v>589</v>
      </c>
      <c r="B58" s="14" t="s">
        <v>331</v>
      </c>
      <c r="C58" s="14" t="s">
        <v>613</v>
      </c>
      <c r="D58" s="14" t="s">
        <v>396</v>
      </c>
      <c r="E58" s="14" t="s">
        <v>437</v>
      </c>
      <c r="F58" s="14" t="s">
        <v>448</v>
      </c>
      <c r="G58" s="14">
        <v>2016</v>
      </c>
      <c r="H58" s="14" t="s">
        <v>348</v>
      </c>
      <c r="I58" s="14" t="s">
        <v>118</v>
      </c>
      <c r="J58" s="14" t="s">
        <v>371</v>
      </c>
    </row>
    <row r="59" spans="1:10" ht="11.25" customHeight="1" x14ac:dyDescent="0.3">
      <c r="A59" s="13" t="s">
        <v>585</v>
      </c>
      <c r="B59" s="14" t="s">
        <v>331</v>
      </c>
      <c r="C59" s="14" t="s">
        <v>603</v>
      </c>
      <c r="D59" s="14" t="s">
        <v>396</v>
      </c>
      <c r="E59" s="14" t="s">
        <v>437</v>
      </c>
      <c r="F59" s="14" t="s">
        <v>452</v>
      </c>
      <c r="G59" s="14">
        <v>2011</v>
      </c>
      <c r="H59" s="14" t="s">
        <v>348</v>
      </c>
      <c r="I59" s="14" t="s">
        <v>118</v>
      </c>
      <c r="J59" s="14" t="s">
        <v>371</v>
      </c>
    </row>
    <row r="60" spans="1:10" ht="11.25" customHeight="1" x14ac:dyDescent="0.3">
      <c r="A60" s="13" t="s">
        <v>281</v>
      </c>
      <c r="B60" s="14" t="s">
        <v>331</v>
      </c>
      <c r="C60" s="14" t="s">
        <v>610</v>
      </c>
      <c r="D60" s="14" t="s">
        <v>370</v>
      </c>
      <c r="E60" s="14" t="s">
        <v>461</v>
      </c>
      <c r="F60" s="14" t="s">
        <v>448</v>
      </c>
      <c r="G60" s="14">
        <v>2023</v>
      </c>
      <c r="H60" s="14" t="s">
        <v>385</v>
      </c>
      <c r="I60" s="14" t="s">
        <v>351</v>
      </c>
      <c r="J60" s="14" t="s">
        <v>372</v>
      </c>
    </row>
    <row r="61" spans="1:10" ht="11.25" customHeight="1" x14ac:dyDescent="0.3">
      <c r="A61" s="13" t="s">
        <v>579</v>
      </c>
      <c r="B61" s="14" t="s">
        <v>331</v>
      </c>
      <c r="C61" s="14" t="s">
        <v>609</v>
      </c>
      <c r="D61" s="14" t="s">
        <v>370</v>
      </c>
      <c r="E61" s="14" t="s">
        <v>439</v>
      </c>
      <c r="F61" s="14" t="s">
        <v>462</v>
      </c>
      <c r="G61" s="14">
        <v>2023</v>
      </c>
      <c r="H61" s="14" t="s">
        <v>385</v>
      </c>
      <c r="I61" s="14" t="s">
        <v>122</v>
      </c>
      <c r="J61" s="14" t="s">
        <v>372</v>
      </c>
    </row>
    <row r="62" spans="1:10" ht="11.25" customHeight="1" x14ac:dyDescent="0.3">
      <c r="A62" s="13" t="s">
        <v>497</v>
      </c>
      <c r="B62" s="14" t="s">
        <v>331</v>
      </c>
      <c r="C62" s="14" t="s">
        <v>630</v>
      </c>
      <c r="D62" s="14" t="s">
        <v>370</v>
      </c>
      <c r="E62" s="14" t="s">
        <v>439</v>
      </c>
      <c r="F62" s="14" t="s">
        <v>374</v>
      </c>
      <c r="G62" s="14">
        <v>2023</v>
      </c>
      <c r="H62" s="14" t="s">
        <v>348</v>
      </c>
      <c r="I62" s="14" t="s">
        <v>468</v>
      </c>
      <c r="J62" s="14" t="s">
        <v>372</v>
      </c>
    </row>
    <row r="63" spans="1:10" ht="11.25" customHeight="1" x14ac:dyDescent="0.3">
      <c r="A63" s="13" t="s">
        <v>91</v>
      </c>
      <c r="B63" s="14" t="s">
        <v>331</v>
      </c>
      <c r="C63" s="14" t="s">
        <v>617</v>
      </c>
      <c r="D63" s="14" t="s">
        <v>396</v>
      </c>
      <c r="E63" s="14" t="s">
        <v>446</v>
      </c>
      <c r="F63" s="14" t="s">
        <v>388</v>
      </c>
      <c r="G63" s="14">
        <v>2022</v>
      </c>
      <c r="H63" s="14" t="s">
        <v>385</v>
      </c>
      <c r="I63" s="14" t="s">
        <v>118</v>
      </c>
      <c r="J63" s="14" t="s">
        <v>371</v>
      </c>
    </row>
    <row r="64" spans="1:10" ht="11.25" customHeight="1" x14ac:dyDescent="0.3">
      <c r="A64" s="13" t="s">
        <v>315</v>
      </c>
      <c r="B64" s="14" t="s">
        <v>365</v>
      </c>
      <c r="C64" s="14" t="s">
        <v>619</v>
      </c>
      <c r="D64" s="14" t="s">
        <v>396</v>
      </c>
      <c r="E64" s="14" t="s">
        <v>446</v>
      </c>
      <c r="F64" s="14" t="s">
        <v>350</v>
      </c>
      <c r="G64" s="14">
        <v>2023</v>
      </c>
      <c r="H64" s="14" t="s">
        <v>348</v>
      </c>
      <c r="I64" s="14" t="s">
        <v>118</v>
      </c>
      <c r="J64" s="14" t="s">
        <v>371</v>
      </c>
    </row>
    <row r="65" spans="1:10" ht="11.25" customHeight="1" x14ac:dyDescent="0.3">
      <c r="A65" s="13" t="s">
        <v>587</v>
      </c>
      <c r="B65" s="14" t="s">
        <v>331</v>
      </c>
      <c r="C65" s="14" t="s">
        <v>614</v>
      </c>
      <c r="D65" s="14" t="s">
        <v>396</v>
      </c>
      <c r="E65" s="14" t="s">
        <v>446</v>
      </c>
      <c r="F65" s="14" t="s">
        <v>361</v>
      </c>
      <c r="G65" s="14">
        <v>2023</v>
      </c>
      <c r="H65" s="14" t="s">
        <v>348</v>
      </c>
      <c r="I65" s="14" t="s">
        <v>468</v>
      </c>
      <c r="J65" s="14" t="s">
        <v>371</v>
      </c>
    </row>
    <row r="66" spans="1:10" ht="11.25" customHeight="1" x14ac:dyDescent="0.3">
      <c r="A66" s="13" t="s">
        <v>496</v>
      </c>
      <c r="B66" s="14" t="s">
        <v>331</v>
      </c>
      <c r="C66" s="14" t="s">
        <v>626</v>
      </c>
      <c r="D66" s="14" t="s">
        <v>370</v>
      </c>
      <c r="E66" s="14" t="s">
        <v>439</v>
      </c>
      <c r="F66" s="14" t="s">
        <v>465</v>
      </c>
      <c r="G66" s="14">
        <v>2023</v>
      </c>
      <c r="H66" s="14" t="s">
        <v>348</v>
      </c>
      <c r="I66" s="14" t="s">
        <v>118</v>
      </c>
      <c r="J66" s="14" t="s">
        <v>372</v>
      </c>
    </row>
    <row r="67" spans="1:10" ht="11.25" customHeight="1" x14ac:dyDescent="0.3">
      <c r="A67" s="13" t="s">
        <v>123</v>
      </c>
      <c r="B67" s="14" t="s">
        <v>331</v>
      </c>
      <c r="C67" s="14" t="s">
        <v>624</v>
      </c>
      <c r="D67" s="14" t="s">
        <v>370</v>
      </c>
      <c r="E67" s="14" t="s">
        <v>439</v>
      </c>
      <c r="F67" s="14" t="s">
        <v>172</v>
      </c>
      <c r="G67" s="14">
        <v>2023</v>
      </c>
      <c r="H67" s="14" t="s">
        <v>385</v>
      </c>
      <c r="I67" s="14" t="s">
        <v>118</v>
      </c>
      <c r="J67" s="14" t="s">
        <v>372</v>
      </c>
    </row>
    <row r="68" spans="1:10" ht="11.25" customHeight="1" x14ac:dyDescent="0.3">
      <c r="A68" s="13" t="s">
        <v>625</v>
      </c>
      <c r="B68" s="14" t="s">
        <v>331</v>
      </c>
      <c r="C68" s="14" t="s">
        <v>627</v>
      </c>
      <c r="D68" s="14" t="s">
        <v>370</v>
      </c>
      <c r="E68" s="14" t="s">
        <v>461</v>
      </c>
      <c r="F68" s="14" t="s">
        <v>121</v>
      </c>
      <c r="G68" s="14">
        <v>2023</v>
      </c>
      <c r="H68" s="14" t="s">
        <v>385</v>
      </c>
      <c r="I68" s="14" t="s">
        <v>118</v>
      </c>
      <c r="J68" s="14" t="s">
        <v>372</v>
      </c>
    </row>
    <row r="69" spans="1:10" ht="11.25" customHeight="1" x14ac:dyDescent="0.3">
      <c r="A69" s="13" t="s">
        <v>477</v>
      </c>
      <c r="B69" s="14" t="s">
        <v>365</v>
      </c>
      <c r="C69" s="14" t="s">
        <v>216</v>
      </c>
      <c r="D69" s="14" t="s">
        <v>396</v>
      </c>
      <c r="E69" s="14" t="s">
        <v>437</v>
      </c>
      <c r="F69" s="14" t="s">
        <v>444</v>
      </c>
      <c r="G69" s="14">
        <v>2020</v>
      </c>
      <c r="H69" s="14" t="s">
        <v>385</v>
      </c>
      <c r="I69" s="14" t="s">
        <v>351</v>
      </c>
      <c r="J69" s="14" t="s">
        <v>371</v>
      </c>
    </row>
    <row r="70" spans="1:10" ht="11.25" customHeight="1" x14ac:dyDescent="0.3">
      <c r="A70" s="13" t="s">
        <v>469</v>
      </c>
      <c r="B70" s="14" t="s">
        <v>365</v>
      </c>
      <c r="C70" s="14" t="s">
        <v>210</v>
      </c>
      <c r="D70" s="14" t="s">
        <v>396</v>
      </c>
      <c r="E70" s="14" t="s">
        <v>437</v>
      </c>
      <c r="F70" s="14" t="s">
        <v>444</v>
      </c>
      <c r="G70" s="14">
        <v>2020</v>
      </c>
      <c r="H70" s="14" t="s">
        <v>385</v>
      </c>
      <c r="I70" s="14" t="s">
        <v>351</v>
      </c>
      <c r="J70" s="14" t="s">
        <v>371</v>
      </c>
    </row>
    <row r="71" spans="1:10" ht="11.25" customHeight="1" x14ac:dyDescent="0.3">
      <c r="A71" s="13" t="s">
        <v>472</v>
      </c>
      <c r="B71" s="14" t="s">
        <v>365</v>
      </c>
      <c r="C71" s="14" t="s">
        <v>207</v>
      </c>
      <c r="D71" s="14" t="s">
        <v>396</v>
      </c>
      <c r="E71" s="14" t="s">
        <v>437</v>
      </c>
      <c r="F71" s="14" t="s">
        <v>444</v>
      </c>
      <c r="G71" s="14">
        <v>2020</v>
      </c>
      <c r="H71" s="14" t="s">
        <v>385</v>
      </c>
      <c r="I71" s="14" t="s">
        <v>351</v>
      </c>
      <c r="J71" s="14" t="s">
        <v>371</v>
      </c>
    </row>
    <row r="72" spans="1:10" ht="11.25" customHeight="1" x14ac:dyDescent="0.3">
      <c r="A72" s="13" t="s">
        <v>220</v>
      </c>
      <c r="B72" s="14" t="s">
        <v>365</v>
      </c>
      <c r="C72" s="14" t="s">
        <v>217</v>
      </c>
      <c r="D72" s="14" t="s">
        <v>396</v>
      </c>
      <c r="E72" s="14" t="s">
        <v>437</v>
      </c>
      <c r="F72" s="14" t="s">
        <v>470</v>
      </c>
      <c r="G72" s="14">
        <v>2022</v>
      </c>
      <c r="H72" s="14" t="s">
        <v>385</v>
      </c>
      <c r="I72" s="14" t="s">
        <v>122</v>
      </c>
      <c r="J72" s="14" t="s">
        <v>371</v>
      </c>
    </row>
    <row r="73" spans="1:10" ht="11.25" customHeight="1" x14ac:dyDescent="0.3">
      <c r="A73" s="13" t="s">
        <v>229</v>
      </c>
      <c r="B73" s="14" t="s">
        <v>331</v>
      </c>
      <c r="C73" s="14" t="s">
        <v>206</v>
      </c>
      <c r="D73" s="14" t="s">
        <v>396</v>
      </c>
      <c r="E73" s="14" t="s">
        <v>437</v>
      </c>
      <c r="F73" s="14" t="s">
        <v>445</v>
      </c>
      <c r="G73" s="14">
        <v>2023</v>
      </c>
      <c r="H73" s="14" t="s">
        <v>385</v>
      </c>
      <c r="I73" s="14" t="s">
        <v>118</v>
      </c>
      <c r="J73" s="14" t="s">
        <v>371</v>
      </c>
    </row>
    <row r="74" spans="1:10" ht="11.25" customHeight="1" x14ac:dyDescent="0.3">
      <c r="A74" s="13" t="s">
        <v>214</v>
      </c>
      <c r="B74" s="14" t="s">
        <v>331</v>
      </c>
      <c r="C74" s="14" t="s">
        <v>223</v>
      </c>
      <c r="D74" s="14" t="s">
        <v>396</v>
      </c>
      <c r="E74" s="14" t="s">
        <v>437</v>
      </c>
      <c r="F74" s="14" t="s">
        <v>445</v>
      </c>
      <c r="G74" s="14">
        <v>2022</v>
      </c>
      <c r="H74" s="14" t="s">
        <v>385</v>
      </c>
      <c r="I74" s="14" t="s">
        <v>351</v>
      </c>
      <c r="J74" s="14" t="s">
        <v>371</v>
      </c>
    </row>
    <row r="75" spans="1:10" ht="11.25" customHeight="1" x14ac:dyDescent="0.3">
      <c r="A75" s="13" t="s">
        <v>480</v>
      </c>
      <c r="B75" s="14" t="s">
        <v>331</v>
      </c>
      <c r="C75" s="14" t="s">
        <v>222</v>
      </c>
      <c r="D75" s="14" t="s">
        <v>396</v>
      </c>
      <c r="E75" s="14" t="s">
        <v>437</v>
      </c>
      <c r="F75" s="14" t="s">
        <v>471</v>
      </c>
      <c r="G75" s="14">
        <v>2023</v>
      </c>
      <c r="H75" s="14" t="s">
        <v>385</v>
      </c>
      <c r="I75" s="14" t="s">
        <v>351</v>
      </c>
      <c r="J75" s="14" t="s">
        <v>371</v>
      </c>
    </row>
    <row r="76" spans="1:10" ht="11.25" customHeight="1" x14ac:dyDescent="0.3">
      <c r="A76" s="13" t="s">
        <v>464</v>
      </c>
      <c r="B76" s="14" t="s">
        <v>365</v>
      </c>
      <c r="C76" s="14" t="s">
        <v>228</v>
      </c>
      <c r="D76" s="14" t="s">
        <v>396</v>
      </c>
      <c r="E76" s="14" t="s">
        <v>437</v>
      </c>
      <c r="F76" s="14" t="s">
        <v>137</v>
      </c>
      <c r="G76" s="14">
        <v>2021</v>
      </c>
      <c r="H76" s="14" t="s">
        <v>385</v>
      </c>
      <c r="I76" s="14" t="s">
        <v>351</v>
      </c>
      <c r="J76" s="14" t="s">
        <v>371</v>
      </c>
    </row>
    <row r="77" spans="1:10" ht="11.25" customHeight="1" x14ac:dyDescent="0.3">
      <c r="A77" s="13" t="s">
        <v>144</v>
      </c>
      <c r="B77" s="14" t="s">
        <v>331</v>
      </c>
      <c r="C77" s="14" t="s">
        <v>224</v>
      </c>
      <c r="D77" s="14" t="s">
        <v>396</v>
      </c>
      <c r="E77" s="14" t="s">
        <v>437</v>
      </c>
      <c r="F77" s="14" t="s">
        <v>381</v>
      </c>
      <c r="G77" s="14">
        <v>2021</v>
      </c>
      <c r="H77" s="14" t="s">
        <v>385</v>
      </c>
      <c r="I77" s="14" t="s">
        <v>351</v>
      </c>
      <c r="J77" s="14" t="s">
        <v>371</v>
      </c>
    </row>
    <row r="78" spans="1:10" ht="11.25" customHeight="1" x14ac:dyDescent="0.3">
      <c r="A78" s="13" t="s">
        <v>125</v>
      </c>
      <c r="B78" s="14" t="s">
        <v>365</v>
      </c>
      <c r="C78" s="14" t="s">
        <v>227</v>
      </c>
      <c r="D78" s="14" t="s">
        <v>396</v>
      </c>
      <c r="E78" s="14" t="s">
        <v>437</v>
      </c>
      <c r="F78" s="14" t="s">
        <v>137</v>
      </c>
      <c r="G78" s="14">
        <v>2021</v>
      </c>
      <c r="H78" s="14" t="s">
        <v>385</v>
      </c>
      <c r="I78" s="14" t="s">
        <v>122</v>
      </c>
      <c r="J78" s="14" t="s">
        <v>371</v>
      </c>
    </row>
    <row r="79" spans="1:10" ht="11.25" customHeight="1" x14ac:dyDescent="0.3">
      <c r="A79" s="13" t="s">
        <v>140</v>
      </c>
      <c r="B79" s="14" t="s">
        <v>331</v>
      </c>
      <c r="C79" s="14" t="s">
        <v>225</v>
      </c>
      <c r="D79" s="14" t="s">
        <v>396</v>
      </c>
      <c r="E79" s="14" t="s">
        <v>437</v>
      </c>
      <c r="F79" s="14" t="s">
        <v>381</v>
      </c>
      <c r="G79" s="14">
        <v>2018</v>
      </c>
      <c r="H79" s="14" t="s">
        <v>385</v>
      </c>
      <c r="I79" s="14" t="s">
        <v>351</v>
      </c>
      <c r="J79" s="14" t="s">
        <v>371</v>
      </c>
    </row>
    <row r="80" spans="1:10" ht="11.25" customHeight="1" x14ac:dyDescent="0.3">
      <c r="A80" s="13" t="s">
        <v>143</v>
      </c>
      <c r="B80" s="14" t="s">
        <v>331</v>
      </c>
      <c r="C80" s="14" t="s">
        <v>230</v>
      </c>
      <c r="D80" s="14" t="s">
        <v>370</v>
      </c>
      <c r="E80" s="14" t="s">
        <v>461</v>
      </c>
      <c r="F80" s="14" t="s">
        <v>382</v>
      </c>
      <c r="G80" s="14">
        <v>2023</v>
      </c>
      <c r="H80" s="14" t="s">
        <v>348</v>
      </c>
      <c r="I80" s="14" t="s">
        <v>118</v>
      </c>
      <c r="J80" s="14" t="s">
        <v>372</v>
      </c>
    </row>
    <row r="81" spans="1:10" ht="11.25" customHeight="1" x14ac:dyDescent="0.3">
      <c r="A81" s="13" t="s">
        <v>509</v>
      </c>
      <c r="B81" s="14" t="s">
        <v>365</v>
      </c>
      <c r="C81" s="14" t="s">
        <v>237</v>
      </c>
      <c r="D81" s="14" t="s">
        <v>396</v>
      </c>
      <c r="E81" s="14" t="s">
        <v>437</v>
      </c>
      <c r="F81" s="14" t="s">
        <v>381</v>
      </c>
      <c r="G81" s="14">
        <v>2021</v>
      </c>
      <c r="H81" s="14" t="s">
        <v>385</v>
      </c>
      <c r="I81" s="14" t="s">
        <v>351</v>
      </c>
      <c r="J81" s="14" t="s">
        <v>371</v>
      </c>
    </row>
    <row r="82" spans="1:10" ht="11.25" customHeight="1" x14ac:dyDescent="0.3">
      <c r="A82" s="13" t="s">
        <v>150</v>
      </c>
      <c r="B82" s="14" t="s">
        <v>365</v>
      </c>
      <c r="C82" s="14" t="s">
        <v>249</v>
      </c>
      <c r="D82" s="14" t="s">
        <v>396</v>
      </c>
      <c r="E82" s="14" t="s">
        <v>437</v>
      </c>
      <c r="F82" s="14" t="s">
        <v>126</v>
      </c>
      <c r="G82" s="14">
        <v>2021</v>
      </c>
      <c r="H82" s="14" t="s">
        <v>385</v>
      </c>
      <c r="I82" s="14" t="s">
        <v>351</v>
      </c>
      <c r="J82" s="14" t="s">
        <v>371</v>
      </c>
    </row>
    <row r="83" spans="1:10" ht="11.25" customHeight="1" x14ac:dyDescent="0.3">
      <c r="A83" s="13" t="s">
        <v>517</v>
      </c>
      <c r="B83" s="14" t="s">
        <v>331</v>
      </c>
      <c r="C83" s="14" t="s">
        <v>246</v>
      </c>
      <c r="D83" s="14" t="s">
        <v>370</v>
      </c>
      <c r="E83" s="14" t="s">
        <v>439</v>
      </c>
      <c r="F83" s="14" t="s">
        <v>374</v>
      </c>
      <c r="G83" s="14">
        <v>2024</v>
      </c>
      <c r="H83" s="14" t="s">
        <v>348</v>
      </c>
      <c r="I83" s="14" t="s">
        <v>468</v>
      </c>
      <c r="J83" s="14" t="s">
        <v>372</v>
      </c>
    </row>
    <row r="84" spans="1:10" ht="11.25" customHeight="1" x14ac:dyDescent="0.3">
      <c r="A84" s="13" t="s">
        <v>90</v>
      </c>
      <c r="B84" s="14" t="s">
        <v>331</v>
      </c>
      <c r="C84" s="14" t="s">
        <v>252</v>
      </c>
      <c r="D84" s="14" t="s">
        <v>396</v>
      </c>
      <c r="E84" s="14" t="s">
        <v>437</v>
      </c>
      <c r="F84" s="14" t="s">
        <v>459</v>
      </c>
      <c r="G84" s="14">
        <v>2023</v>
      </c>
      <c r="H84" s="14" t="s">
        <v>385</v>
      </c>
      <c r="I84" s="14" t="s">
        <v>351</v>
      </c>
      <c r="J84" s="14" t="s">
        <v>371</v>
      </c>
    </row>
    <row r="85" spans="1:10" ht="11.25" customHeight="1" x14ac:dyDescent="0.3">
      <c r="A85" s="13" t="s">
        <v>250</v>
      </c>
      <c r="B85" s="14" t="s">
        <v>331</v>
      </c>
      <c r="C85" s="14" t="s">
        <v>241</v>
      </c>
      <c r="D85" s="14" t="s">
        <v>396</v>
      </c>
      <c r="E85" s="14" t="s">
        <v>437</v>
      </c>
      <c r="F85" s="14" t="s">
        <v>448</v>
      </c>
      <c r="G85" s="14">
        <v>2022</v>
      </c>
      <c r="H85" s="14" t="s">
        <v>348</v>
      </c>
      <c r="I85" s="14" t="s">
        <v>118</v>
      </c>
      <c r="J85" s="14" t="s">
        <v>371</v>
      </c>
    </row>
    <row r="86" spans="1:10" ht="11.25" customHeight="1" x14ac:dyDescent="0.3">
      <c r="A86" s="13" t="s">
        <v>521</v>
      </c>
      <c r="B86" s="14" t="s">
        <v>331</v>
      </c>
      <c r="C86" s="14" t="s">
        <v>239</v>
      </c>
      <c r="D86" s="14" t="s">
        <v>396</v>
      </c>
      <c r="E86" s="14" t="s">
        <v>437</v>
      </c>
      <c r="F86" s="14" t="s">
        <v>459</v>
      </c>
      <c r="G86" s="14">
        <v>2023</v>
      </c>
      <c r="H86" s="14" t="s">
        <v>385</v>
      </c>
      <c r="I86" s="14" t="s">
        <v>351</v>
      </c>
      <c r="J86" s="14" t="s">
        <v>371</v>
      </c>
    </row>
    <row r="87" spans="1:10" ht="11.25" customHeight="1" x14ac:dyDescent="0.3">
      <c r="A87" s="13" t="s">
        <v>132</v>
      </c>
      <c r="B87" s="14" t="s">
        <v>331</v>
      </c>
      <c r="C87" s="14" t="s">
        <v>242</v>
      </c>
      <c r="D87" s="14" t="s">
        <v>396</v>
      </c>
      <c r="E87" s="14" t="s">
        <v>437</v>
      </c>
      <c r="F87" s="14" t="s">
        <v>393</v>
      </c>
      <c r="G87" s="14">
        <v>2021</v>
      </c>
      <c r="H87" s="14" t="s">
        <v>385</v>
      </c>
      <c r="I87" s="14" t="s">
        <v>351</v>
      </c>
      <c r="J87" s="14" t="s">
        <v>371</v>
      </c>
    </row>
    <row r="88" spans="1:10" ht="11.25" customHeight="1" x14ac:dyDescent="0.3">
      <c r="A88" s="13" t="s">
        <v>637</v>
      </c>
      <c r="B88" s="14" t="s">
        <v>331</v>
      </c>
      <c r="C88" s="14" t="s">
        <v>253</v>
      </c>
      <c r="D88" s="14" t="s">
        <v>396</v>
      </c>
      <c r="E88" s="14" t="s">
        <v>437</v>
      </c>
      <c r="F88" s="14" t="s">
        <v>459</v>
      </c>
      <c r="G88" s="14">
        <v>2023</v>
      </c>
      <c r="H88" s="14" t="s">
        <v>385</v>
      </c>
      <c r="I88" s="14" t="s">
        <v>351</v>
      </c>
      <c r="J88" s="14" t="s">
        <v>371</v>
      </c>
    </row>
    <row r="89" spans="1:10" ht="11.25" customHeight="1" x14ac:dyDescent="0.3">
      <c r="A89" s="13" t="s">
        <v>251</v>
      </c>
      <c r="B89" s="14" t="s">
        <v>331</v>
      </c>
      <c r="C89" s="14" t="s">
        <v>248</v>
      </c>
      <c r="D89" s="14" t="s">
        <v>396</v>
      </c>
      <c r="E89" s="14" t="s">
        <v>446</v>
      </c>
      <c r="F89" s="14" t="s">
        <v>433</v>
      </c>
      <c r="G89" s="14">
        <v>2019</v>
      </c>
      <c r="H89" s="14" t="s">
        <v>348</v>
      </c>
      <c r="I89" s="14" t="s">
        <v>118</v>
      </c>
      <c r="J89" s="14" t="s">
        <v>371</v>
      </c>
    </row>
    <row r="90" spans="1:10" ht="11.25" customHeight="1" x14ac:dyDescent="0.3">
      <c r="A90" s="13" t="s">
        <v>238</v>
      </c>
      <c r="B90" s="14" t="s">
        <v>331</v>
      </c>
      <c r="C90" s="14" t="s">
        <v>255</v>
      </c>
      <c r="D90" s="14" t="s">
        <v>396</v>
      </c>
      <c r="E90" s="14" t="s">
        <v>439</v>
      </c>
      <c r="F90" s="14" t="s">
        <v>374</v>
      </c>
      <c r="G90" s="14">
        <v>2024</v>
      </c>
      <c r="H90" s="14" t="s">
        <v>348</v>
      </c>
      <c r="I90" s="14" t="s">
        <v>351</v>
      </c>
      <c r="J90" s="14" t="s">
        <v>372</v>
      </c>
    </row>
    <row r="91" spans="1:10" ht="11.25" customHeight="1" x14ac:dyDescent="0.3">
      <c r="A91" s="13" t="s">
        <v>402</v>
      </c>
      <c r="B91" s="14" t="s">
        <v>331</v>
      </c>
      <c r="C91" s="14" t="s">
        <v>185</v>
      </c>
      <c r="D91" s="14" t="s">
        <v>396</v>
      </c>
      <c r="E91" s="14" t="s">
        <v>437</v>
      </c>
      <c r="F91" s="14" t="s">
        <v>364</v>
      </c>
      <c r="G91" s="14">
        <v>2024</v>
      </c>
      <c r="H91" s="14" t="s">
        <v>385</v>
      </c>
      <c r="I91" s="14" t="s">
        <v>118</v>
      </c>
      <c r="J91" s="14" t="s">
        <v>371</v>
      </c>
    </row>
    <row r="92" spans="1:10" ht="11.25" customHeight="1" x14ac:dyDescent="0.3">
      <c r="A92" s="13" t="s">
        <v>92</v>
      </c>
      <c r="B92" s="14" t="s">
        <v>331</v>
      </c>
      <c r="C92" s="14" t="s">
        <v>187</v>
      </c>
      <c r="D92" s="14" t="s">
        <v>370</v>
      </c>
      <c r="E92" s="14" t="s">
        <v>461</v>
      </c>
      <c r="F92" s="14" t="s">
        <v>465</v>
      </c>
      <c r="G92" s="14">
        <v>2024</v>
      </c>
      <c r="H92" s="14" t="s">
        <v>348</v>
      </c>
      <c r="I92" s="14" t="s">
        <v>118</v>
      </c>
      <c r="J92" s="14" t="s">
        <v>372</v>
      </c>
    </row>
    <row r="93" spans="1:10" ht="11.25" customHeight="1" x14ac:dyDescent="0.3">
      <c r="A93" s="13" t="s">
        <v>133</v>
      </c>
      <c r="B93" s="14" t="s">
        <v>331</v>
      </c>
      <c r="C93" s="14" t="s">
        <v>184</v>
      </c>
      <c r="D93" s="14" t="s">
        <v>370</v>
      </c>
      <c r="E93" s="14" t="s">
        <v>439</v>
      </c>
      <c r="F93" s="14" t="s">
        <v>374</v>
      </c>
      <c r="G93" s="14">
        <v>2024</v>
      </c>
      <c r="H93" s="14" t="s">
        <v>120</v>
      </c>
      <c r="I93" s="14" t="s">
        <v>468</v>
      </c>
      <c r="J93" s="14" t="s">
        <v>372</v>
      </c>
    </row>
    <row r="94" spans="1:10" ht="11.25" customHeight="1" x14ac:dyDescent="0.3">
      <c r="A94" s="13" t="s">
        <v>195</v>
      </c>
      <c r="B94" s="14" t="s">
        <v>331</v>
      </c>
      <c r="C94" s="14" t="s">
        <v>188</v>
      </c>
      <c r="D94" s="14" t="s">
        <v>370</v>
      </c>
      <c r="E94" s="14" t="s">
        <v>439</v>
      </c>
      <c r="F94" s="14" t="s">
        <v>374</v>
      </c>
      <c r="G94" s="14">
        <v>2024</v>
      </c>
      <c r="H94" s="14" t="s">
        <v>120</v>
      </c>
      <c r="I94" s="14" t="s">
        <v>468</v>
      </c>
      <c r="J94" s="14" t="s">
        <v>372</v>
      </c>
    </row>
    <row r="95" spans="1:10" ht="11.25" customHeight="1" x14ac:dyDescent="0.3">
      <c r="A95" s="13" t="s">
        <v>514</v>
      </c>
      <c r="B95" s="14" t="s">
        <v>331</v>
      </c>
      <c r="C95" s="14" t="s">
        <v>183</v>
      </c>
      <c r="D95" s="14" t="s">
        <v>370</v>
      </c>
      <c r="E95" s="14" t="s">
        <v>439</v>
      </c>
      <c r="F95" s="14" t="s">
        <v>379</v>
      </c>
      <c r="G95" s="14">
        <v>2024</v>
      </c>
      <c r="H95" s="14" t="s">
        <v>348</v>
      </c>
      <c r="I95" s="14" t="s">
        <v>118</v>
      </c>
      <c r="J95" s="14" t="s">
        <v>372</v>
      </c>
    </row>
    <row r="96" spans="1:10" ht="11.25" customHeight="1" x14ac:dyDescent="0.3">
      <c r="A96" s="13" t="s">
        <v>508</v>
      </c>
      <c r="B96" s="14" t="s">
        <v>331</v>
      </c>
      <c r="C96" s="14" t="s">
        <v>205</v>
      </c>
      <c r="D96" s="14" t="s">
        <v>370</v>
      </c>
      <c r="E96" s="14" t="s">
        <v>439</v>
      </c>
      <c r="F96" s="14" t="s">
        <v>387</v>
      </c>
      <c r="G96" s="14">
        <v>2024</v>
      </c>
      <c r="H96" s="14" t="s">
        <v>385</v>
      </c>
      <c r="I96" s="14" t="s">
        <v>118</v>
      </c>
      <c r="J96" s="14" t="s">
        <v>372</v>
      </c>
    </row>
    <row r="97" spans="1:10" ht="11.25" customHeight="1" x14ac:dyDescent="0.3">
      <c r="A97" s="13" t="s">
        <v>524</v>
      </c>
      <c r="B97" s="14" t="s">
        <v>331</v>
      </c>
      <c r="C97" s="14" t="s">
        <v>194</v>
      </c>
      <c r="D97" s="14" t="s">
        <v>370</v>
      </c>
      <c r="E97" s="14" t="s">
        <v>446</v>
      </c>
      <c r="F97" s="14" t="s">
        <v>403</v>
      </c>
      <c r="G97" s="14">
        <v>2024</v>
      </c>
      <c r="H97" s="14" t="s">
        <v>348</v>
      </c>
      <c r="I97" s="14" t="s">
        <v>118</v>
      </c>
      <c r="J97" s="14" t="s">
        <v>372</v>
      </c>
    </row>
    <row r="98" spans="1:10" ht="11.25" customHeight="1" x14ac:dyDescent="0.3">
      <c r="A98" s="13" t="s">
        <v>212</v>
      </c>
      <c r="B98" s="14" t="s">
        <v>331</v>
      </c>
      <c r="C98" s="14" t="s">
        <v>203</v>
      </c>
      <c r="D98" s="14" t="s">
        <v>396</v>
      </c>
      <c r="E98" s="14" t="s">
        <v>437</v>
      </c>
      <c r="F98" s="14" t="s">
        <v>471</v>
      </c>
      <c r="G98" s="14">
        <v>2024</v>
      </c>
      <c r="H98" s="14" t="s">
        <v>385</v>
      </c>
      <c r="I98" s="14" t="s">
        <v>351</v>
      </c>
      <c r="J98" s="14" t="s">
        <v>371</v>
      </c>
    </row>
    <row r="99" spans="1:10" ht="11.25" customHeight="1" x14ac:dyDescent="0.3">
      <c r="A99" s="13" t="s">
        <v>648</v>
      </c>
      <c r="B99" s="14" t="s">
        <v>331</v>
      </c>
      <c r="C99" s="14" t="s">
        <v>652</v>
      </c>
      <c r="D99" s="14" t="s">
        <v>396</v>
      </c>
      <c r="E99" s="14" t="s">
        <v>435</v>
      </c>
      <c r="F99" s="14" t="s">
        <v>138</v>
      </c>
      <c r="G99" s="14">
        <v>2024</v>
      </c>
      <c r="H99" s="14" t="s">
        <v>348</v>
      </c>
      <c r="I99" s="14" t="s">
        <v>468</v>
      </c>
      <c r="J99" s="14" t="s">
        <v>371</v>
      </c>
    </row>
    <row r="100" spans="1:10" ht="11.25" customHeight="1" x14ac:dyDescent="0.3">
      <c r="A100" s="13" t="s">
        <v>645</v>
      </c>
      <c r="B100" s="14" t="s">
        <v>331</v>
      </c>
      <c r="C100" s="14" t="s">
        <v>642</v>
      </c>
      <c r="D100" s="14" t="s">
        <v>396</v>
      </c>
      <c r="E100" s="14" t="s">
        <v>437</v>
      </c>
      <c r="F100" s="14" t="s">
        <v>364</v>
      </c>
      <c r="G100" s="14">
        <v>2025</v>
      </c>
      <c r="H100" s="14" t="s">
        <v>120</v>
      </c>
      <c r="I100" s="14" t="s">
        <v>468</v>
      </c>
      <c r="J100" s="14" t="s">
        <v>371</v>
      </c>
    </row>
    <row r="101" spans="1:10" ht="11.25" customHeight="1" x14ac:dyDescent="0.3">
      <c r="A101" s="13" t="s">
        <v>136</v>
      </c>
      <c r="B101" s="14" t="s">
        <v>331</v>
      </c>
      <c r="C101" s="14" t="s">
        <v>643</v>
      </c>
      <c r="D101" s="14" t="s">
        <v>396</v>
      </c>
      <c r="E101" s="14" t="s">
        <v>437</v>
      </c>
      <c r="F101" s="14" t="s">
        <v>364</v>
      </c>
      <c r="G101" s="14">
        <v>2025</v>
      </c>
      <c r="H101" s="14" t="s">
        <v>120</v>
      </c>
      <c r="I101" s="14" t="s">
        <v>468</v>
      </c>
      <c r="J101" s="14" t="s">
        <v>371</v>
      </c>
    </row>
    <row r="102" spans="1:10" ht="11.25" customHeight="1" x14ac:dyDescent="0.3">
      <c r="A102" s="13" t="s">
        <v>649</v>
      </c>
      <c r="B102" s="14" t="s">
        <v>331</v>
      </c>
      <c r="C102" s="14" t="s">
        <v>651</v>
      </c>
      <c r="D102" s="14" t="s">
        <v>396</v>
      </c>
      <c r="E102" s="14" t="s">
        <v>437</v>
      </c>
      <c r="F102" s="14" t="s">
        <v>471</v>
      </c>
      <c r="G102" s="14">
        <v>2025</v>
      </c>
      <c r="H102" s="14" t="s">
        <v>385</v>
      </c>
      <c r="I102" s="14" t="s">
        <v>118</v>
      </c>
      <c r="J102" s="14" t="s">
        <v>372</v>
      </c>
    </row>
    <row r="103" spans="1:10" ht="11.25" customHeight="1" x14ac:dyDescent="0.3">
      <c r="A103" s="13" t="s">
        <v>149</v>
      </c>
      <c r="B103" s="14" t="s">
        <v>331</v>
      </c>
      <c r="C103" s="14" t="s">
        <v>646</v>
      </c>
      <c r="D103" s="14" t="s">
        <v>396</v>
      </c>
      <c r="E103" s="14" t="s">
        <v>437</v>
      </c>
      <c r="F103" s="14" t="s">
        <v>364</v>
      </c>
      <c r="G103" s="14">
        <v>2025</v>
      </c>
      <c r="H103" s="14" t="s">
        <v>385</v>
      </c>
      <c r="I103" s="14" t="s">
        <v>118</v>
      </c>
      <c r="J103" s="14" t="s">
        <v>371</v>
      </c>
    </row>
    <row r="104" spans="1:10" ht="11.25" customHeight="1" x14ac:dyDescent="0.3">
      <c r="A104" s="13" t="s">
        <v>146</v>
      </c>
      <c r="B104" s="14" t="s">
        <v>331</v>
      </c>
      <c r="C104" s="14" t="s">
        <v>644</v>
      </c>
      <c r="D104" s="14" t="s">
        <v>396</v>
      </c>
      <c r="E104" s="14" t="s">
        <v>437</v>
      </c>
      <c r="F104" s="14" t="s">
        <v>448</v>
      </c>
      <c r="G104" s="14">
        <v>2023</v>
      </c>
      <c r="H104" s="14" t="s">
        <v>385</v>
      </c>
      <c r="I104" s="14" t="s">
        <v>118</v>
      </c>
      <c r="J104" s="14" t="s">
        <v>371</v>
      </c>
    </row>
    <row r="105" spans="1:10" ht="11.25" customHeight="1" x14ac:dyDescent="0.3">
      <c r="A105" s="13" t="s">
        <v>653</v>
      </c>
      <c r="B105" s="14" t="s">
        <v>331</v>
      </c>
      <c r="C105" s="14" t="s">
        <v>655</v>
      </c>
      <c r="D105" s="14" t="s">
        <v>396</v>
      </c>
      <c r="E105" s="14" t="s">
        <v>437</v>
      </c>
      <c r="F105" s="14" t="s">
        <v>152</v>
      </c>
      <c r="G105" s="14">
        <v>2022</v>
      </c>
      <c r="H105" s="14" t="s">
        <v>385</v>
      </c>
      <c r="I105" s="14" t="s">
        <v>118</v>
      </c>
      <c r="J105" s="14" t="s">
        <v>371</v>
      </c>
    </row>
    <row r="106" spans="1:10" ht="11.25" customHeight="1" x14ac:dyDescent="0.3">
      <c r="A106" s="13" t="s">
        <v>139</v>
      </c>
      <c r="B106" s="14" t="s">
        <v>331</v>
      </c>
      <c r="C106" s="14" t="s">
        <v>658</v>
      </c>
      <c r="D106" s="14" t="s">
        <v>396</v>
      </c>
      <c r="E106" s="14" t="s">
        <v>437</v>
      </c>
      <c r="F106" s="14" t="s">
        <v>647</v>
      </c>
      <c r="G106" s="14">
        <v>2023</v>
      </c>
      <c r="H106" s="14" t="s">
        <v>385</v>
      </c>
      <c r="I106" s="14" t="s">
        <v>118</v>
      </c>
      <c r="J106" s="14" t="s">
        <v>371</v>
      </c>
    </row>
    <row r="107" spans="1:10" ht="11.25" customHeight="1" x14ac:dyDescent="0.3">
      <c r="A107" s="13" t="s">
        <v>660</v>
      </c>
      <c r="B107" s="14" t="s">
        <v>331</v>
      </c>
      <c r="C107" s="14" t="s">
        <v>657</v>
      </c>
      <c r="D107" s="14" t="s">
        <v>396</v>
      </c>
      <c r="E107" s="14" t="s">
        <v>446</v>
      </c>
      <c r="F107" s="14" t="s">
        <v>391</v>
      </c>
      <c r="G107" s="14">
        <v>2025</v>
      </c>
      <c r="H107" s="14" t="s">
        <v>348</v>
      </c>
      <c r="I107" s="14" t="s">
        <v>468</v>
      </c>
      <c r="J107" s="14" t="s">
        <v>371</v>
      </c>
    </row>
    <row r="108" spans="1:10" ht="11.25" customHeight="1" x14ac:dyDescent="0.3">
      <c r="A108" s="13" t="s">
        <v>141</v>
      </c>
      <c r="B108" s="14" t="s">
        <v>331</v>
      </c>
      <c r="C108" s="14" t="s">
        <v>650</v>
      </c>
      <c r="D108" s="14" t="s">
        <v>396</v>
      </c>
      <c r="E108" s="14" t="s">
        <v>446</v>
      </c>
      <c r="F108" s="14" t="s">
        <v>399</v>
      </c>
      <c r="G108" s="14">
        <v>2025</v>
      </c>
      <c r="H108" s="14" t="s">
        <v>348</v>
      </c>
      <c r="I108" s="14" t="s">
        <v>118</v>
      </c>
      <c r="J108" s="14" t="s">
        <v>371</v>
      </c>
    </row>
    <row r="109" spans="1:10" ht="11.25" customHeight="1" x14ac:dyDescent="0.3">
      <c r="A109" s="13" t="s">
        <v>656</v>
      </c>
      <c r="B109" s="14" t="s">
        <v>331</v>
      </c>
      <c r="C109" s="14" t="s">
        <v>661</v>
      </c>
      <c r="D109" s="14" t="s">
        <v>396</v>
      </c>
      <c r="E109" s="14" t="s">
        <v>437</v>
      </c>
      <c r="F109" s="14" t="s">
        <v>654</v>
      </c>
      <c r="G109" s="14">
        <v>2023</v>
      </c>
      <c r="H109" s="14" t="s">
        <v>348</v>
      </c>
      <c r="I109" s="14" t="s">
        <v>118</v>
      </c>
      <c r="J109" s="14" t="s">
        <v>371</v>
      </c>
    </row>
    <row r="110" spans="1:10" ht="11.25" customHeight="1" x14ac:dyDescent="0.3">
      <c r="A110" s="13" t="s">
        <v>135</v>
      </c>
      <c r="B110" s="14" t="s">
        <v>331</v>
      </c>
      <c r="C110" s="14" t="s">
        <v>659</v>
      </c>
      <c r="D110" s="14" t="s">
        <v>396</v>
      </c>
      <c r="E110" s="14" t="s">
        <v>437</v>
      </c>
      <c r="F110" s="14" t="s">
        <v>167</v>
      </c>
      <c r="G110" s="14">
        <v>2022</v>
      </c>
      <c r="H110" s="14" t="s">
        <v>120</v>
      </c>
      <c r="I110" s="14" t="s">
        <v>118</v>
      </c>
      <c r="J110" s="14" t="s">
        <v>371</v>
      </c>
    </row>
    <row r="111" spans="1:10" ht="11.25" customHeight="1" x14ac:dyDescent="0.3">
      <c r="A111" s="9" t="s">
        <v>168</v>
      </c>
      <c r="B111" s="14" t="s">
        <v>331</v>
      </c>
      <c r="C111" s="14" t="s">
        <v>482</v>
      </c>
      <c r="D111" s="14" t="s">
        <v>396</v>
      </c>
      <c r="E111" s="14" t="s">
        <v>437</v>
      </c>
      <c r="F111" s="14" t="s">
        <v>169</v>
      </c>
      <c r="G111" s="14">
        <v>2022</v>
      </c>
      <c r="H111" s="14" t="s">
        <v>385</v>
      </c>
      <c r="I111" s="14" t="s">
        <v>118</v>
      </c>
      <c r="J111" s="14" t="s">
        <v>371</v>
      </c>
    </row>
    <row r="112" spans="1:10" ht="11.25" customHeight="1" x14ac:dyDescent="0.3">
      <c r="A112" s="9" t="s">
        <v>158</v>
      </c>
      <c r="B112" s="14" t="s">
        <v>331</v>
      </c>
      <c r="C112" s="14" t="s">
        <v>484</v>
      </c>
      <c r="D112" s="14" t="s">
        <v>396</v>
      </c>
      <c r="E112" s="14" t="s">
        <v>437</v>
      </c>
      <c r="F112" s="14" t="s">
        <v>169</v>
      </c>
      <c r="G112" s="14">
        <v>2022</v>
      </c>
      <c r="H112" s="14" t="s">
        <v>385</v>
      </c>
      <c r="I112" s="14" t="s">
        <v>118</v>
      </c>
      <c r="J112" s="14" t="s">
        <v>371</v>
      </c>
    </row>
    <row r="113" spans="1:10" ht="11.25" customHeight="1" x14ac:dyDescent="0.3">
      <c r="A113" s="9" t="s">
        <v>162</v>
      </c>
      <c r="B113" s="14" t="s">
        <v>331</v>
      </c>
      <c r="C113" s="14" t="s">
        <v>483</v>
      </c>
      <c r="D113" s="14" t="s">
        <v>396</v>
      </c>
      <c r="E113" s="14" t="s">
        <v>437</v>
      </c>
      <c r="F113" s="14" t="s">
        <v>471</v>
      </c>
      <c r="G113" s="14">
        <v>2025</v>
      </c>
      <c r="H113" s="14" t="s">
        <v>385</v>
      </c>
      <c r="I113" s="14" t="s">
        <v>351</v>
      </c>
      <c r="J113" s="14" t="s">
        <v>371</v>
      </c>
    </row>
    <row r="114" spans="1:10" ht="11.25" customHeight="1" x14ac:dyDescent="0.3">
      <c r="A114" s="9" t="s">
        <v>771</v>
      </c>
      <c r="B114" s="14" t="s">
        <v>331</v>
      </c>
      <c r="C114" s="14" t="s">
        <v>772</v>
      </c>
      <c r="D114" s="14" t="s">
        <v>396</v>
      </c>
      <c r="E114" s="14" t="s">
        <v>773</v>
      </c>
      <c r="F114" s="14" t="s">
        <v>774</v>
      </c>
      <c r="G114" s="14">
        <v>2025</v>
      </c>
      <c r="H114" s="14" t="s">
        <v>775</v>
      </c>
      <c r="I114" s="14" t="s">
        <v>776</v>
      </c>
      <c r="J114" s="14" t="s">
        <v>777</v>
      </c>
    </row>
    <row r="115" spans="1:10" ht="11.25" customHeight="1" x14ac:dyDescent="0.3">
      <c r="A115" s="9" t="s">
        <v>778</v>
      </c>
      <c r="B115" s="14" t="s">
        <v>331</v>
      </c>
      <c r="C115" s="14" t="s">
        <v>779</v>
      </c>
      <c r="D115" s="14" t="s">
        <v>396</v>
      </c>
      <c r="E115" s="14" t="s">
        <v>773</v>
      </c>
      <c r="F115" s="14" t="s">
        <v>774</v>
      </c>
      <c r="G115" s="14">
        <v>2025</v>
      </c>
      <c r="H115" s="14" t="s">
        <v>775</v>
      </c>
      <c r="I115" s="14" t="s">
        <v>776</v>
      </c>
      <c r="J115" s="14" t="s">
        <v>777</v>
      </c>
    </row>
    <row r="116" spans="1:10" ht="11.25" customHeight="1" x14ac:dyDescent="0.3">
      <c r="A116" s="9" t="s">
        <v>780</v>
      </c>
      <c r="B116" s="14" t="s">
        <v>331</v>
      </c>
      <c r="C116" s="14" t="s">
        <v>781</v>
      </c>
      <c r="D116" s="14" t="s">
        <v>396</v>
      </c>
      <c r="E116" s="14" t="s">
        <v>437</v>
      </c>
      <c r="F116" s="14" t="s">
        <v>137</v>
      </c>
      <c r="G116" s="16">
        <v>2022</v>
      </c>
      <c r="H116" s="14" t="s">
        <v>775</v>
      </c>
      <c r="I116" s="14" t="s">
        <v>776</v>
      </c>
      <c r="J116" s="14" t="s">
        <v>371</v>
      </c>
    </row>
    <row r="117" spans="1:10" ht="11.25" customHeight="1" x14ac:dyDescent="0.3">
      <c r="A117" s="9" t="s">
        <v>784</v>
      </c>
      <c r="B117" s="14" t="s">
        <v>331</v>
      </c>
      <c r="C117" s="14" t="s">
        <v>782</v>
      </c>
      <c r="D117" s="14" t="s">
        <v>396</v>
      </c>
      <c r="E117" s="14" t="s">
        <v>437</v>
      </c>
      <c r="F117" s="14" t="s">
        <v>783</v>
      </c>
      <c r="G117" s="16">
        <v>2022</v>
      </c>
      <c r="H117" s="14" t="s">
        <v>385</v>
      </c>
      <c r="I117" s="14" t="s">
        <v>351</v>
      </c>
      <c r="J117" s="14" t="s">
        <v>371</v>
      </c>
    </row>
    <row r="118" spans="1:10" ht="11.25" customHeight="1" x14ac:dyDescent="0.3">
      <c r="A118" s="9" t="s">
        <v>788</v>
      </c>
      <c r="B118" s="14" t="s">
        <v>331</v>
      </c>
      <c r="C118" s="14" t="s">
        <v>786</v>
      </c>
      <c r="D118" s="14" t="s">
        <v>396</v>
      </c>
      <c r="E118" s="14" t="s">
        <v>773</v>
      </c>
      <c r="F118" s="14" t="s">
        <v>774</v>
      </c>
      <c r="G118" s="14">
        <v>2025</v>
      </c>
      <c r="H118" s="14" t="s">
        <v>775</v>
      </c>
      <c r="I118" s="14" t="s">
        <v>776</v>
      </c>
      <c r="J118" s="14" t="s">
        <v>777</v>
      </c>
    </row>
    <row r="119" spans="1:10" ht="11.25" customHeight="1" x14ac:dyDescent="0.3">
      <c r="A119" s="9" t="s">
        <v>789</v>
      </c>
      <c r="B119" s="14" t="s">
        <v>331</v>
      </c>
      <c r="C119" s="14" t="s">
        <v>787</v>
      </c>
      <c r="D119" s="14" t="s">
        <v>396</v>
      </c>
      <c r="E119" s="14" t="s">
        <v>773</v>
      </c>
      <c r="F119" s="14" t="s">
        <v>774</v>
      </c>
      <c r="G119" s="14">
        <v>2025</v>
      </c>
      <c r="H119" s="14" t="s">
        <v>775</v>
      </c>
      <c r="I119" s="14" t="s">
        <v>776</v>
      </c>
      <c r="J119" s="14" t="s">
        <v>777</v>
      </c>
    </row>
    <row r="120" spans="1:10" ht="11.25" customHeight="1" x14ac:dyDescent="0.3">
      <c r="A120" s="9" t="s">
        <v>791</v>
      </c>
      <c r="B120" s="14" t="s">
        <v>331</v>
      </c>
      <c r="C120" s="14" t="s">
        <v>792</v>
      </c>
      <c r="D120" s="14" t="s">
        <v>396</v>
      </c>
      <c r="E120" s="14" t="s">
        <v>793</v>
      </c>
      <c r="F120" s="14" t="s">
        <v>794</v>
      </c>
      <c r="G120" s="14">
        <v>2023</v>
      </c>
      <c r="H120" s="14" t="s">
        <v>795</v>
      </c>
      <c r="I120" s="14" t="s">
        <v>796</v>
      </c>
      <c r="J120" s="14" t="s">
        <v>797</v>
      </c>
    </row>
    <row r="121" spans="1:10" ht="11.25" customHeight="1" x14ac:dyDescent="0.3">
      <c r="A121" s="9" t="s">
        <v>920</v>
      </c>
      <c r="B121" s="14" t="s">
        <v>331</v>
      </c>
      <c r="C121" s="14" t="s">
        <v>921</v>
      </c>
      <c r="D121" s="14" t="s">
        <v>396</v>
      </c>
      <c r="E121" s="14" t="s">
        <v>793</v>
      </c>
      <c r="F121" s="14" t="s">
        <v>794</v>
      </c>
      <c r="G121" s="14">
        <v>2023</v>
      </c>
      <c r="H121" s="14" t="s">
        <v>795</v>
      </c>
      <c r="I121" s="14" t="s">
        <v>796</v>
      </c>
      <c r="J121" s="14" t="s">
        <v>797</v>
      </c>
    </row>
  </sheetData>
  <autoFilter ref="A1:J82" xr:uid="{00000000-0009-0000-0000-000001000000}"/>
  <phoneticPr fontId="15" type="noConversion"/>
  <pageMargins left="0.69986110925674438" right="0.69986110925674438" top="0.75" bottom="0.75" header="0.30000001192092896" footer="0.30000001192092896"/>
  <pageSetup paperSize="9" orientation="portrait" horizontalDpi="360" verticalDpi="36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2017"/>
  <sheetViews>
    <sheetView topLeftCell="A100" zoomScaleNormal="100" zoomScaleSheetLayoutView="75" workbookViewId="0">
      <selection activeCell="O143" sqref="O143"/>
    </sheetView>
  </sheetViews>
  <sheetFormatPr defaultColWidth="9" defaultRowHeight="11.25" customHeight="1" x14ac:dyDescent="0.3"/>
  <cols>
    <col min="1" max="1" width="14.75" style="9" bestFit="1" customWidth="1"/>
    <col min="2" max="2" width="8.75" style="9" bestFit="1" customWidth="1"/>
    <col min="3" max="3" width="5.625" style="9" bestFit="1" customWidth="1"/>
    <col min="4" max="4" width="22.375" style="9" bestFit="1" customWidth="1"/>
    <col min="5" max="5" width="19" style="9" bestFit="1" customWidth="1"/>
    <col min="6" max="6" width="4.375" style="9" bestFit="1" customWidth="1"/>
    <col min="7" max="8" width="4.25" style="9" bestFit="1" customWidth="1"/>
    <col min="9" max="9" width="6.25" style="9" bestFit="1" customWidth="1"/>
    <col min="10" max="10" width="5" style="9" customWidth="1"/>
    <col min="11" max="11" width="14.75" style="9" bestFit="1" customWidth="1"/>
    <col min="12" max="12" width="8.75" style="9" bestFit="1" customWidth="1"/>
    <col min="13" max="13" width="5.625" style="9" bestFit="1" customWidth="1"/>
    <col min="14" max="14" width="7" style="9" bestFit="1" customWidth="1"/>
    <col min="15" max="15" width="25.625" style="9" bestFit="1" customWidth="1"/>
    <col min="16" max="16" width="4.375" style="15" bestFit="1" customWidth="1"/>
    <col min="17" max="17" width="4.25" style="16" bestFit="1" customWidth="1"/>
    <col min="18" max="18" width="6.25" style="16" bestFit="1" customWidth="1"/>
    <col min="19" max="19" width="7" style="16" bestFit="1" customWidth="1"/>
    <col min="20" max="22" width="9" style="9"/>
    <col min="23" max="23" width="5.625" style="9" bestFit="1" customWidth="1"/>
    <col min="24" max="24" width="7" style="9" bestFit="1" customWidth="1"/>
    <col min="25" max="26" width="9" style="9"/>
    <col min="27" max="27" width="8.75" style="9" customWidth="1"/>
    <col min="28" max="16384" width="9" style="9"/>
  </cols>
  <sheetData>
    <row r="1" spans="1:24" ht="11.25" customHeight="1" x14ac:dyDescent="0.3">
      <c r="A1" s="22" t="s">
        <v>319</v>
      </c>
      <c r="B1" s="22" t="s">
        <v>369</v>
      </c>
      <c r="C1" s="22" t="s">
        <v>334</v>
      </c>
      <c r="D1" s="22" t="s">
        <v>274</v>
      </c>
      <c r="E1" s="22" t="s">
        <v>323</v>
      </c>
      <c r="F1" s="22" t="s">
        <v>336</v>
      </c>
      <c r="G1" s="22" t="s">
        <v>343</v>
      </c>
      <c r="H1" s="22" t="s">
        <v>352</v>
      </c>
      <c r="I1" s="22" t="s">
        <v>344</v>
      </c>
      <c r="J1" s="26"/>
      <c r="K1" s="22" t="s">
        <v>319</v>
      </c>
      <c r="L1" s="22" t="s">
        <v>369</v>
      </c>
      <c r="M1" s="22" t="s">
        <v>334</v>
      </c>
      <c r="N1" s="22" t="s">
        <v>320</v>
      </c>
      <c r="O1" s="22" t="s">
        <v>323</v>
      </c>
      <c r="P1" s="22" t="s">
        <v>336</v>
      </c>
      <c r="Q1" s="22" t="s">
        <v>352</v>
      </c>
      <c r="R1" s="22" t="s">
        <v>344</v>
      </c>
      <c r="S1" s="22" t="s">
        <v>324</v>
      </c>
      <c r="W1" s="22" t="s">
        <v>349</v>
      </c>
      <c r="X1" s="22" t="s">
        <v>352</v>
      </c>
    </row>
    <row r="2" spans="1:24" ht="11.25" customHeight="1" x14ac:dyDescent="0.3">
      <c r="A2" s="10">
        <f t="shared" ref="A2:A3" si="0">IF(D2&lt;&gt;0,B2+C2,"")</f>
        <v>45915</v>
      </c>
      <c r="B2" s="11">
        <f>Weekly!$C$3</f>
        <v>45915</v>
      </c>
      <c r="C2" s="12">
        <v>0</v>
      </c>
      <c r="D2" s="13" t="str">
        <f>Weekly!C4</f>
        <v>특집 2026 지방선거_경기도의회 생생중계_본회의
&lt;02</v>
      </c>
      <c r="E2" s="13" t="str">
        <f t="shared" ref="E2:E3" si="1">IFERROR(SUBSTITUTE(SUBSTITUTE(TRIM(LEFT(D2,FIND("&lt;",D2)-1)),CHAR(10),""),"⑮ ",""),"")</f>
        <v>특집 2026 지방선거_경기도의회 생생중계_본회의</v>
      </c>
      <c r="F2" s="13">
        <f>IFERROR((MID(D2,FIND("&lt;",D2)+1,4))*1,"")</f>
        <v>2</v>
      </c>
      <c r="G2" s="13" t="str">
        <f t="shared" ref="G2:G3" si="2">IFERROR(MID(D2,FIND("&gt;",D2)+1,10),"")</f>
        <v/>
      </c>
      <c r="H2" s="13" t="str">
        <f t="shared" ref="H2:H3" si="3">IFERROR(VLOOKUP(LEFT(D2,2),$W$1:$X$6,2,0),"")</f>
        <v/>
      </c>
      <c r="I2" s="14" t="e">
        <f t="array" aca="1" ref="I2" ca="1">IF(getRGB1(Weekly!C4)="FFFF00","초방","재방")</f>
        <v>#NAME?</v>
      </c>
      <c r="K2" s="30">
        <f>IFERROR(SMALL(A:A,ROW(A1)),"")</f>
        <v>45915</v>
      </c>
      <c r="L2" s="31">
        <f>IF(K2&lt;&gt;"",VLOOKUP(K2,$A$2:$H$2017,2,0),"")</f>
        <v>45915</v>
      </c>
      <c r="M2" s="32">
        <f>IF(K2&lt;&gt;"",VLOOKUP(K2,$A$2:$H$2017,3,0),"")</f>
        <v>0</v>
      </c>
      <c r="N2" s="32">
        <f>IFERROR(IF(L3&lt;&gt;"",(L3+M3)-(L2+M2),(LARGE(L:L,1)+1)-(L2+M2)),"")</f>
        <v>4.1666666664241347E-2</v>
      </c>
      <c r="O2" s="13" t="str">
        <f>VLOOKUP(K2,$A$2:$H$2017,5,0)</f>
        <v>특집 2026 지방선거_경기도의회 생생중계_본회의</v>
      </c>
      <c r="P2" s="33">
        <f>VLOOKUP(K2,$A$2:$H$2017,6,0)</f>
        <v>2</v>
      </c>
      <c r="Q2" s="14" t="str">
        <f>IFERROR(IF(FIND("⑮",O2)&gt;1,"15세",""),"")</f>
        <v/>
      </c>
      <c r="R2" s="14" t="e">
        <f ca="1">IF(K2&lt;&gt;"",VLOOKUP(K2,$A$2:$I$2017,9,0),"")</f>
        <v>#NAME?</v>
      </c>
      <c r="S2" s="14" t="str">
        <f>IF(O2&lt;&gt;"",VLOOKUP(O2,P.Info!$A$2:$B$150,2,0),"")</f>
        <v>주편성</v>
      </c>
      <c r="W2" s="13" t="s">
        <v>335</v>
      </c>
      <c r="X2" s="13" t="s">
        <v>268</v>
      </c>
    </row>
    <row r="3" spans="1:24" ht="11.25" customHeight="1" x14ac:dyDescent="0.3">
      <c r="A3" s="10" t="str">
        <f t="shared" si="0"/>
        <v/>
      </c>
      <c r="B3" s="11">
        <f>Weekly!$C$3</f>
        <v>45915</v>
      </c>
      <c r="C3" s="12">
        <v>3.472222222222222E-3</v>
      </c>
      <c r="D3" s="13">
        <f>Weekly!C5</f>
        <v>0</v>
      </c>
      <c r="E3" s="13" t="str">
        <f t="shared" si="1"/>
        <v/>
      </c>
      <c r="F3" s="13" t="str">
        <f t="shared" ref="F3:F4" si="4">IFERROR((MID(D3,FIND("&lt;",D3)+1,4))*1,"")</f>
        <v/>
      </c>
      <c r="G3" s="13" t="str">
        <f t="shared" si="2"/>
        <v/>
      </c>
      <c r="H3" s="13" t="str">
        <f t="shared" si="3"/>
        <v/>
      </c>
      <c r="I3" s="14" t="e">
        <f t="array" aca="1" ref="I3" ca="1">IF(getRGB1(Weekly!C5)="FFFF00","초방","재방")</f>
        <v>#NAME?</v>
      </c>
      <c r="K3" s="30">
        <f t="shared" ref="K3:K66" si="5">IFERROR(SMALL(A:A,ROW(A2)),"")</f>
        <v>45915.041666666664</v>
      </c>
      <c r="L3" s="31">
        <f t="shared" ref="L3:L66" si="6">IF(K3&lt;&gt;"",VLOOKUP(K3,$A$2:$H$2017,2,0),"")</f>
        <v>45915</v>
      </c>
      <c r="M3" s="32">
        <f t="shared" ref="M3:M66" si="7">IF(K3&lt;&gt;"",VLOOKUP(K3,$A$2:$H$2017,3,0),"")</f>
        <v>4.1666666666666699E-2</v>
      </c>
      <c r="N3" s="32">
        <f t="shared" ref="N3:N66" si="8">IFERROR(IF(L4&lt;&gt;"",(L4+M4)-(L3+M3),(LARGE(L:L,1)+1)-(L3+M3)),"")</f>
        <v>4.1666666671517305E-2</v>
      </c>
      <c r="O3" s="13" t="str">
        <f t="shared" ref="O3:O66" si="9">VLOOKUP(K3,$A$2:$H$2017,5,0)</f>
        <v>특집 2026 지방선거_경기도의회 생생중계_상임위</v>
      </c>
      <c r="P3" s="33">
        <f t="shared" ref="P3:P66" si="10">VLOOKUP(K3,$A$2:$H$2017,6,0)</f>
        <v>2</v>
      </c>
      <c r="Q3" s="14" t="str">
        <f t="shared" ref="Q3:Q66" si="11">IFERROR(IF(FIND("⑮",O3)&gt;1,"15세",""),"")</f>
        <v/>
      </c>
      <c r="R3" s="14" t="e">
        <f t="shared" ref="R3:R66" ca="1" si="12">IF(K3&lt;&gt;"",VLOOKUP(K3,$A$2:$I$2017,9,0),"")</f>
        <v>#NAME?</v>
      </c>
      <c r="S3" s="14" t="str">
        <f>IF(O3&lt;&gt;"",VLOOKUP(O3,P.Info!$A$2:$B$150,2,0),"")</f>
        <v>주편성</v>
      </c>
      <c r="W3" s="14" t="s">
        <v>329</v>
      </c>
      <c r="X3" s="14" t="s">
        <v>353</v>
      </c>
    </row>
    <row r="4" spans="1:24" ht="11.25" customHeight="1" x14ac:dyDescent="0.3">
      <c r="A4" s="10" t="str">
        <f t="shared" ref="A4:A36" si="13">IF(D4&lt;&gt;0,B4+C4,"")</f>
        <v/>
      </c>
      <c r="B4" s="11">
        <f>Weekly!$C$3</f>
        <v>45915</v>
      </c>
      <c r="C4" s="12">
        <v>6.9444444444444397E-3</v>
      </c>
      <c r="D4" s="13">
        <f>Weekly!C6</f>
        <v>0</v>
      </c>
      <c r="E4" s="13" t="str">
        <f t="shared" ref="E4:E36" si="14">IFERROR(SUBSTITUTE(SUBSTITUTE(TRIM(LEFT(D4,FIND("&lt;",D4)-1)),CHAR(10),""),"⑮ ",""),"")</f>
        <v/>
      </c>
      <c r="F4" s="13" t="str">
        <f t="shared" si="4"/>
        <v/>
      </c>
      <c r="G4" s="13" t="str">
        <f t="shared" ref="G4:G36" si="15">IFERROR(MID(D4,FIND("&gt;",D4)+1,10),"")</f>
        <v/>
      </c>
      <c r="H4" s="13" t="str">
        <f t="shared" ref="H4:H36" si="16">IFERROR(VLOOKUP(LEFT(D4,2),$W$1:$X$6,2,0),"")</f>
        <v/>
      </c>
      <c r="I4" s="14" t="e">
        <f t="array" aca="1" ref="I4" ca="1">IF(getRGB1(Weekly!C6)="FFFF00","초방","재방")</f>
        <v>#NAME?</v>
      </c>
      <c r="K4" s="30">
        <f t="shared" si="5"/>
        <v>45915.083333333336</v>
      </c>
      <c r="L4" s="31">
        <f t="shared" si="6"/>
        <v>45915</v>
      </c>
      <c r="M4" s="32">
        <f t="shared" si="7"/>
        <v>8.3333333333333301E-2</v>
      </c>
      <c r="N4" s="32">
        <f t="shared" si="8"/>
        <v>2.7777777773735579E-2</v>
      </c>
      <c r="O4" s="13" t="str">
        <f t="shared" si="9"/>
        <v>휴먼다큐 시장사람들</v>
      </c>
      <c r="P4" s="33">
        <f t="shared" si="10"/>
        <v>15</v>
      </c>
      <c r="Q4" s="14" t="str">
        <f t="shared" si="11"/>
        <v/>
      </c>
      <c r="R4" s="14" t="str">
        <f t="shared" si="12"/>
        <v>재방</v>
      </c>
      <c r="S4" s="14" t="str">
        <f>IF(O4&lt;&gt;"",VLOOKUP(O4,P.Info!$A$2:$B$150,2,0),"")</f>
        <v>주편성</v>
      </c>
      <c r="W4" s="14" t="s">
        <v>337</v>
      </c>
      <c r="X4" s="14" t="s">
        <v>356</v>
      </c>
    </row>
    <row r="5" spans="1:24" ht="11.25" customHeight="1" x14ac:dyDescent="0.3">
      <c r="A5" s="10" t="str">
        <f t="shared" si="13"/>
        <v/>
      </c>
      <c r="B5" s="11">
        <f>Weekly!$C$3</f>
        <v>45915</v>
      </c>
      <c r="C5" s="12">
        <v>1.0416666666666701E-2</v>
      </c>
      <c r="D5" s="13">
        <f>Weekly!C7</f>
        <v>0</v>
      </c>
      <c r="E5" s="13" t="str">
        <f t="shared" si="14"/>
        <v/>
      </c>
      <c r="F5" s="13" t="str">
        <f t="shared" ref="F5:F37" si="17">IFERROR((MID(D5,FIND("&lt;",D5)+1,4))*1,"")</f>
        <v/>
      </c>
      <c r="G5" s="13" t="str">
        <f t="shared" si="15"/>
        <v/>
      </c>
      <c r="H5" s="13" t="str">
        <f t="shared" si="16"/>
        <v/>
      </c>
      <c r="I5" s="14" t="e">
        <f t="array" aca="1" ref="I5" ca="1">IF(getRGB1(Weekly!C7)="FFFF00","초방","재방")</f>
        <v>#NAME?</v>
      </c>
      <c r="K5" s="30">
        <f t="shared" si="5"/>
        <v>45915.111111111109</v>
      </c>
      <c r="L5" s="31">
        <f t="shared" si="6"/>
        <v>45915</v>
      </c>
      <c r="M5" s="32">
        <f t="shared" si="7"/>
        <v>0.11111111111111099</v>
      </c>
      <c r="N5" s="32">
        <f t="shared" si="8"/>
        <v>4.1666666671517305E-2</v>
      </c>
      <c r="O5" s="13" t="str">
        <f t="shared" si="9"/>
        <v>최선규의 이제는 지방시대 시즌2</v>
      </c>
      <c r="P5" s="33">
        <f t="shared" si="10"/>
        <v>4</v>
      </c>
      <c r="Q5" s="14" t="str">
        <f t="shared" si="11"/>
        <v/>
      </c>
      <c r="R5" s="14" t="str">
        <f t="shared" si="12"/>
        <v>재방</v>
      </c>
      <c r="S5" s="14" t="str">
        <f>IF(O5&lt;&gt;"",VLOOKUP(O5,P.Info!$A$2:$B$150,2,0),"")</f>
        <v>주편성</v>
      </c>
      <c r="W5" s="14" t="s">
        <v>362</v>
      </c>
      <c r="X5" s="14" t="s">
        <v>384</v>
      </c>
    </row>
    <row r="6" spans="1:24" ht="11.25" customHeight="1" x14ac:dyDescent="0.3">
      <c r="A6" s="10" t="str">
        <f t="shared" si="13"/>
        <v/>
      </c>
      <c r="B6" s="11">
        <f>Weekly!$C$3</f>
        <v>45915</v>
      </c>
      <c r="C6" s="12">
        <v>1.38888888888889E-2</v>
      </c>
      <c r="D6" s="13">
        <f>Weekly!C8</f>
        <v>0</v>
      </c>
      <c r="E6" s="13" t="str">
        <f t="shared" si="14"/>
        <v/>
      </c>
      <c r="F6" s="13" t="str">
        <f t="shared" si="17"/>
        <v/>
      </c>
      <c r="G6" s="13" t="str">
        <f t="shared" si="15"/>
        <v/>
      </c>
      <c r="H6" s="13" t="str">
        <f t="shared" si="16"/>
        <v/>
      </c>
      <c r="I6" s="14" t="e">
        <f t="array" aca="1" ref="I6" ca="1">IF(getRGB1(Weekly!C8)="FFFF00","초방","재방")</f>
        <v>#NAME?</v>
      </c>
      <c r="K6" s="30">
        <f t="shared" si="5"/>
        <v>45915.152777777781</v>
      </c>
      <c r="L6" s="31">
        <f t="shared" si="6"/>
        <v>45915</v>
      </c>
      <c r="M6" s="32">
        <f t="shared" si="7"/>
        <v>0.15277777777777801</v>
      </c>
      <c r="N6" s="32">
        <f t="shared" si="8"/>
        <v>4.1666666664241347E-2</v>
      </c>
      <c r="O6" s="13" t="str">
        <f t="shared" si="9"/>
        <v>태군노래자랑</v>
      </c>
      <c r="P6" s="33">
        <f t="shared" si="10"/>
        <v>8</v>
      </c>
      <c r="Q6" s="14" t="str">
        <f t="shared" si="11"/>
        <v/>
      </c>
      <c r="R6" s="14" t="str">
        <f t="shared" si="12"/>
        <v>재방</v>
      </c>
      <c r="S6" s="14" t="str">
        <f>IF(O6&lt;&gt;"",VLOOKUP(O6,P.Info!$A$2:$B$150,2,0),"")</f>
        <v>주편성</v>
      </c>
      <c r="W6" s="34" t="s">
        <v>321</v>
      </c>
      <c r="X6" s="14" t="s">
        <v>376</v>
      </c>
    </row>
    <row r="7" spans="1:24" ht="11.25" customHeight="1" x14ac:dyDescent="0.3">
      <c r="A7" s="10" t="str">
        <f t="shared" si="13"/>
        <v/>
      </c>
      <c r="B7" s="11">
        <f>Weekly!$C$3</f>
        <v>45915</v>
      </c>
      <c r="C7" s="12">
        <v>1.7361111111111101E-2</v>
      </c>
      <c r="D7" s="13">
        <f>Weekly!C9</f>
        <v>0</v>
      </c>
      <c r="E7" s="13" t="str">
        <f t="shared" si="14"/>
        <v/>
      </c>
      <c r="F7" s="13" t="str">
        <f t="shared" si="17"/>
        <v/>
      </c>
      <c r="G7" s="13" t="str">
        <f t="shared" si="15"/>
        <v/>
      </c>
      <c r="H7" s="13" t="str">
        <f t="shared" si="16"/>
        <v/>
      </c>
      <c r="I7" s="14" t="e">
        <f t="array" aca="1" ref="I7" ca="1">IF(getRGB1(Weekly!C9)="FFFF00","초방","재방")</f>
        <v>#NAME?</v>
      </c>
      <c r="K7" s="30">
        <f t="shared" si="5"/>
        <v>45915.194444444445</v>
      </c>
      <c r="L7" s="31">
        <f t="shared" si="6"/>
        <v>45915</v>
      </c>
      <c r="M7" s="32">
        <f t="shared" si="7"/>
        <v>0.194444444444444</v>
      </c>
      <c r="N7" s="32">
        <f t="shared" si="8"/>
        <v>2.0833333335758653E-2</v>
      </c>
      <c r="O7" s="13" t="str">
        <f t="shared" si="9"/>
        <v>NEWS4</v>
      </c>
      <c r="P7" s="33">
        <f t="shared" si="10"/>
        <v>63</v>
      </c>
      <c r="Q7" s="14" t="str">
        <f t="shared" si="11"/>
        <v/>
      </c>
      <c r="R7" s="14" t="str">
        <f t="shared" si="12"/>
        <v>재방</v>
      </c>
      <c r="S7" s="14" t="str">
        <f>IF(O7&lt;&gt;"",VLOOKUP(O7,P.Info!$A$2:$B$150,2,0),"")</f>
        <v>주편성</v>
      </c>
    </row>
    <row r="8" spans="1:24" ht="11.25" customHeight="1" x14ac:dyDescent="0.3">
      <c r="A8" s="10" t="str">
        <f t="shared" si="13"/>
        <v/>
      </c>
      <c r="B8" s="11">
        <f>Weekly!$C$3</f>
        <v>45915</v>
      </c>
      <c r="C8" s="12">
        <v>2.0833333333333301E-2</v>
      </c>
      <c r="D8" s="13">
        <f>Weekly!C10</f>
        <v>0</v>
      </c>
      <c r="E8" s="13" t="str">
        <f t="shared" si="14"/>
        <v/>
      </c>
      <c r="F8" s="13" t="str">
        <f t="shared" si="17"/>
        <v/>
      </c>
      <c r="G8" s="13" t="str">
        <f t="shared" si="15"/>
        <v/>
      </c>
      <c r="H8" s="13" t="str">
        <f t="shared" si="16"/>
        <v/>
      </c>
      <c r="I8" s="14" t="e">
        <f t="array" aca="1" ref="I8" ca="1">IF(getRGB1(Weekly!C10)="FFFF00","초방","재방")</f>
        <v>#NAME?</v>
      </c>
      <c r="K8" s="30">
        <f t="shared" si="5"/>
        <v>45915.215277777781</v>
      </c>
      <c r="L8" s="31">
        <f t="shared" si="6"/>
        <v>45915</v>
      </c>
      <c r="M8" s="32">
        <f t="shared" si="7"/>
        <v>0.21527777777777801</v>
      </c>
      <c r="N8" s="32">
        <f t="shared" si="8"/>
        <v>4.1666666664241347E-2</v>
      </c>
      <c r="O8" s="13" t="str">
        <f t="shared" si="9"/>
        <v>내삶을바꾸는정책</v>
      </c>
      <c r="P8" s="33">
        <f t="shared" si="10"/>
        <v>2189</v>
      </c>
      <c r="Q8" s="14" t="str">
        <f t="shared" si="11"/>
        <v/>
      </c>
      <c r="R8" s="14" t="str">
        <f t="shared" si="12"/>
        <v>초방</v>
      </c>
      <c r="S8" s="14" t="str">
        <f>IF(O8&lt;&gt;"",VLOOKUP(O8,P.Info!$A$2:$B$150,2,0),"")</f>
        <v>주편성</v>
      </c>
    </row>
    <row r="9" spans="1:24" ht="11.25" customHeight="1" x14ac:dyDescent="0.3">
      <c r="A9" s="10" t="str">
        <f t="shared" si="13"/>
        <v/>
      </c>
      <c r="B9" s="11">
        <f>Weekly!$C$3</f>
        <v>45915</v>
      </c>
      <c r="C9" s="12">
        <v>2.4305555555555601E-2</v>
      </c>
      <c r="D9" s="13">
        <f>Weekly!C11</f>
        <v>0</v>
      </c>
      <c r="E9" s="13" t="str">
        <f t="shared" si="14"/>
        <v/>
      </c>
      <c r="F9" s="13" t="str">
        <f t="shared" si="17"/>
        <v/>
      </c>
      <c r="G9" s="13" t="str">
        <f t="shared" si="15"/>
        <v/>
      </c>
      <c r="H9" s="13" t="str">
        <f t="shared" si="16"/>
        <v/>
      </c>
      <c r="I9" s="14" t="e">
        <f t="array" aca="1" ref="I9" ca="1">IF(getRGB1(Weekly!C11)="FFFF00","초방","재방")</f>
        <v>#NAME?</v>
      </c>
      <c r="K9" s="30">
        <f t="shared" si="5"/>
        <v>45915.256944444445</v>
      </c>
      <c r="L9" s="31">
        <f t="shared" si="6"/>
        <v>45915</v>
      </c>
      <c r="M9" s="32">
        <f t="shared" si="7"/>
        <v>0.25694444444444398</v>
      </c>
      <c r="N9" s="32">
        <f t="shared" si="8"/>
        <v>3.4722222218988463E-2</v>
      </c>
      <c r="O9" s="13" t="str">
        <f t="shared" si="9"/>
        <v>내고향 전파</v>
      </c>
      <c r="P9" s="33">
        <f t="shared" si="10"/>
        <v>5</v>
      </c>
      <c r="Q9" s="14" t="str">
        <f t="shared" si="11"/>
        <v/>
      </c>
      <c r="R9" s="14" t="str">
        <f t="shared" si="12"/>
        <v>재방</v>
      </c>
      <c r="S9" s="14" t="str">
        <f>IF(O9&lt;&gt;"",VLOOKUP(O9,P.Info!$A$2:$B$150,2,0),"")</f>
        <v>주편성</v>
      </c>
    </row>
    <row r="10" spans="1:24" ht="11.25" customHeight="1" x14ac:dyDescent="0.3">
      <c r="A10" s="10" t="str">
        <f t="shared" si="13"/>
        <v/>
      </c>
      <c r="B10" s="11">
        <f>Weekly!$C$3</f>
        <v>45915</v>
      </c>
      <c r="C10" s="12">
        <v>2.7777777777777801E-2</v>
      </c>
      <c r="D10" s="13">
        <f>Weekly!C12</f>
        <v>0</v>
      </c>
      <c r="E10" s="13" t="str">
        <f t="shared" si="14"/>
        <v/>
      </c>
      <c r="F10" s="13" t="str">
        <f t="shared" si="17"/>
        <v/>
      </c>
      <c r="G10" s="13" t="str">
        <f t="shared" si="15"/>
        <v/>
      </c>
      <c r="H10" s="13" t="str">
        <f t="shared" si="16"/>
        <v/>
      </c>
      <c r="I10" s="14" t="e">
        <f t="array" aca="1" ref="I10" ca="1">IF(getRGB1(Weekly!C12)="FFFF00","초방","재방")</f>
        <v>#NAME?</v>
      </c>
      <c r="K10" s="30">
        <f t="shared" si="5"/>
        <v>45915.291666666664</v>
      </c>
      <c r="L10" s="31">
        <f t="shared" si="6"/>
        <v>45915</v>
      </c>
      <c r="M10" s="32">
        <f t="shared" si="7"/>
        <v>0.29166666666666702</v>
      </c>
      <c r="N10" s="32">
        <f t="shared" si="8"/>
        <v>4.1666666671517305E-2</v>
      </c>
      <c r="O10" s="13" t="str">
        <f t="shared" si="9"/>
        <v>최선규의 이제는 지방시대 시즌2</v>
      </c>
      <c r="P10" s="33">
        <f t="shared" si="10"/>
        <v>22</v>
      </c>
      <c r="Q10" s="14" t="str">
        <f t="shared" si="11"/>
        <v/>
      </c>
      <c r="R10" s="14" t="str">
        <f t="shared" si="12"/>
        <v>재방</v>
      </c>
      <c r="S10" s="14" t="str">
        <f>IF(O10&lt;&gt;"",VLOOKUP(O10,P.Info!$A$2:$B$150,2,0),"")</f>
        <v>주편성</v>
      </c>
    </row>
    <row r="11" spans="1:24" ht="11.25" customHeight="1" x14ac:dyDescent="0.3">
      <c r="A11" s="10" t="str">
        <f t="shared" si="13"/>
        <v/>
      </c>
      <c r="B11" s="11">
        <f>Weekly!$C$3</f>
        <v>45915</v>
      </c>
      <c r="C11" s="12">
        <v>3.125E-2</v>
      </c>
      <c r="D11" s="13">
        <f>Weekly!C13</f>
        <v>0</v>
      </c>
      <c r="E11" s="13" t="str">
        <f t="shared" si="14"/>
        <v/>
      </c>
      <c r="F11" s="13" t="str">
        <f t="shared" si="17"/>
        <v/>
      </c>
      <c r="G11" s="13" t="str">
        <f t="shared" si="15"/>
        <v/>
      </c>
      <c r="H11" s="13" t="str">
        <f t="shared" si="16"/>
        <v/>
      </c>
      <c r="I11" s="14" t="e">
        <f t="array" aca="1" ref="I11" ca="1">IF(getRGB1(Weekly!C13)="FFFF00","초방","재방")</f>
        <v>#NAME?</v>
      </c>
      <c r="K11" s="30">
        <f t="shared" si="5"/>
        <v>45915.333333333336</v>
      </c>
      <c r="L11" s="31">
        <f t="shared" si="6"/>
        <v>45915</v>
      </c>
      <c r="M11" s="32">
        <f t="shared" si="7"/>
        <v>0.33333333333333298</v>
      </c>
      <c r="N11" s="32">
        <f t="shared" si="8"/>
        <v>2.0833333328482695E-2</v>
      </c>
      <c r="O11" s="13" t="str">
        <f t="shared" si="9"/>
        <v>NEWSPLUS</v>
      </c>
      <c r="P11" s="33">
        <f t="shared" si="10"/>
        <v>63</v>
      </c>
      <c r="Q11" s="14" t="str">
        <f t="shared" si="11"/>
        <v/>
      </c>
      <c r="R11" s="14" t="str">
        <f t="shared" si="12"/>
        <v>재방</v>
      </c>
      <c r="S11" s="14" t="str">
        <f>IF(O11&lt;&gt;"",VLOOKUP(O11,P.Info!$A$2:$B$150,2,0),"")</f>
        <v>주편성</v>
      </c>
    </row>
    <row r="12" spans="1:24" ht="11.25" customHeight="1" x14ac:dyDescent="0.3">
      <c r="A12" s="10" t="str">
        <f t="shared" si="13"/>
        <v/>
      </c>
      <c r="B12" s="11">
        <f>Weekly!$C$3</f>
        <v>45915</v>
      </c>
      <c r="C12" s="12">
        <v>3.4722222222222203E-2</v>
      </c>
      <c r="D12" s="13">
        <f>Weekly!C14</f>
        <v>0</v>
      </c>
      <c r="E12" s="13" t="str">
        <f t="shared" si="14"/>
        <v/>
      </c>
      <c r="F12" s="13" t="str">
        <f t="shared" si="17"/>
        <v/>
      </c>
      <c r="G12" s="13" t="str">
        <f t="shared" si="15"/>
        <v/>
      </c>
      <c r="H12" s="13" t="str">
        <f t="shared" si="16"/>
        <v/>
      </c>
      <c r="I12" s="14" t="e">
        <f t="array" aca="1" ref="I12" ca="1">IF(getRGB1(Weekly!C14)="FFFF00","초방","재방")</f>
        <v>#NAME?</v>
      </c>
      <c r="K12" s="30">
        <f t="shared" si="5"/>
        <v>45915.354166666664</v>
      </c>
      <c r="L12" s="31">
        <f t="shared" si="6"/>
        <v>45915</v>
      </c>
      <c r="M12" s="32">
        <f t="shared" si="7"/>
        <v>0.35416666666666702</v>
      </c>
      <c r="N12" s="32">
        <f t="shared" si="8"/>
        <v>3.4722222226264421E-2</v>
      </c>
      <c r="O12" s="13" t="str">
        <f t="shared" si="9"/>
        <v>남도스럽게</v>
      </c>
      <c r="P12" s="33">
        <f t="shared" si="10"/>
        <v>6</v>
      </c>
      <c r="Q12" s="14" t="str">
        <f t="shared" si="11"/>
        <v/>
      </c>
      <c r="R12" s="14" t="str">
        <f t="shared" si="12"/>
        <v>재방</v>
      </c>
      <c r="S12" s="14" t="str">
        <f>IF(O12&lt;&gt;"",VLOOKUP(O12,P.Info!$A$2:$B$150,2,0),"")</f>
        <v>주편성</v>
      </c>
    </row>
    <row r="13" spans="1:24" ht="11.25" customHeight="1" x14ac:dyDescent="0.3">
      <c r="A13" s="10" t="str">
        <f t="shared" si="13"/>
        <v/>
      </c>
      <c r="B13" s="11">
        <f>Weekly!$C$3</f>
        <v>45915</v>
      </c>
      <c r="C13" s="12">
        <v>3.8194444444444399E-2</v>
      </c>
      <c r="D13" s="13">
        <f>Weekly!C15</f>
        <v>0</v>
      </c>
      <c r="E13" s="13" t="str">
        <f t="shared" si="14"/>
        <v/>
      </c>
      <c r="F13" s="13" t="str">
        <f t="shared" si="17"/>
        <v/>
      </c>
      <c r="G13" s="13" t="str">
        <f t="shared" si="15"/>
        <v/>
      </c>
      <c r="H13" s="13" t="str">
        <f t="shared" si="16"/>
        <v/>
      </c>
      <c r="I13" s="14" t="e">
        <f t="array" aca="1" ref="I13" ca="1">IF(getRGB1(Weekly!C15)="FFFF00","초방","재방")</f>
        <v>#NAME?</v>
      </c>
      <c r="K13" s="30">
        <f t="shared" si="5"/>
        <v>45915.388888888891</v>
      </c>
      <c r="L13" s="31">
        <f t="shared" si="6"/>
        <v>45915</v>
      </c>
      <c r="M13" s="32">
        <f t="shared" si="7"/>
        <v>0.38888888888888901</v>
      </c>
      <c r="N13" s="32">
        <f t="shared" si="8"/>
        <v>2.7777777773735579E-2</v>
      </c>
      <c r="O13" s="13" t="str">
        <f t="shared" si="9"/>
        <v>눈에 띄는 그녀들 시즌3</v>
      </c>
      <c r="P13" s="33">
        <f t="shared" si="10"/>
        <v>7</v>
      </c>
      <c r="Q13" s="14" t="str">
        <f t="shared" si="11"/>
        <v/>
      </c>
      <c r="R13" s="14" t="str">
        <f t="shared" si="12"/>
        <v>재방</v>
      </c>
      <c r="S13" s="14" t="str">
        <f>IF(O13&lt;&gt;"",VLOOKUP(O13,P.Info!$A$2:$B$150,2,0),"")</f>
        <v>주편성</v>
      </c>
    </row>
    <row r="14" spans="1:24" ht="11.25" customHeight="1" x14ac:dyDescent="0.3">
      <c r="A14" s="10">
        <f t="shared" si="13"/>
        <v>45915.041666666664</v>
      </c>
      <c r="B14" s="11">
        <f>Weekly!$C$3</f>
        <v>45915</v>
      </c>
      <c r="C14" s="12">
        <v>4.1666666666666699E-2</v>
      </c>
      <c r="D14" s="13" t="str">
        <f>Weekly!C16</f>
        <v>특집 2026 지방선거_경기도의회 생생중계_상임위
&lt;02</v>
      </c>
      <c r="E14" s="13" t="str">
        <f t="shared" si="14"/>
        <v>특집 2026 지방선거_경기도의회 생생중계_상임위</v>
      </c>
      <c r="F14" s="13">
        <f t="shared" si="17"/>
        <v>2</v>
      </c>
      <c r="G14" s="13" t="str">
        <f t="shared" si="15"/>
        <v/>
      </c>
      <c r="H14" s="13" t="str">
        <f t="shared" si="16"/>
        <v/>
      </c>
      <c r="I14" s="14" t="e">
        <f t="array" aca="1" ref="I14" ca="1">IF(getRGB1(Weekly!C16)="FFFF00","초방","재방")</f>
        <v>#NAME?</v>
      </c>
      <c r="K14" s="30">
        <f t="shared" si="5"/>
        <v>45915.416666666664</v>
      </c>
      <c r="L14" s="31">
        <f t="shared" si="6"/>
        <v>45915</v>
      </c>
      <c r="M14" s="32">
        <f t="shared" si="7"/>
        <v>0.41666666666666702</v>
      </c>
      <c r="N14" s="32">
        <f t="shared" si="8"/>
        <v>4.1666666671517305E-2</v>
      </c>
      <c r="O14" s="13" t="str">
        <f t="shared" si="9"/>
        <v>특집 2026 지방선거_서울특별시의회 생생중계_본회의</v>
      </c>
      <c r="P14" s="33">
        <f t="shared" si="10"/>
        <v>15</v>
      </c>
      <c r="Q14" s="14" t="str">
        <f t="shared" si="11"/>
        <v/>
      </c>
      <c r="R14" s="14" t="str">
        <f t="shared" si="12"/>
        <v>초방</v>
      </c>
      <c r="S14" s="14" t="str">
        <f>IF(O14&lt;&gt;"",VLOOKUP(O14,P.Info!$A$2:$B$150,2,0),"")</f>
        <v>주편성</v>
      </c>
    </row>
    <row r="15" spans="1:24" ht="11.25" customHeight="1" x14ac:dyDescent="0.3">
      <c r="A15" s="10" t="str">
        <f t="shared" si="13"/>
        <v/>
      </c>
      <c r="B15" s="11">
        <f>Weekly!$C$3</f>
        <v>45915</v>
      </c>
      <c r="C15" s="12">
        <v>4.5138888888888902E-2</v>
      </c>
      <c r="D15" s="13">
        <f>Weekly!C17</f>
        <v>0</v>
      </c>
      <c r="E15" s="13" t="str">
        <f t="shared" si="14"/>
        <v/>
      </c>
      <c r="F15" s="13" t="str">
        <f t="shared" si="17"/>
        <v/>
      </c>
      <c r="G15" s="13" t="str">
        <f t="shared" si="15"/>
        <v/>
      </c>
      <c r="H15" s="13" t="str">
        <f t="shared" si="16"/>
        <v/>
      </c>
      <c r="I15" s="14" t="e">
        <f t="array" aca="1" ref="I15" ca="1">IF(getRGB1(Weekly!C17)="FFFF00","초방","재방")</f>
        <v>#NAME?</v>
      </c>
      <c r="K15" s="30">
        <f t="shared" si="5"/>
        <v>45915.458333333336</v>
      </c>
      <c r="L15" s="31">
        <f t="shared" si="6"/>
        <v>45915</v>
      </c>
      <c r="M15" s="32">
        <f t="shared" si="7"/>
        <v>0.45833333333333298</v>
      </c>
      <c r="N15" s="32">
        <f t="shared" si="8"/>
        <v>4.1666666664241347E-2</v>
      </c>
      <c r="O15" s="13" t="str">
        <f t="shared" si="9"/>
        <v>특집 2026 지방선거_경기도의회 생생중계_본회의</v>
      </c>
      <c r="P15" s="33">
        <f t="shared" si="10"/>
        <v>14</v>
      </c>
      <c r="Q15" s="14" t="str">
        <f t="shared" si="11"/>
        <v/>
      </c>
      <c r="R15" s="14" t="str">
        <f t="shared" si="12"/>
        <v>초방</v>
      </c>
      <c r="S15" s="14" t="str">
        <f>IF(O15&lt;&gt;"",VLOOKUP(O15,P.Info!$A$2:$B$150,2,0),"")</f>
        <v>주편성</v>
      </c>
    </row>
    <row r="16" spans="1:24" ht="11.25" customHeight="1" x14ac:dyDescent="0.3">
      <c r="A16" s="10" t="str">
        <f t="shared" si="13"/>
        <v/>
      </c>
      <c r="B16" s="11">
        <f>Weekly!$C$3</f>
        <v>45915</v>
      </c>
      <c r="C16" s="12">
        <v>4.8611111111111098E-2</v>
      </c>
      <c r="D16" s="13">
        <f>Weekly!C18</f>
        <v>0</v>
      </c>
      <c r="E16" s="13" t="str">
        <f t="shared" si="14"/>
        <v/>
      </c>
      <c r="F16" s="13" t="str">
        <f t="shared" si="17"/>
        <v/>
      </c>
      <c r="G16" s="13" t="str">
        <f t="shared" si="15"/>
        <v/>
      </c>
      <c r="H16" s="13" t="str">
        <f t="shared" si="16"/>
        <v/>
      </c>
      <c r="I16" s="14" t="e">
        <f t="array" aca="1" ref="I16" ca="1">IF(getRGB1(Weekly!C18)="FFFF00","초방","재방")</f>
        <v>#NAME?</v>
      </c>
      <c r="K16" s="30">
        <f t="shared" si="5"/>
        <v>45915.5</v>
      </c>
      <c r="L16" s="31">
        <f t="shared" si="6"/>
        <v>45915</v>
      </c>
      <c r="M16" s="32">
        <f t="shared" si="7"/>
        <v>0.5</v>
      </c>
      <c r="N16" s="32">
        <f t="shared" si="8"/>
        <v>4.1666666664241347E-2</v>
      </c>
      <c r="O16" s="13" t="str">
        <f t="shared" si="9"/>
        <v>행복무지개</v>
      </c>
      <c r="P16" s="33">
        <f t="shared" si="10"/>
        <v>31</v>
      </c>
      <c r="Q16" s="14" t="str">
        <f t="shared" si="11"/>
        <v/>
      </c>
      <c r="R16" s="14" t="str">
        <f t="shared" si="12"/>
        <v>재방</v>
      </c>
      <c r="S16" s="14" t="str">
        <f>IF(O16&lt;&gt;"",VLOOKUP(O16,P.Info!$A$2:$B$150,2,0),"")</f>
        <v>주편성</v>
      </c>
    </row>
    <row r="17" spans="1:19" ht="11.25" customHeight="1" x14ac:dyDescent="0.3">
      <c r="A17" s="10" t="str">
        <f t="shared" si="13"/>
        <v/>
      </c>
      <c r="B17" s="11">
        <f>Weekly!$C$3</f>
        <v>45915</v>
      </c>
      <c r="C17" s="12">
        <v>5.2083333333333301E-2</v>
      </c>
      <c r="D17" s="13">
        <f>Weekly!C19</f>
        <v>0</v>
      </c>
      <c r="E17" s="13" t="str">
        <f t="shared" si="14"/>
        <v/>
      </c>
      <c r="F17" s="13" t="str">
        <f t="shared" si="17"/>
        <v/>
      </c>
      <c r="G17" s="13" t="str">
        <f t="shared" si="15"/>
        <v/>
      </c>
      <c r="H17" s="13" t="str">
        <f t="shared" si="16"/>
        <v/>
      </c>
      <c r="I17" s="14" t="e">
        <f t="array" aca="1" ref="I17" ca="1">IF(getRGB1(Weekly!C19)="FFFF00","초방","재방")</f>
        <v>#NAME?</v>
      </c>
      <c r="K17" s="30">
        <f t="shared" si="5"/>
        <v>45915.541666666664</v>
      </c>
      <c r="L17" s="31">
        <f t="shared" si="6"/>
        <v>45915</v>
      </c>
      <c r="M17" s="32">
        <f t="shared" si="7"/>
        <v>0.54166666666666696</v>
      </c>
      <c r="N17" s="32">
        <f t="shared" si="8"/>
        <v>2.0833333335758653E-2</v>
      </c>
      <c r="O17" s="13" t="str">
        <f t="shared" si="9"/>
        <v>NEWSJ</v>
      </c>
      <c r="P17" s="33">
        <f t="shared" si="10"/>
        <v>66</v>
      </c>
      <c r="Q17" s="14" t="str">
        <f t="shared" si="11"/>
        <v/>
      </c>
      <c r="R17" s="14" t="str">
        <f t="shared" si="12"/>
        <v>재방</v>
      </c>
      <c r="S17" s="14" t="str">
        <f>IF(O17&lt;&gt;"",VLOOKUP(O17,P.Info!$A$2:$B$150,2,0),"")</f>
        <v>주편성</v>
      </c>
    </row>
    <row r="18" spans="1:19" ht="11.25" customHeight="1" x14ac:dyDescent="0.3">
      <c r="A18" s="10" t="str">
        <f t="shared" si="13"/>
        <v/>
      </c>
      <c r="B18" s="11">
        <f>Weekly!$C$3</f>
        <v>45915</v>
      </c>
      <c r="C18" s="12">
        <v>5.5555555555555601E-2</v>
      </c>
      <c r="D18" s="13">
        <f>Weekly!C20</f>
        <v>0</v>
      </c>
      <c r="E18" s="13" t="str">
        <f t="shared" si="14"/>
        <v/>
      </c>
      <c r="F18" s="13" t="str">
        <f t="shared" si="17"/>
        <v/>
      </c>
      <c r="G18" s="13" t="str">
        <f t="shared" si="15"/>
        <v/>
      </c>
      <c r="H18" s="13" t="str">
        <f t="shared" si="16"/>
        <v/>
      </c>
      <c r="I18" s="14" t="e">
        <f t="array" aca="1" ref="I18" ca="1">IF(getRGB1(Weekly!C20)="FFFF00","초방","재방")</f>
        <v>#NAME?</v>
      </c>
      <c r="K18" s="30">
        <f t="shared" si="5"/>
        <v>45915.5625</v>
      </c>
      <c r="L18" s="31">
        <f t="shared" si="6"/>
        <v>45915</v>
      </c>
      <c r="M18" s="32">
        <f t="shared" si="7"/>
        <v>0.5625</v>
      </c>
      <c r="N18" s="32">
        <f t="shared" si="8"/>
        <v>2.0833333335758653E-2</v>
      </c>
      <c r="O18" s="13" t="str">
        <f t="shared" si="9"/>
        <v>더 人터뷰</v>
      </c>
      <c r="P18" s="33">
        <f t="shared" si="10"/>
        <v>51</v>
      </c>
      <c r="Q18" s="14" t="str">
        <f t="shared" si="11"/>
        <v/>
      </c>
      <c r="R18" s="14" t="str">
        <f t="shared" si="12"/>
        <v>재방</v>
      </c>
      <c r="S18" s="14" t="str">
        <f>IF(O18&lt;&gt;"",VLOOKUP(O18,P.Info!$A$2:$B$150,2,0),"")</f>
        <v>주편성</v>
      </c>
    </row>
    <row r="19" spans="1:19" ht="11.25" customHeight="1" x14ac:dyDescent="0.3">
      <c r="A19" s="10" t="str">
        <f t="shared" si="13"/>
        <v/>
      </c>
      <c r="B19" s="11">
        <f>Weekly!$C$3</f>
        <v>45915</v>
      </c>
      <c r="C19" s="12">
        <v>5.9027777777777797E-2</v>
      </c>
      <c r="D19" s="13">
        <f>Weekly!C21</f>
        <v>0</v>
      </c>
      <c r="E19" s="13" t="str">
        <f t="shared" si="14"/>
        <v/>
      </c>
      <c r="F19" s="13" t="str">
        <f t="shared" si="17"/>
        <v/>
      </c>
      <c r="G19" s="13" t="str">
        <f t="shared" si="15"/>
        <v/>
      </c>
      <c r="H19" s="13" t="str">
        <f t="shared" si="16"/>
        <v/>
      </c>
      <c r="I19" s="14" t="e">
        <f t="array" aca="1" ref="I19" ca="1">IF(getRGB1(Weekly!C21)="FFFF00","초방","재방")</f>
        <v>#NAME?</v>
      </c>
      <c r="K19" s="30">
        <f t="shared" si="5"/>
        <v>45915.583333333336</v>
      </c>
      <c r="L19" s="31">
        <f t="shared" si="6"/>
        <v>45915</v>
      </c>
      <c r="M19" s="32">
        <f t="shared" si="7"/>
        <v>0.58333333333333304</v>
      </c>
      <c r="N19" s="32">
        <f t="shared" si="8"/>
        <v>4.1666666664241347E-2</v>
      </c>
      <c r="O19" s="13" t="str">
        <f t="shared" si="9"/>
        <v>특집 2026 지방선거_서울특별시의회 생생중계_상임위</v>
      </c>
      <c r="P19" s="33">
        <f t="shared" si="10"/>
        <v>15</v>
      </c>
      <c r="Q19" s="14" t="str">
        <f t="shared" si="11"/>
        <v/>
      </c>
      <c r="R19" s="14" t="str">
        <f t="shared" si="12"/>
        <v>초방</v>
      </c>
      <c r="S19" s="14" t="str">
        <f>IF(O19&lt;&gt;"",VLOOKUP(O19,P.Info!$A$2:$B$150,2,0),"")</f>
        <v>주편성</v>
      </c>
    </row>
    <row r="20" spans="1:19" ht="11.25" customHeight="1" x14ac:dyDescent="0.3">
      <c r="A20" s="10" t="str">
        <f t="shared" si="13"/>
        <v/>
      </c>
      <c r="B20" s="11">
        <f>Weekly!$C$3</f>
        <v>45915</v>
      </c>
      <c r="C20" s="12">
        <v>6.25E-2</v>
      </c>
      <c r="D20" s="13">
        <f>Weekly!C22</f>
        <v>0</v>
      </c>
      <c r="E20" s="13" t="str">
        <f t="shared" si="14"/>
        <v/>
      </c>
      <c r="F20" s="13" t="str">
        <f t="shared" si="17"/>
        <v/>
      </c>
      <c r="G20" s="13" t="str">
        <f t="shared" si="15"/>
        <v/>
      </c>
      <c r="H20" s="13" t="str">
        <f t="shared" si="16"/>
        <v/>
      </c>
      <c r="I20" s="14" t="e">
        <f t="array" aca="1" ref="I20" ca="1">IF(getRGB1(Weekly!C22)="FFFF00","초방","재방")</f>
        <v>#NAME?</v>
      </c>
      <c r="K20" s="30">
        <f t="shared" si="5"/>
        <v>45915.625</v>
      </c>
      <c r="L20" s="31">
        <f t="shared" si="6"/>
        <v>45915</v>
      </c>
      <c r="M20" s="32">
        <f t="shared" si="7"/>
        <v>0.625</v>
      </c>
      <c r="N20" s="32">
        <f t="shared" si="8"/>
        <v>4.1666666664241347E-2</v>
      </c>
      <c r="O20" s="13" t="str">
        <f t="shared" si="9"/>
        <v>행복무지개</v>
      </c>
      <c r="P20" s="33">
        <f t="shared" si="10"/>
        <v>32</v>
      </c>
      <c r="Q20" s="14" t="str">
        <f t="shared" si="11"/>
        <v/>
      </c>
      <c r="R20" s="14" t="str">
        <f t="shared" si="12"/>
        <v>재방</v>
      </c>
      <c r="S20" s="14" t="str">
        <f>IF(O20&lt;&gt;"",VLOOKUP(O20,P.Info!$A$2:$B$150,2,0),"")</f>
        <v>주편성</v>
      </c>
    </row>
    <row r="21" spans="1:19" ht="11.25" customHeight="1" x14ac:dyDescent="0.3">
      <c r="A21" s="10" t="str">
        <f t="shared" si="13"/>
        <v/>
      </c>
      <c r="B21" s="11">
        <f>Weekly!$C$3</f>
        <v>45915</v>
      </c>
      <c r="C21" s="12">
        <v>6.5972222222222196E-2</v>
      </c>
      <c r="D21" s="13">
        <f>Weekly!C23</f>
        <v>0</v>
      </c>
      <c r="E21" s="13" t="str">
        <f t="shared" si="14"/>
        <v/>
      </c>
      <c r="F21" s="13" t="str">
        <f t="shared" si="17"/>
        <v/>
      </c>
      <c r="G21" s="13" t="str">
        <f t="shared" si="15"/>
        <v/>
      </c>
      <c r="H21" s="13" t="str">
        <f t="shared" si="16"/>
        <v/>
      </c>
      <c r="I21" s="14" t="e">
        <f t="array" aca="1" ref="I21" ca="1">IF(getRGB1(Weekly!C23)="FFFF00","초방","재방")</f>
        <v>#NAME?</v>
      </c>
      <c r="K21" s="30">
        <f t="shared" si="5"/>
        <v>45915.666666666664</v>
      </c>
      <c r="L21" s="31">
        <f t="shared" si="6"/>
        <v>45915</v>
      </c>
      <c r="M21" s="32">
        <f t="shared" si="7"/>
        <v>0.66666666666666696</v>
      </c>
      <c r="N21" s="32">
        <f t="shared" si="8"/>
        <v>2.0833333335758653E-2</v>
      </c>
      <c r="O21" s="13" t="str">
        <f t="shared" si="9"/>
        <v>NEWS4</v>
      </c>
      <c r="P21" s="33">
        <f t="shared" si="10"/>
        <v>63</v>
      </c>
      <c r="Q21" s="14" t="str">
        <f t="shared" si="11"/>
        <v/>
      </c>
      <c r="R21" s="14" t="str">
        <f t="shared" si="12"/>
        <v>재방</v>
      </c>
      <c r="S21" s="14" t="str">
        <f>IF(O21&lt;&gt;"",VLOOKUP(O21,P.Info!$A$2:$B$150,2,0),"")</f>
        <v>주편성</v>
      </c>
    </row>
    <row r="22" spans="1:19" ht="11.25" customHeight="1" x14ac:dyDescent="0.3">
      <c r="A22" s="10" t="str">
        <f t="shared" si="13"/>
        <v/>
      </c>
      <c r="B22" s="11">
        <f>Weekly!$C$3</f>
        <v>45915</v>
      </c>
      <c r="C22" s="12">
        <v>6.9444444444444406E-2</v>
      </c>
      <c r="D22" s="13">
        <f>Weekly!C24</f>
        <v>0</v>
      </c>
      <c r="E22" s="13" t="str">
        <f t="shared" si="14"/>
        <v/>
      </c>
      <c r="F22" s="13" t="str">
        <f t="shared" si="17"/>
        <v/>
      </c>
      <c r="G22" s="13" t="str">
        <f t="shared" si="15"/>
        <v/>
      </c>
      <c r="H22" s="13" t="str">
        <f t="shared" si="16"/>
        <v/>
      </c>
      <c r="I22" s="14" t="e">
        <f t="array" aca="1" ref="I22" ca="1">IF(getRGB1(Weekly!C24)="FFFF00","초방","재방")</f>
        <v>#NAME?</v>
      </c>
      <c r="K22" s="30">
        <f t="shared" si="5"/>
        <v>45915.6875</v>
      </c>
      <c r="L22" s="31">
        <f t="shared" si="6"/>
        <v>45915</v>
      </c>
      <c r="M22" s="32">
        <f t="shared" si="7"/>
        <v>0.6875</v>
      </c>
      <c r="N22" s="32">
        <f t="shared" si="8"/>
        <v>2.0833333335758653E-2</v>
      </c>
      <c r="O22" s="13" t="str">
        <f t="shared" si="9"/>
        <v>호남, 호남人</v>
      </c>
      <c r="P22" s="33">
        <f t="shared" si="10"/>
        <v>130</v>
      </c>
      <c r="Q22" s="14" t="str">
        <f t="shared" si="11"/>
        <v/>
      </c>
      <c r="R22" s="14" t="str">
        <f t="shared" si="12"/>
        <v>재방</v>
      </c>
      <c r="S22" s="14" t="str">
        <f>IF(O22&lt;&gt;"",VLOOKUP(O22,P.Info!$A$2:$B$150,2,0),"")</f>
        <v>주편성</v>
      </c>
    </row>
    <row r="23" spans="1:19" ht="11.25" customHeight="1" x14ac:dyDescent="0.3">
      <c r="A23" s="10" t="str">
        <f t="shared" si="13"/>
        <v/>
      </c>
      <c r="B23" s="11">
        <f>Weekly!$C$3</f>
        <v>45915</v>
      </c>
      <c r="C23" s="12">
        <v>7.2916666666666699E-2</v>
      </c>
      <c r="D23" s="13">
        <f>Weekly!C25</f>
        <v>0</v>
      </c>
      <c r="E23" s="13" t="str">
        <f t="shared" si="14"/>
        <v/>
      </c>
      <c r="F23" s="13" t="str">
        <f t="shared" si="17"/>
        <v/>
      </c>
      <c r="G23" s="13" t="str">
        <f t="shared" si="15"/>
        <v/>
      </c>
      <c r="H23" s="13" t="str">
        <f t="shared" si="16"/>
        <v/>
      </c>
      <c r="I23" s="14" t="e">
        <f t="array" aca="1" ref="I23" ca="1">IF(getRGB1(Weekly!C25)="FFFF00","초방","재방")</f>
        <v>#NAME?</v>
      </c>
      <c r="K23" s="30">
        <f t="shared" si="5"/>
        <v>45915.708333333336</v>
      </c>
      <c r="L23" s="31">
        <f t="shared" si="6"/>
        <v>45915</v>
      </c>
      <c r="M23" s="32">
        <f t="shared" si="7"/>
        <v>0.70833333333333304</v>
      </c>
      <c r="N23" s="32">
        <f t="shared" si="8"/>
        <v>4.1666666664241347E-2</v>
      </c>
      <c r="O23" s="13" t="str">
        <f t="shared" si="9"/>
        <v>특집 2026 지방선거_경기도의회 생생중계_상임위</v>
      </c>
      <c r="P23" s="33">
        <f t="shared" si="10"/>
        <v>14</v>
      </c>
      <c r="Q23" s="14" t="str">
        <f t="shared" si="11"/>
        <v/>
      </c>
      <c r="R23" s="14" t="str">
        <f t="shared" si="12"/>
        <v>초방</v>
      </c>
      <c r="S23" s="14" t="str">
        <f>IF(O23&lt;&gt;"",VLOOKUP(O23,P.Info!$A$2:$B$150,2,0),"")</f>
        <v>주편성</v>
      </c>
    </row>
    <row r="24" spans="1:19" ht="11.25" customHeight="1" x14ac:dyDescent="0.3">
      <c r="A24" s="10" t="str">
        <f t="shared" si="13"/>
        <v/>
      </c>
      <c r="B24" s="11">
        <f>Weekly!$C$3</f>
        <v>45915</v>
      </c>
      <c r="C24" s="12">
        <v>7.6388888888888895E-2</v>
      </c>
      <c r="D24" s="13">
        <f>Weekly!C26</f>
        <v>0</v>
      </c>
      <c r="E24" s="13" t="str">
        <f t="shared" si="14"/>
        <v/>
      </c>
      <c r="F24" s="13" t="str">
        <f t="shared" si="17"/>
        <v/>
      </c>
      <c r="G24" s="13" t="str">
        <f t="shared" si="15"/>
        <v/>
      </c>
      <c r="H24" s="13" t="str">
        <f t="shared" si="16"/>
        <v/>
      </c>
      <c r="I24" s="14" t="e">
        <f t="array" aca="1" ref="I24" ca="1">IF(getRGB1(Weekly!C26)="FFFF00","초방","재방")</f>
        <v>#NAME?</v>
      </c>
      <c r="K24" s="30">
        <f t="shared" si="5"/>
        <v>45915.75</v>
      </c>
      <c r="L24" s="31">
        <f t="shared" si="6"/>
        <v>45915</v>
      </c>
      <c r="M24" s="32">
        <f t="shared" si="7"/>
        <v>0.75</v>
      </c>
      <c r="N24" s="32">
        <f t="shared" si="8"/>
        <v>2.0833333335758653E-2</v>
      </c>
      <c r="O24" s="13" t="str">
        <f t="shared" si="9"/>
        <v>눈에 띄는 그녀들 시즌5</v>
      </c>
      <c r="P24" s="33">
        <f t="shared" si="10"/>
        <v>5</v>
      </c>
      <c r="Q24" s="14" t="str">
        <f t="shared" si="11"/>
        <v/>
      </c>
      <c r="R24" s="14" t="str">
        <f t="shared" si="12"/>
        <v>초방</v>
      </c>
      <c r="S24" s="14" t="str">
        <f>IF(O24&lt;&gt;"",VLOOKUP(O24,P.Info!$A$2:$B$150,2,0),"")</f>
        <v>주편성</v>
      </c>
    </row>
    <row r="25" spans="1:19" ht="11.25" customHeight="1" x14ac:dyDescent="0.3">
      <c r="A25" s="10" t="str">
        <f t="shared" si="13"/>
        <v/>
      </c>
      <c r="B25" s="11">
        <f>Weekly!$C$3</f>
        <v>45915</v>
      </c>
      <c r="C25" s="12">
        <v>7.9861111111111105E-2</v>
      </c>
      <c r="D25" s="13">
        <f>Weekly!C27</f>
        <v>0</v>
      </c>
      <c r="E25" s="13" t="str">
        <f t="shared" si="14"/>
        <v/>
      </c>
      <c r="F25" s="13" t="str">
        <f t="shared" si="17"/>
        <v/>
      </c>
      <c r="G25" s="13" t="str">
        <f t="shared" si="15"/>
        <v/>
      </c>
      <c r="H25" s="13" t="str">
        <f t="shared" si="16"/>
        <v/>
      </c>
      <c r="I25" s="14" t="e">
        <f t="array" aca="1" ref="I25" ca="1">IF(getRGB1(Weekly!C27)="FFFF00","초방","재방")</f>
        <v>#NAME?</v>
      </c>
      <c r="K25" s="30">
        <f t="shared" si="5"/>
        <v>45915.770833333336</v>
      </c>
      <c r="L25" s="31">
        <f t="shared" si="6"/>
        <v>45915</v>
      </c>
      <c r="M25" s="32">
        <f t="shared" si="7"/>
        <v>0.77083333333333304</v>
      </c>
      <c r="N25" s="32">
        <f t="shared" si="8"/>
        <v>2.0833333328482695E-2</v>
      </c>
      <c r="O25" s="13" t="str">
        <f t="shared" si="9"/>
        <v>낭만살롱</v>
      </c>
      <c r="P25" s="33">
        <f t="shared" si="10"/>
        <v>5</v>
      </c>
      <c r="Q25" s="14" t="str">
        <f t="shared" si="11"/>
        <v/>
      </c>
      <c r="R25" s="14" t="str">
        <f t="shared" si="12"/>
        <v>재방</v>
      </c>
      <c r="S25" s="14" t="str">
        <f>IF(O25&lt;&gt;"",VLOOKUP(O25,P.Info!$A$2:$B$150,2,0),"")</f>
        <v>주편성</v>
      </c>
    </row>
    <row r="26" spans="1:19" ht="11.25" customHeight="1" x14ac:dyDescent="0.3">
      <c r="A26" s="10">
        <f t="shared" si="13"/>
        <v>45915.083333333336</v>
      </c>
      <c r="B26" s="11">
        <f>Weekly!$C$3</f>
        <v>45915</v>
      </c>
      <c r="C26" s="12">
        <v>8.3333333333333301E-2</v>
      </c>
      <c r="D26" s="13" t="str">
        <f>Weekly!C28</f>
        <v>휴먼다큐 시장사람들
&lt;15</v>
      </c>
      <c r="E26" s="13" t="str">
        <f t="shared" si="14"/>
        <v>휴먼다큐 시장사람들</v>
      </c>
      <c r="F26" s="13">
        <f t="shared" si="17"/>
        <v>15</v>
      </c>
      <c r="G26" s="13" t="str">
        <f t="shared" si="15"/>
        <v/>
      </c>
      <c r="H26" s="13" t="str">
        <f t="shared" si="16"/>
        <v/>
      </c>
      <c r="I26" s="14" t="str">
        <f t="array" ref="I26">IF(getRGB1(Weekly!C28)="FFFF00","초방","재방")</f>
        <v>재방</v>
      </c>
      <c r="K26" s="30">
        <f t="shared" si="5"/>
        <v>45915.791666666664</v>
      </c>
      <c r="L26" s="31">
        <f t="shared" si="6"/>
        <v>45915</v>
      </c>
      <c r="M26" s="32">
        <f t="shared" si="7"/>
        <v>0.79166666666666696</v>
      </c>
      <c r="N26" s="32">
        <f t="shared" si="8"/>
        <v>4.1666666671517305E-2</v>
      </c>
      <c r="O26" s="13" t="str">
        <f t="shared" si="9"/>
        <v>더 人터뷰</v>
      </c>
      <c r="P26" s="33">
        <f t="shared" si="10"/>
        <v>1</v>
      </c>
      <c r="Q26" s="14" t="str">
        <f t="shared" si="11"/>
        <v/>
      </c>
      <c r="R26" s="14" t="str">
        <f t="shared" si="12"/>
        <v>재방</v>
      </c>
      <c r="S26" s="14" t="str">
        <f>IF(O26&lt;&gt;"",VLOOKUP(O26,P.Info!$A$2:$B$150,2,0),"")</f>
        <v>주편성</v>
      </c>
    </row>
    <row r="27" spans="1:19" ht="11.25" customHeight="1" x14ac:dyDescent="0.3">
      <c r="A27" s="10" t="str">
        <f t="shared" si="13"/>
        <v/>
      </c>
      <c r="B27" s="11">
        <f>Weekly!$C$3</f>
        <v>45915</v>
      </c>
      <c r="C27" s="12">
        <v>8.6805555555555594E-2</v>
      </c>
      <c r="D27" s="13">
        <f>Weekly!C29</f>
        <v>0</v>
      </c>
      <c r="E27" s="13" t="str">
        <f t="shared" si="14"/>
        <v/>
      </c>
      <c r="F27" s="13" t="str">
        <f t="shared" si="17"/>
        <v/>
      </c>
      <c r="G27" s="13" t="str">
        <f t="shared" si="15"/>
        <v/>
      </c>
      <c r="H27" s="13" t="str">
        <f t="shared" si="16"/>
        <v/>
      </c>
      <c r="I27" s="14" t="str">
        <f t="array" ref="I27">IF(getRGB1(Weekly!C29)="FFFF00","초방","재방")</f>
        <v>재방</v>
      </c>
      <c r="K27" s="30">
        <f t="shared" si="5"/>
        <v>45915.833333333336</v>
      </c>
      <c r="L27" s="31">
        <f t="shared" si="6"/>
        <v>45915</v>
      </c>
      <c r="M27" s="32">
        <f t="shared" si="7"/>
        <v>0.83333333333333304</v>
      </c>
      <c r="N27" s="32">
        <f t="shared" si="8"/>
        <v>2.0833333328482695E-2</v>
      </c>
      <c r="O27" s="13" t="str">
        <f t="shared" si="9"/>
        <v>NEWSON</v>
      </c>
      <c r="P27" s="33">
        <f t="shared" si="10"/>
        <v>66</v>
      </c>
      <c r="Q27" s="14" t="str">
        <f t="shared" si="11"/>
        <v/>
      </c>
      <c r="R27" s="14" t="str">
        <f t="shared" si="12"/>
        <v>재방</v>
      </c>
      <c r="S27" s="14" t="str">
        <f>IF(O27&lt;&gt;"",VLOOKUP(O27,P.Info!$A$2:$B$150,2,0),"")</f>
        <v>주편성</v>
      </c>
    </row>
    <row r="28" spans="1:19" ht="11.25" customHeight="1" x14ac:dyDescent="0.3">
      <c r="A28" s="10" t="str">
        <f t="shared" si="13"/>
        <v/>
      </c>
      <c r="B28" s="11">
        <f>Weekly!$C$3</f>
        <v>45915</v>
      </c>
      <c r="C28" s="12">
        <v>9.0277777777777804E-2</v>
      </c>
      <c r="D28" s="13">
        <f>Weekly!C30</f>
        <v>0</v>
      </c>
      <c r="E28" s="13" t="str">
        <f t="shared" si="14"/>
        <v/>
      </c>
      <c r="F28" s="13" t="str">
        <f t="shared" si="17"/>
        <v/>
      </c>
      <c r="G28" s="13" t="str">
        <f t="shared" si="15"/>
        <v/>
      </c>
      <c r="H28" s="13" t="str">
        <f t="shared" si="16"/>
        <v/>
      </c>
      <c r="I28" s="14" t="str">
        <f t="array" ref="I28">IF(getRGB1(Weekly!C30)="FFFF00","초방","재방")</f>
        <v>재방</v>
      </c>
      <c r="K28" s="30">
        <f t="shared" si="5"/>
        <v>45915.854166666664</v>
      </c>
      <c r="L28" s="31">
        <f t="shared" si="6"/>
        <v>45915</v>
      </c>
      <c r="M28" s="32">
        <f t="shared" si="7"/>
        <v>0.85416666666666696</v>
      </c>
      <c r="N28" s="32">
        <f t="shared" si="8"/>
        <v>3.4722222226264421E-2</v>
      </c>
      <c r="O28" s="13" t="str">
        <f t="shared" si="9"/>
        <v>우리동네 너튜브</v>
      </c>
      <c r="P28" s="33">
        <f t="shared" si="10"/>
        <v>4</v>
      </c>
      <c r="Q28" s="14" t="str">
        <f t="shared" si="11"/>
        <v/>
      </c>
      <c r="R28" s="14" t="str">
        <f t="shared" si="12"/>
        <v>재방</v>
      </c>
      <c r="S28" s="14" t="str">
        <f>IF(O28&lt;&gt;"",VLOOKUP(O28,P.Info!$A$2:$B$150,2,0),"")</f>
        <v>주편성</v>
      </c>
    </row>
    <row r="29" spans="1:19" ht="11.25" customHeight="1" x14ac:dyDescent="0.3">
      <c r="A29" s="10" t="str">
        <f t="shared" si="13"/>
        <v/>
      </c>
      <c r="B29" s="11">
        <f>Weekly!$C$3</f>
        <v>45915</v>
      </c>
      <c r="C29" s="12">
        <v>9.375E-2</v>
      </c>
      <c r="D29" s="13">
        <f>Weekly!C31</f>
        <v>0</v>
      </c>
      <c r="E29" s="13" t="str">
        <f t="shared" si="14"/>
        <v/>
      </c>
      <c r="F29" s="13" t="str">
        <f t="shared" si="17"/>
        <v/>
      </c>
      <c r="G29" s="13" t="str">
        <f t="shared" si="15"/>
        <v/>
      </c>
      <c r="H29" s="13" t="str">
        <f t="shared" si="16"/>
        <v/>
      </c>
      <c r="I29" s="14" t="str">
        <f t="array" ref="I29">IF(getRGB1(Weekly!C31)="FFFF00","초방","재방")</f>
        <v>재방</v>
      </c>
      <c r="K29" s="30">
        <f t="shared" si="5"/>
        <v>45915.888888888891</v>
      </c>
      <c r="L29" s="31">
        <f t="shared" si="6"/>
        <v>45915</v>
      </c>
      <c r="M29" s="32">
        <f t="shared" si="7"/>
        <v>0.88888888888888895</v>
      </c>
      <c r="N29" s="32">
        <f t="shared" si="8"/>
        <v>2.7777777773735579E-2</v>
      </c>
      <c r="O29" s="13" t="str">
        <f t="shared" si="9"/>
        <v>낭만살롱</v>
      </c>
      <c r="P29" s="33">
        <f t="shared" si="10"/>
        <v>1</v>
      </c>
      <c r="Q29" s="14" t="str">
        <f t="shared" si="11"/>
        <v/>
      </c>
      <c r="R29" s="14" t="str">
        <f t="shared" si="12"/>
        <v>재방</v>
      </c>
      <c r="S29" s="14" t="str">
        <f>IF(O29&lt;&gt;"",VLOOKUP(O29,P.Info!$A$2:$B$150,2,0),"")</f>
        <v>주편성</v>
      </c>
    </row>
    <row r="30" spans="1:19" ht="11.25" customHeight="1" x14ac:dyDescent="0.3">
      <c r="A30" s="10" t="str">
        <f t="shared" si="13"/>
        <v/>
      </c>
      <c r="B30" s="11">
        <f>Weekly!$C$3</f>
        <v>45915</v>
      </c>
      <c r="C30" s="12">
        <v>9.7222222222222196E-2</v>
      </c>
      <c r="D30" s="13">
        <f>Weekly!C32</f>
        <v>0</v>
      </c>
      <c r="E30" s="13" t="str">
        <f t="shared" si="14"/>
        <v/>
      </c>
      <c r="F30" s="13" t="str">
        <f t="shared" si="17"/>
        <v/>
      </c>
      <c r="G30" s="13" t="str">
        <f t="shared" si="15"/>
        <v/>
      </c>
      <c r="H30" s="13" t="str">
        <f t="shared" si="16"/>
        <v/>
      </c>
      <c r="I30" s="14" t="str">
        <f t="array" ref="I30">IF(getRGB1(Weekly!C32)="FFFF00","초방","재방")</f>
        <v>재방</v>
      </c>
      <c r="K30" s="30">
        <f t="shared" si="5"/>
        <v>45915.916666666664</v>
      </c>
      <c r="L30" s="31">
        <f t="shared" si="6"/>
        <v>45915</v>
      </c>
      <c r="M30" s="32">
        <f t="shared" si="7"/>
        <v>0.91666666666666696</v>
      </c>
      <c r="N30" s="32">
        <f t="shared" si="8"/>
        <v>4.1666666671517305E-2</v>
      </c>
      <c r="O30" s="13" t="str">
        <f t="shared" si="9"/>
        <v>특집 2026 지방선거_서울특별시의회 생생중계_본회의</v>
      </c>
      <c r="P30" s="33">
        <f t="shared" si="10"/>
        <v>15</v>
      </c>
      <c r="Q30" s="14" t="str">
        <f t="shared" si="11"/>
        <v/>
      </c>
      <c r="R30" s="14" t="str">
        <f t="shared" si="12"/>
        <v>재방</v>
      </c>
      <c r="S30" s="14" t="str">
        <f>IF(O30&lt;&gt;"",VLOOKUP(O30,P.Info!$A$2:$B$150,2,0),"")</f>
        <v>주편성</v>
      </c>
    </row>
    <row r="31" spans="1:19" ht="11.25" customHeight="1" x14ac:dyDescent="0.3">
      <c r="A31" s="10" t="str">
        <f t="shared" si="13"/>
        <v/>
      </c>
      <c r="B31" s="11">
        <f>Weekly!$C$3</f>
        <v>45915</v>
      </c>
      <c r="C31" s="12">
        <v>0.100694444444444</v>
      </c>
      <c r="D31" s="13">
        <f>Weekly!C33</f>
        <v>0</v>
      </c>
      <c r="E31" s="13" t="str">
        <f t="shared" si="14"/>
        <v/>
      </c>
      <c r="F31" s="13" t="str">
        <f t="shared" si="17"/>
        <v/>
      </c>
      <c r="G31" s="13" t="str">
        <f t="shared" si="15"/>
        <v/>
      </c>
      <c r="H31" s="13" t="str">
        <f t="shared" si="16"/>
        <v/>
      </c>
      <c r="I31" s="14" t="str">
        <f t="array" ref="I31">IF(getRGB1(Weekly!C33)="FFFF00","초방","재방")</f>
        <v>재방</v>
      </c>
      <c r="K31" s="30">
        <f t="shared" si="5"/>
        <v>45915.958333333336</v>
      </c>
      <c r="L31" s="31">
        <f t="shared" si="6"/>
        <v>45915</v>
      </c>
      <c r="M31" s="32">
        <f t="shared" si="7"/>
        <v>0.95833333333333304</v>
      </c>
      <c r="N31" s="32">
        <f t="shared" si="8"/>
        <v>4.1666666664241347E-2</v>
      </c>
      <c r="O31" s="13" t="str">
        <f t="shared" si="9"/>
        <v>특집 2026 지방선거_서울특별시의회 생생중계_상임위</v>
      </c>
      <c r="P31" s="33">
        <f t="shared" si="10"/>
        <v>15</v>
      </c>
      <c r="Q31" s="14" t="str">
        <f t="shared" si="11"/>
        <v/>
      </c>
      <c r="R31" s="14" t="str">
        <f t="shared" si="12"/>
        <v>재방</v>
      </c>
      <c r="S31" s="14" t="str">
        <f>IF(O31&lt;&gt;"",VLOOKUP(O31,P.Info!$A$2:$B$150,2,0),"")</f>
        <v>주편성</v>
      </c>
    </row>
    <row r="32" spans="1:19" ht="11.25" customHeight="1" x14ac:dyDescent="0.3">
      <c r="A32" s="10" t="str">
        <f t="shared" si="13"/>
        <v/>
      </c>
      <c r="B32" s="11">
        <f>Weekly!$C$3</f>
        <v>45915</v>
      </c>
      <c r="C32" s="12">
        <v>0.104166666666667</v>
      </c>
      <c r="D32" s="13">
        <f>Weekly!C34</f>
        <v>0</v>
      </c>
      <c r="E32" s="13" t="str">
        <f t="shared" si="14"/>
        <v/>
      </c>
      <c r="F32" s="13" t="str">
        <f t="shared" si="17"/>
        <v/>
      </c>
      <c r="G32" s="13" t="str">
        <f t="shared" si="15"/>
        <v/>
      </c>
      <c r="H32" s="13" t="str">
        <f t="shared" si="16"/>
        <v/>
      </c>
      <c r="I32" s="14" t="str">
        <f t="array" ref="I32">IF(getRGB1(Weekly!C34)="FFFF00","초방","재방")</f>
        <v>재방</v>
      </c>
      <c r="K32" s="30">
        <f t="shared" si="5"/>
        <v>45916</v>
      </c>
      <c r="L32" s="31">
        <f t="shared" si="6"/>
        <v>45916</v>
      </c>
      <c r="M32" s="32">
        <f t="shared" si="7"/>
        <v>0</v>
      </c>
      <c r="N32" s="32">
        <f t="shared" si="8"/>
        <v>4.1666666664241347E-2</v>
      </c>
      <c r="O32" s="13" t="str">
        <f t="shared" si="9"/>
        <v>특집 2026 지방선거_경기도의회 생생중계_본회의</v>
      </c>
      <c r="P32" s="33">
        <f t="shared" si="10"/>
        <v>14</v>
      </c>
      <c r="Q32" s="14" t="str">
        <f t="shared" si="11"/>
        <v/>
      </c>
      <c r="R32" s="14" t="e">
        <f t="shared" ca="1" si="12"/>
        <v>#NAME?</v>
      </c>
      <c r="S32" s="14" t="str">
        <f>IF(O32&lt;&gt;"",VLOOKUP(O32,P.Info!$A$2:$B$150,2,0),"")</f>
        <v>주편성</v>
      </c>
    </row>
    <row r="33" spans="1:19" ht="11.25" customHeight="1" x14ac:dyDescent="0.3">
      <c r="A33" s="10" t="str">
        <f t="shared" si="13"/>
        <v/>
      </c>
      <c r="B33" s="11">
        <f>Weekly!$C$3</f>
        <v>45915</v>
      </c>
      <c r="C33" s="12">
        <v>0.10763888888888901</v>
      </c>
      <c r="D33" s="13">
        <f>Weekly!C35</f>
        <v>0</v>
      </c>
      <c r="E33" s="13" t="str">
        <f t="shared" si="14"/>
        <v/>
      </c>
      <c r="F33" s="13" t="str">
        <f t="shared" si="17"/>
        <v/>
      </c>
      <c r="G33" s="13" t="str">
        <f t="shared" si="15"/>
        <v/>
      </c>
      <c r="H33" s="13" t="str">
        <f t="shared" si="16"/>
        <v/>
      </c>
      <c r="I33" s="14" t="str">
        <f t="array" ref="I33">IF(getRGB1(Weekly!C35)="FFFF00","초방","재방")</f>
        <v>재방</v>
      </c>
      <c r="K33" s="30">
        <f t="shared" si="5"/>
        <v>45916.041666666664</v>
      </c>
      <c r="L33" s="31">
        <f t="shared" si="6"/>
        <v>45916</v>
      </c>
      <c r="M33" s="32">
        <f t="shared" si="7"/>
        <v>4.1666666666666699E-2</v>
      </c>
      <c r="N33" s="32">
        <f t="shared" si="8"/>
        <v>4.1666666671517305E-2</v>
      </c>
      <c r="O33" s="13" t="str">
        <f t="shared" si="9"/>
        <v>특집 2026 지방선거_경기도의회 생생중계_상임위</v>
      </c>
      <c r="P33" s="33">
        <f t="shared" si="10"/>
        <v>14</v>
      </c>
      <c r="Q33" s="14" t="str">
        <f t="shared" si="11"/>
        <v/>
      </c>
      <c r="R33" s="14" t="e">
        <f t="shared" ca="1" si="12"/>
        <v>#NAME?</v>
      </c>
      <c r="S33" s="14" t="str">
        <f>IF(O33&lt;&gt;"",VLOOKUP(O33,P.Info!$A$2:$B$150,2,0),"")</f>
        <v>주편성</v>
      </c>
    </row>
    <row r="34" spans="1:19" ht="11.25" customHeight="1" x14ac:dyDescent="0.3">
      <c r="A34" s="10">
        <f t="shared" si="13"/>
        <v>45915.111111111109</v>
      </c>
      <c r="B34" s="11">
        <f>Weekly!$C$3</f>
        <v>45915</v>
      </c>
      <c r="C34" s="12">
        <v>0.11111111111111099</v>
      </c>
      <c r="D34" s="13" t="str">
        <f>Weekly!C36</f>
        <v>최선규의 이제는 지방시대 시즌2
&lt;04</v>
      </c>
      <c r="E34" s="13" t="str">
        <f t="shared" si="14"/>
        <v>최선규의 이제는 지방시대 시즌2</v>
      </c>
      <c r="F34" s="13">
        <f t="shared" si="17"/>
        <v>4</v>
      </c>
      <c r="G34" s="13" t="str">
        <f t="shared" si="15"/>
        <v/>
      </c>
      <c r="H34" s="13" t="str">
        <f t="shared" si="16"/>
        <v/>
      </c>
      <c r="I34" s="14" t="str">
        <f t="array" ref="I34">IF(getRGB1(Weekly!C36)="FFFF00","초방","재방")</f>
        <v>재방</v>
      </c>
      <c r="K34" s="30">
        <f t="shared" si="5"/>
        <v>45916.083333333336</v>
      </c>
      <c r="L34" s="31">
        <f t="shared" si="6"/>
        <v>45916</v>
      </c>
      <c r="M34" s="32">
        <f t="shared" si="7"/>
        <v>8.3333333333333301E-2</v>
      </c>
      <c r="N34" s="32">
        <f t="shared" si="8"/>
        <v>2.7777777773735579E-2</v>
      </c>
      <c r="O34" s="13" t="str">
        <f t="shared" si="9"/>
        <v>휴먼다큐 시장사람들</v>
      </c>
      <c r="P34" s="33">
        <f t="shared" si="10"/>
        <v>16</v>
      </c>
      <c r="Q34" s="14" t="str">
        <f t="shared" si="11"/>
        <v/>
      </c>
      <c r="R34" s="14" t="str">
        <f t="shared" si="12"/>
        <v>재방</v>
      </c>
      <c r="S34" s="14" t="str">
        <f>IF(O34&lt;&gt;"",VLOOKUP(O34,P.Info!$A$2:$B$150,2,0),"")</f>
        <v>주편성</v>
      </c>
    </row>
    <row r="35" spans="1:19" ht="11.25" customHeight="1" x14ac:dyDescent="0.3">
      <c r="A35" s="10" t="str">
        <f t="shared" si="13"/>
        <v/>
      </c>
      <c r="B35" s="11">
        <f>Weekly!$C$3</f>
        <v>45915</v>
      </c>
      <c r="C35" s="12">
        <v>0.114583333333333</v>
      </c>
      <c r="D35" s="13">
        <f>Weekly!C37</f>
        <v>0</v>
      </c>
      <c r="E35" s="13" t="str">
        <f t="shared" si="14"/>
        <v/>
      </c>
      <c r="F35" s="13" t="str">
        <f t="shared" si="17"/>
        <v/>
      </c>
      <c r="G35" s="13" t="str">
        <f t="shared" si="15"/>
        <v/>
      </c>
      <c r="H35" s="13" t="str">
        <f t="shared" si="16"/>
        <v/>
      </c>
      <c r="I35" s="14" t="str">
        <f t="array" ref="I35">IF(getRGB1(Weekly!C37)="FFFF00","초방","재방")</f>
        <v>재방</v>
      </c>
      <c r="K35" s="30">
        <f t="shared" si="5"/>
        <v>45916.111111111109</v>
      </c>
      <c r="L35" s="31">
        <f t="shared" si="6"/>
        <v>45916</v>
      </c>
      <c r="M35" s="32">
        <f t="shared" si="7"/>
        <v>0.11111111111111099</v>
      </c>
      <c r="N35" s="32">
        <f t="shared" si="8"/>
        <v>4.1666666671517305E-2</v>
      </c>
      <c r="O35" s="13" t="str">
        <f t="shared" si="9"/>
        <v>최선규의 이제는 지방시대 시즌2</v>
      </c>
      <c r="P35" s="33">
        <f t="shared" si="10"/>
        <v>5</v>
      </c>
      <c r="Q35" s="14" t="str">
        <f t="shared" si="11"/>
        <v/>
      </c>
      <c r="R35" s="14" t="str">
        <f t="shared" si="12"/>
        <v>재방</v>
      </c>
      <c r="S35" s="14" t="str">
        <f>IF(O35&lt;&gt;"",VLOOKUP(O35,P.Info!$A$2:$B$150,2,0),"")</f>
        <v>주편성</v>
      </c>
    </row>
    <row r="36" spans="1:19" ht="11.25" customHeight="1" x14ac:dyDescent="0.3">
      <c r="A36" s="10" t="str">
        <f t="shared" si="13"/>
        <v/>
      </c>
      <c r="B36" s="11">
        <f>Weekly!$C$3</f>
        <v>45915</v>
      </c>
      <c r="C36" s="12">
        <v>0.118055555555556</v>
      </c>
      <c r="D36" s="13">
        <f>Weekly!C38</f>
        <v>0</v>
      </c>
      <c r="E36" s="13" t="str">
        <f t="shared" si="14"/>
        <v/>
      </c>
      <c r="F36" s="13" t="str">
        <f t="shared" si="17"/>
        <v/>
      </c>
      <c r="G36" s="13" t="str">
        <f t="shared" si="15"/>
        <v/>
      </c>
      <c r="H36" s="13" t="str">
        <f t="shared" si="16"/>
        <v/>
      </c>
      <c r="I36" s="14" t="str">
        <f t="array" ref="I36">IF(getRGB1(Weekly!C38)="FFFF00","초방","재방")</f>
        <v>재방</v>
      </c>
      <c r="K36" s="30">
        <f t="shared" si="5"/>
        <v>45916.152777777781</v>
      </c>
      <c r="L36" s="31">
        <f t="shared" si="6"/>
        <v>45916</v>
      </c>
      <c r="M36" s="32">
        <f t="shared" si="7"/>
        <v>0.15277777777777801</v>
      </c>
      <c r="N36" s="32">
        <f t="shared" si="8"/>
        <v>4.1666666664241347E-2</v>
      </c>
      <c r="O36" s="13" t="str">
        <f t="shared" si="9"/>
        <v>태군노래자랑</v>
      </c>
      <c r="P36" s="33">
        <f t="shared" si="10"/>
        <v>9</v>
      </c>
      <c r="Q36" s="14" t="str">
        <f t="shared" si="11"/>
        <v/>
      </c>
      <c r="R36" s="14" t="str">
        <f t="shared" si="12"/>
        <v>재방</v>
      </c>
      <c r="S36" s="14" t="str">
        <f>IF(O36&lt;&gt;"",VLOOKUP(O36,P.Info!$A$2:$B$150,2,0),"")</f>
        <v>주편성</v>
      </c>
    </row>
    <row r="37" spans="1:19" ht="11.25" customHeight="1" x14ac:dyDescent="0.3">
      <c r="A37" s="10" t="str">
        <f t="shared" ref="A37:A100" si="18">IF(D37&lt;&gt;0,B37+C37,"")</f>
        <v/>
      </c>
      <c r="B37" s="11">
        <f>Weekly!$C$3</f>
        <v>45915</v>
      </c>
      <c r="C37" s="12">
        <v>0.121527777777778</v>
      </c>
      <c r="D37" s="13">
        <f>Weekly!C39</f>
        <v>0</v>
      </c>
      <c r="E37" s="13" t="str">
        <f t="shared" ref="E37:E100" si="19">IFERROR(SUBSTITUTE(SUBSTITUTE(TRIM(LEFT(D37,FIND("&lt;",D37)-1)),CHAR(10),""),"⑮ ",""),"")</f>
        <v/>
      </c>
      <c r="F37" s="13" t="str">
        <f t="shared" si="17"/>
        <v/>
      </c>
      <c r="G37" s="13" t="str">
        <f t="shared" ref="G37:G100" si="20">IFERROR(MID(D37,FIND("&gt;",D37)+1,10),"")</f>
        <v/>
      </c>
      <c r="H37" s="13" t="str">
        <f t="shared" ref="H37:H100" si="21">IFERROR(VLOOKUP(LEFT(D37,2),$W$1:$X$6,2,0),"")</f>
        <v/>
      </c>
      <c r="I37" s="14" t="str">
        <f t="array" ref="I37">IF(getRGB1(Weekly!C39)="FFFF00","초방","재방")</f>
        <v>재방</v>
      </c>
      <c r="K37" s="30">
        <f t="shared" si="5"/>
        <v>45916.194444444445</v>
      </c>
      <c r="L37" s="31">
        <f t="shared" si="6"/>
        <v>45916</v>
      </c>
      <c r="M37" s="32">
        <f t="shared" si="7"/>
        <v>0.194444444444444</v>
      </c>
      <c r="N37" s="32">
        <f t="shared" si="8"/>
        <v>2.0833333335758653E-2</v>
      </c>
      <c r="O37" s="13" t="str">
        <f t="shared" si="9"/>
        <v>NEWS4</v>
      </c>
      <c r="P37" s="33">
        <f t="shared" si="10"/>
        <v>63</v>
      </c>
      <c r="Q37" s="14" t="str">
        <f t="shared" si="11"/>
        <v/>
      </c>
      <c r="R37" s="14" t="str">
        <f t="shared" si="12"/>
        <v>재방</v>
      </c>
      <c r="S37" s="14" t="str">
        <f>IF(O37&lt;&gt;"",VLOOKUP(O37,P.Info!$A$2:$B$150,2,0),"")</f>
        <v>주편성</v>
      </c>
    </row>
    <row r="38" spans="1:19" ht="11.25" customHeight="1" x14ac:dyDescent="0.3">
      <c r="A38" s="10" t="str">
        <f t="shared" si="18"/>
        <v/>
      </c>
      <c r="B38" s="11">
        <f>Weekly!$C$3</f>
        <v>45915</v>
      </c>
      <c r="C38" s="12">
        <v>0.125</v>
      </c>
      <c r="D38" s="13">
        <f>Weekly!C40</f>
        <v>0</v>
      </c>
      <c r="E38" s="13" t="str">
        <f t="shared" si="19"/>
        <v/>
      </c>
      <c r="F38" s="13" t="str">
        <f t="shared" ref="F38:F101" si="22">IFERROR((MID(D38,FIND("&lt;",D38)+1,4))*1,"")</f>
        <v/>
      </c>
      <c r="G38" s="13" t="str">
        <f t="shared" si="20"/>
        <v/>
      </c>
      <c r="H38" s="13" t="str">
        <f t="shared" si="21"/>
        <v/>
      </c>
      <c r="I38" s="14" t="str">
        <f t="array" ref="I38">IF(getRGB1(Weekly!C40)="FFFF00","초방","재방")</f>
        <v>재방</v>
      </c>
      <c r="K38" s="30">
        <f t="shared" si="5"/>
        <v>45916.215277777781</v>
      </c>
      <c r="L38" s="31">
        <f t="shared" si="6"/>
        <v>45916</v>
      </c>
      <c r="M38" s="32">
        <f t="shared" si="7"/>
        <v>0.21527777777777801</v>
      </c>
      <c r="N38" s="32">
        <f t="shared" si="8"/>
        <v>4.1666666664241347E-2</v>
      </c>
      <c r="O38" s="13" t="str">
        <f t="shared" si="9"/>
        <v>내삶을바꾸는정책</v>
      </c>
      <c r="P38" s="33">
        <f t="shared" si="10"/>
        <v>2190</v>
      </c>
      <c r="Q38" s="14" t="str">
        <f t="shared" si="11"/>
        <v/>
      </c>
      <c r="R38" s="14" t="str">
        <f t="shared" si="12"/>
        <v>초방</v>
      </c>
      <c r="S38" s="14" t="str">
        <f>IF(O38&lt;&gt;"",VLOOKUP(O38,P.Info!$A$2:$B$150,2,0),"")</f>
        <v>주편성</v>
      </c>
    </row>
    <row r="39" spans="1:19" ht="11.25" customHeight="1" x14ac:dyDescent="0.3">
      <c r="A39" s="10" t="str">
        <f t="shared" si="18"/>
        <v/>
      </c>
      <c r="B39" s="11">
        <f>Weekly!$C$3</f>
        <v>45915</v>
      </c>
      <c r="C39" s="12">
        <v>0.12847222222222199</v>
      </c>
      <c r="D39" s="13">
        <f>Weekly!C41</f>
        <v>0</v>
      </c>
      <c r="E39" s="13" t="str">
        <f t="shared" si="19"/>
        <v/>
      </c>
      <c r="F39" s="13" t="str">
        <f t="shared" si="22"/>
        <v/>
      </c>
      <c r="G39" s="13" t="str">
        <f t="shared" si="20"/>
        <v/>
      </c>
      <c r="H39" s="13" t="str">
        <f t="shared" si="21"/>
        <v/>
      </c>
      <c r="I39" s="14" t="str">
        <f t="array" ref="I39">IF(getRGB1(Weekly!C41)="FFFF00","초방","재방")</f>
        <v>재방</v>
      </c>
      <c r="K39" s="30">
        <f t="shared" si="5"/>
        <v>45916.256944444445</v>
      </c>
      <c r="L39" s="31">
        <f t="shared" si="6"/>
        <v>45916</v>
      </c>
      <c r="M39" s="32">
        <f t="shared" si="7"/>
        <v>0.25694444444444398</v>
      </c>
      <c r="N39" s="32">
        <f t="shared" si="8"/>
        <v>3.4722222218988463E-2</v>
      </c>
      <c r="O39" s="13" t="str">
        <f t="shared" si="9"/>
        <v>도시락</v>
      </c>
      <c r="P39" s="33">
        <f t="shared" si="10"/>
        <v>59</v>
      </c>
      <c r="Q39" s="14" t="str">
        <f t="shared" si="11"/>
        <v/>
      </c>
      <c r="R39" s="14" t="str">
        <f t="shared" si="12"/>
        <v>재방</v>
      </c>
      <c r="S39" s="14" t="str">
        <f>IF(O39&lt;&gt;"",VLOOKUP(O39,P.Info!$A$2:$B$150,2,0),"")</f>
        <v>주편성</v>
      </c>
    </row>
    <row r="40" spans="1:19" ht="11.25" customHeight="1" x14ac:dyDescent="0.3">
      <c r="A40" s="10" t="str">
        <f t="shared" si="18"/>
        <v/>
      </c>
      <c r="B40" s="11">
        <f>Weekly!$C$3</f>
        <v>45915</v>
      </c>
      <c r="C40" s="12">
        <v>0.131944444444444</v>
      </c>
      <c r="D40" s="13">
        <f>Weekly!C42</f>
        <v>0</v>
      </c>
      <c r="E40" s="13" t="str">
        <f t="shared" si="19"/>
        <v/>
      </c>
      <c r="F40" s="13" t="str">
        <f t="shared" si="22"/>
        <v/>
      </c>
      <c r="G40" s="13" t="str">
        <f t="shared" si="20"/>
        <v/>
      </c>
      <c r="H40" s="13" t="str">
        <f t="shared" si="21"/>
        <v/>
      </c>
      <c r="I40" s="14" t="str">
        <f t="array" ref="I40">IF(getRGB1(Weekly!C42)="FFFF00","초방","재방")</f>
        <v>재방</v>
      </c>
      <c r="K40" s="30">
        <f t="shared" si="5"/>
        <v>45916.291666666664</v>
      </c>
      <c r="L40" s="31">
        <f t="shared" si="6"/>
        <v>45916</v>
      </c>
      <c r="M40" s="32">
        <f t="shared" si="7"/>
        <v>0.29166666666666702</v>
      </c>
      <c r="N40" s="32">
        <f t="shared" si="8"/>
        <v>4.1666666671517305E-2</v>
      </c>
      <c r="O40" s="13" t="str">
        <f t="shared" si="9"/>
        <v>최선규의 이제는 지방시대 시즌2</v>
      </c>
      <c r="P40" s="33">
        <f t="shared" si="10"/>
        <v>23</v>
      </c>
      <c r="Q40" s="14" t="str">
        <f t="shared" si="11"/>
        <v/>
      </c>
      <c r="R40" s="14" t="str">
        <f t="shared" si="12"/>
        <v>재방</v>
      </c>
      <c r="S40" s="14" t="str">
        <f>IF(O40&lt;&gt;"",VLOOKUP(O40,P.Info!$A$2:$B$150,2,0),"")</f>
        <v>주편성</v>
      </c>
    </row>
    <row r="41" spans="1:19" ht="11.25" customHeight="1" x14ac:dyDescent="0.3">
      <c r="A41" s="10" t="str">
        <f t="shared" si="18"/>
        <v/>
      </c>
      <c r="B41" s="11">
        <f>Weekly!$C$3</f>
        <v>45915</v>
      </c>
      <c r="C41" s="12">
        <v>0.13541666666666699</v>
      </c>
      <c r="D41" s="13">
        <f>Weekly!C43</f>
        <v>0</v>
      </c>
      <c r="E41" s="13" t="str">
        <f t="shared" si="19"/>
        <v/>
      </c>
      <c r="F41" s="13" t="str">
        <f t="shared" si="22"/>
        <v/>
      </c>
      <c r="G41" s="13" t="str">
        <f t="shared" si="20"/>
        <v/>
      </c>
      <c r="H41" s="13" t="str">
        <f t="shared" si="21"/>
        <v/>
      </c>
      <c r="I41" s="14" t="str">
        <f t="array" ref="I41">IF(getRGB1(Weekly!C43)="FFFF00","초방","재방")</f>
        <v>재방</v>
      </c>
      <c r="K41" s="30">
        <f t="shared" si="5"/>
        <v>45916.333333333336</v>
      </c>
      <c r="L41" s="31">
        <f t="shared" si="6"/>
        <v>45916</v>
      </c>
      <c r="M41" s="32">
        <f t="shared" si="7"/>
        <v>0.33333333333333298</v>
      </c>
      <c r="N41" s="32">
        <f t="shared" si="8"/>
        <v>2.0833333328482695E-2</v>
      </c>
      <c r="O41" s="13" t="str">
        <f t="shared" si="9"/>
        <v>NEWSPLUS</v>
      </c>
      <c r="P41" s="33">
        <f t="shared" si="10"/>
        <v>63</v>
      </c>
      <c r="Q41" s="14" t="str">
        <f t="shared" si="11"/>
        <v/>
      </c>
      <c r="R41" s="14" t="str">
        <f t="shared" si="12"/>
        <v>재방</v>
      </c>
      <c r="S41" s="14" t="str">
        <f>IF(O41&lt;&gt;"",VLOOKUP(O41,P.Info!$A$2:$B$150,2,0),"")</f>
        <v>주편성</v>
      </c>
    </row>
    <row r="42" spans="1:19" ht="11.25" customHeight="1" x14ac:dyDescent="0.3">
      <c r="A42" s="10" t="str">
        <f t="shared" si="18"/>
        <v/>
      </c>
      <c r="B42" s="11">
        <f>Weekly!$C$3</f>
        <v>45915</v>
      </c>
      <c r="C42" s="12">
        <v>0.13888888888888901</v>
      </c>
      <c r="D42" s="13">
        <f>Weekly!C44</f>
        <v>0</v>
      </c>
      <c r="E42" s="13" t="str">
        <f t="shared" si="19"/>
        <v/>
      </c>
      <c r="F42" s="13" t="str">
        <f t="shared" si="22"/>
        <v/>
      </c>
      <c r="G42" s="13" t="str">
        <f t="shared" si="20"/>
        <v/>
      </c>
      <c r="H42" s="13" t="str">
        <f t="shared" si="21"/>
        <v/>
      </c>
      <c r="I42" s="14" t="str">
        <f t="array" ref="I42">IF(getRGB1(Weekly!C44)="FFFF00","초방","재방")</f>
        <v>재방</v>
      </c>
      <c r="K42" s="30">
        <f t="shared" si="5"/>
        <v>45916.354166666664</v>
      </c>
      <c r="L42" s="31">
        <f t="shared" si="6"/>
        <v>45916</v>
      </c>
      <c r="M42" s="32">
        <f t="shared" si="7"/>
        <v>0.35416666666666702</v>
      </c>
      <c r="N42" s="32">
        <f t="shared" si="8"/>
        <v>3.4722222226264421E-2</v>
      </c>
      <c r="O42" s="13" t="str">
        <f t="shared" si="9"/>
        <v>남도스럽게</v>
      </c>
      <c r="P42" s="33">
        <f t="shared" si="10"/>
        <v>4</v>
      </c>
      <c r="Q42" s="14" t="str">
        <f t="shared" si="11"/>
        <v/>
      </c>
      <c r="R42" s="14" t="str">
        <f t="shared" si="12"/>
        <v>재방</v>
      </c>
      <c r="S42" s="14" t="str">
        <f>IF(O42&lt;&gt;"",VLOOKUP(O42,P.Info!$A$2:$B$150,2,0),"")</f>
        <v>주편성</v>
      </c>
    </row>
    <row r="43" spans="1:19" ht="11.25" customHeight="1" x14ac:dyDescent="0.3">
      <c r="A43" s="10" t="str">
        <f t="shared" si="18"/>
        <v/>
      </c>
      <c r="B43" s="11">
        <f>Weekly!$C$3</f>
        <v>45915</v>
      </c>
      <c r="C43" s="12">
        <v>0.14236111111111099</v>
      </c>
      <c r="D43" s="13">
        <f>Weekly!C45</f>
        <v>0</v>
      </c>
      <c r="E43" s="13" t="str">
        <f t="shared" si="19"/>
        <v/>
      </c>
      <c r="F43" s="13" t="str">
        <f t="shared" si="22"/>
        <v/>
      </c>
      <c r="G43" s="13" t="str">
        <f t="shared" si="20"/>
        <v/>
      </c>
      <c r="H43" s="13" t="str">
        <f t="shared" si="21"/>
        <v/>
      </c>
      <c r="I43" s="14" t="str">
        <f t="array" ref="I43">IF(getRGB1(Weekly!C45)="FFFF00","초방","재방")</f>
        <v>재방</v>
      </c>
      <c r="K43" s="30">
        <f t="shared" si="5"/>
        <v>45916.388888888891</v>
      </c>
      <c r="L43" s="31">
        <f t="shared" si="6"/>
        <v>45916</v>
      </c>
      <c r="M43" s="32">
        <f t="shared" si="7"/>
        <v>0.38888888888888901</v>
      </c>
      <c r="N43" s="32">
        <f t="shared" si="8"/>
        <v>2.7777777773735579E-2</v>
      </c>
      <c r="O43" s="13" t="str">
        <f t="shared" si="9"/>
        <v>눈에 띄는 그녀들 시즌3</v>
      </c>
      <c r="P43" s="33">
        <f t="shared" si="10"/>
        <v>8</v>
      </c>
      <c r="Q43" s="14" t="str">
        <f t="shared" si="11"/>
        <v/>
      </c>
      <c r="R43" s="14" t="str">
        <f t="shared" si="12"/>
        <v>재방</v>
      </c>
      <c r="S43" s="14" t="str">
        <f>IF(O43&lt;&gt;"",VLOOKUP(O43,P.Info!$A$2:$B$150,2,0),"")</f>
        <v>주편성</v>
      </c>
    </row>
    <row r="44" spans="1:19" ht="11.25" customHeight="1" x14ac:dyDescent="0.3">
      <c r="A44" s="10" t="str">
        <f t="shared" si="18"/>
        <v/>
      </c>
      <c r="B44" s="11">
        <f>Weekly!$C$3</f>
        <v>45915</v>
      </c>
      <c r="C44" s="12">
        <v>0.14583333333333301</v>
      </c>
      <c r="D44" s="13">
        <f>Weekly!C46</f>
        <v>0</v>
      </c>
      <c r="E44" s="13" t="str">
        <f t="shared" si="19"/>
        <v/>
      </c>
      <c r="F44" s="13" t="str">
        <f t="shared" si="22"/>
        <v/>
      </c>
      <c r="G44" s="13" t="str">
        <f t="shared" si="20"/>
        <v/>
      </c>
      <c r="H44" s="13" t="str">
        <f t="shared" si="21"/>
        <v/>
      </c>
      <c r="I44" s="14" t="str">
        <f t="array" ref="I44">IF(getRGB1(Weekly!C46)="FFFF00","초방","재방")</f>
        <v>재방</v>
      </c>
      <c r="K44" s="30">
        <f t="shared" si="5"/>
        <v>45916.416666666664</v>
      </c>
      <c r="L44" s="31">
        <f t="shared" si="6"/>
        <v>45916</v>
      </c>
      <c r="M44" s="32">
        <f t="shared" si="7"/>
        <v>0.41666666666666702</v>
      </c>
      <c r="N44" s="32">
        <f t="shared" si="8"/>
        <v>4.1666666671517305E-2</v>
      </c>
      <c r="O44" s="13" t="str">
        <f t="shared" si="9"/>
        <v>특집 2026 지방선거_서울특별시의회 생생중계_본회의</v>
      </c>
      <c r="P44" s="33">
        <f t="shared" si="10"/>
        <v>16</v>
      </c>
      <c r="Q44" s="14" t="str">
        <f t="shared" si="11"/>
        <v/>
      </c>
      <c r="R44" s="14" t="str">
        <f t="shared" si="12"/>
        <v>초방</v>
      </c>
      <c r="S44" s="14" t="str">
        <f>IF(O44&lt;&gt;"",VLOOKUP(O44,P.Info!$A$2:$B$150,2,0),"")</f>
        <v>주편성</v>
      </c>
    </row>
    <row r="45" spans="1:19" ht="11.25" customHeight="1" x14ac:dyDescent="0.3">
      <c r="A45" s="10" t="str">
        <f t="shared" si="18"/>
        <v/>
      </c>
      <c r="B45" s="11">
        <f>Weekly!$C$3</f>
        <v>45915</v>
      </c>
      <c r="C45" s="12">
        <v>0.149305555555556</v>
      </c>
      <c r="D45" s="13">
        <f>Weekly!C47</f>
        <v>0</v>
      </c>
      <c r="E45" s="13" t="str">
        <f t="shared" si="19"/>
        <v/>
      </c>
      <c r="F45" s="13" t="str">
        <f t="shared" si="22"/>
        <v/>
      </c>
      <c r="G45" s="13" t="str">
        <f t="shared" si="20"/>
        <v/>
      </c>
      <c r="H45" s="13" t="str">
        <f t="shared" si="21"/>
        <v/>
      </c>
      <c r="I45" s="14" t="str">
        <f t="array" ref="I45">IF(getRGB1(Weekly!C47)="FFFF00","초방","재방")</f>
        <v>재방</v>
      </c>
      <c r="K45" s="30">
        <f t="shared" si="5"/>
        <v>45916.458333333336</v>
      </c>
      <c r="L45" s="31">
        <f t="shared" si="6"/>
        <v>45916</v>
      </c>
      <c r="M45" s="32">
        <f t="shared" si="7"/>
        <v>0.45833333333333298</v>
      </c>
      <c r="N45" s="32">
        <f t="shared" si="8"/>
        <v>4.1666666664241347E-2</v>
      </c>
      <c r="O45" s="13" t="str">
        <f t="shared" si="9"/>
        <v>특집 2026 지방선거_경기도의회 생생중계_본회의</v>
      </c>
      <c r="P45" s="33">
        <f t="shared" si="10"/>
        <v>15</v>
      </c>
      <c r="Q45" s="14" t="str">
        <f t="shared" si="11"/>
        <v/>
      </c>
      <c r="R45" s="14" t="str">
        <f t="shared" si="12"/>
        <v>초방</v>
      </c>
      <c r="S45" s="14" t="str">
        <f>IF(O45&lt;&gt;"",VLOOKUP(O45,P.Info!$A$2:$B$150,2,0),"")</f>
        <v>주편성</v>
      </c>
    </row>
    <row r="46" spans="1:19" ht="11.25" customHeight="1" x14ac:dyDescent="0.3">
      <c r="A46" s="10">
        <f t="shared" si="18"/>
        <v>45915.152777777781</v>
      </c>
      <c r="B46" s="11">
        <f>Weekly!$C$3</f>
        <v>45915</v>
      </c>
      <c r="C46" s="12">
        <v>0.15277777777777801</v>
      </c>
      <c r="D46" s="13" t="str">
        <f>Weekly!C48</f>
        <v>태군노래자랑
&lt;08</v>
      </c>
      <c r="E46" s="13" t="str">
        <f t="shared" si="19"/>
        <v>태군노래자랑</v>
      </c>
      <c r="F46" s="13">
        <f t="shared" si="22"/>
        <v>8</v>
      </c>
      <c r="G46" s="13" t="str">
        <f t="shared" si="20"/>
        <v/>
      </c>
      <c r="H46" s="13" t="str">
        <f t="shared" si="21"/>
        <v/>
      </c>
      <c r="I46" s="14" t="str">
        <f t="array" ref="I46">IF(getRGB1(Weekly!C48)="FFFF00","초방","재방")</f>
        <v>재방</v>
      </c>
      <c r="K46" s="30">
        <f t="shared" si="5"/>
        <v>45916.5</v>
      </c>
      <c r="L46" s="31">
        <f t="shared" si="6"/>
        <v>45916</v>
      </c>
      <c r="M46" s="32">
        <f t="shared" si="7"/>
        <v>0.5</v>
      </c>
      <c r="N46" s="32">
        <f t="shared" si="8"/>
        <v>4.1666666664241347E-2</v>
      </c>
      <c r="O46" s="13" t="str">
        <f t="shared" si="9"/>
        <v>행복무지개</v>
      </c>
      <c r="P46" s="33">
        <f t="shared" si="10"/>
        <v>32</v>
      </c>
      <c r="Q46" s="14" t="str">
        <f t="shared" si="11"/>
        <v/>
      </c>
      <c r="R46" s="14" t="str">
        <f t="shared" si="12"/>
        <v>재방</v>
      </c>
      <c r="S46" s="14" t="str">
        <f>IF(O46&lt;&gt;"",VLOOKUP(O46,P.Info!$A$2:$B$150,2,0),"")</f>
        <v>주편성</v>
      </c>
    </row>
    <row r="47" spans="1:19" ht="11.25" customHeight="1" x14ac:dyDescent="0.3">
      <c r="A47" s="10" t="str">
        <f t="shared" si="18"/>
        <v/>
      </c>
      <c r="B47" s="11">
        <f>Weekly!$C$3</f>
        <v>45915</v>
      </c>
      <c r="C47" s="12">
        <v>0.15625</v>
      </c>
      <c r="D47" s="13">
        <f>Weekly!C49</f>
        <v>0</v>
      </c>
      <c r="E47" s="13" t="str">
        <f t="shared" si="19"/>
        <v/>
      </c>
      <c r="F47" s="13" t="str">
        <f t="shared" si="22"/>
        <v/>
      </c>
      <c r="G47" s="13" t="str">
        <f t="shared" si="20"/>
        <v/>
      </c>
      <c r="H47" s="13" t="str">
        <f t="shared" si="21"/>
        <v/>
      </c>
      <c r="I47" s="14" t="str">
        <f t="array" ref="I47">IF(getRGB1(Weekly!C49)="FFFF00","초방","재방")</f>
        <v>재방</v>
      </c>
      <c r="K47" s="30">
        <f t="shared" si="5"/>
        <v>45916.541666666664</v>
      </c>
      <c r="L47" s="31">
        <f t="shared" si="6"/>
        <v>45916</v>
      </c>
      <c r="M47" s="32">
        <f t="shared" si="7"/>
        <v>0.54166666666666696</v>
      </c>
      <c r="N47" s="32">
        <f t="shared" si="8"/>
        <v>2.0833333335758653E-2</v>
      </c>
      <c r="O47" s="13" t="str">
        <f t="shared" si="9"/>
        <v>NEWSJ</v>
      </c>
      <c r="P47" s="33">
        <f t="shared" si="10"/>
        <v>66</v>
      </c>
      <c r="Q47" s="14" t="str">
        <f t="shared" si="11"/>
        <v/>
      </c>
      <c r="R47" s="14" t="str">
        <f t="shared" si="12"/>
        <v>재방</v>
      </c>
      <c r="S47" s="14" t="str">
        <f>IF(O47&lt;&gt;"",VLOOKUP(O47,P.Info!$A$2:$B$150,2,0),"")</f>
        <v>주편성</v>
      </c>
    </row>
    <row r="48" spans="1:19" ht="11.25" customHeight="1" x14ac:dyDescent="0.3">
      <c r="A48" s="10" t="str">
        <f t="shared" si="18"/>
        <v/>
      </c>
      <c r="B48" s="11">
        <f>Weekly!$C$3</f>
        <v>45915</v>
      </c>
      <c r="C48" s="12">
        <v>0.15972222222222199</v>
      </c>
      <c r="D48" s="13">
        <f>Weekly!C50</f>
        <v>0</v>
      </c>
      <c r="E48" s="13" t="str">
        <f t="shared" si="19"/>
        <v/>
      </c>
      <c r="F48" s="13" t="str">
        <f t="shared" si="22"/>
        <v/>
      </c>
      <c r="G48" s="13" t="str">
        <f t="shared" si="20"/>
        <v/>
      </c>
      <c r="H48" s="13" t="str">
        <f t="shared" si="21"/>
        <v/>
      </c>
      <c r="I48" s="14" t="str">
        <f t="array" ref="I48">IF(getRGB1(Weekly!C50)="FFFF00","초방","재방")</f>
        <v>재방</v>
      </c>
      <c r="K48" s="30">
        <f t="shared" si="5"/>
        <v>45916.5625</v>
      </c>
      <c r="L48" s="31">
        <f t="shared" si="6"/>
        <v>45916</v>
      </c>
      <c r="M48" s="32">
        <f t="shared" si="7"/>
        <v>0.5625</v>
      </c>
      <c r="N48" s="32">
        <f t="shared" si="8"/>
        <v>2.0833333335758653E-2</v>
      </c>
      <c r="O48" s="13" t="str">
        <f t="shared" si="9"/>
        <v>더 人터뷰</v>
      </c>
      <c r="P48" s="33">
        <f t="shared" si="10"/>
        <v>52</v>
      </c>
      <c r="Q48" s="14" t="str">
        <f t="shared" si="11"/>
        <v/>
      </c>
      <c r="R48" s="14" t="str">
        <f t="shared" si="12"/>
        <v>재방</v>
      </c>
      <c r="S48" s="14" t="str">
        <f>IF(O48&lt;&gt;"",VLOOKUP(O48,P.Info!$A$2:$B$150,2,0),"")</f>
        <v>주편성</v>
      </c>
    </row>
    <row r="49" spans="1:19" ht="11.25" customHeight="1" x14ac:dyDescent="0.3">
      <c r="A49" s="10" t="str">
        <f t="shared" si="18"/>
        <v/>
      </c>
      <c r="B49" s="11">
        <f>Weekly!$C$3</f>
        <v>45915</v>
      </c>
      <c r="C49" s="12">
        <v>0.163194444444444</v>
      </c>
      <c r="D49" s="13">
        <f>Weekly!C51</f>
        <v>0</v>
      </c>
      <c r="E49" s="13" t="str">
        <f t="shared" si="19"/>
        <v/>
      </c>
      <c r="F49" s="13" t="str">
        <f t="shared" si="22"/>
        <v/>
      </c>
      <c r="G49" s="13" t="str">
        <f t="shared" si="20"/>
        <v/>
      </c>
      <c r="H49" s="13" t="str">
        <f t="shared" si="21"/>
        <v/>
      </c>
      <c r="I49" s="14" t="str">
        <f t="array" ref="I49">IF(getRGB1(Weekly!C51)="FFFF00","초방","재방")</f>
        <v>재방</v>
      </c>
      <c r="K49" s="30">
        <f t="shared" si="5"/>
        <v>45916.583333333336</v>
      </c>
      <c r="L49" s="31">
        <f t="shared" si="6"/>
        <v>45916</v>
      </c>
      <c r="M49" s="32">
        <f t="shared" si="7"/>
        <v>0.58333333333333304</v>
      </c>
      <c r="N49" s="32">
        <f t="shared" si="8"/>
        <v>4.1666666664241347E-2</v>
      </c>
      <c r="O49" s="13" t="str">
        <f t="shared" si="9"/>
        <v>특집 2026 지방선거_서울특별시의회 생생중계_상임위</v>
      </c>
      <c r="P49" s="33">
        <f t="shared" si="10"/>
        <v>16</v>
      </c>
      <c r="Q49" s="14" t="str">
        <f t="shared" si="11"/>
        <v/>
      </c>
      <c r="R49" s="14" t="str">
        <f t="shared" si="12"/>
        <v>초방</v>
      </c>
      <c r="S49" s="14" t="str">
        <f>IF(O49&lt;&gt;"",VLOOKUP(O49,P.Info!$A$2:$B$150,2,0),"")</f>
        <v>주편성</v>
      </c>
    </row>
    <row r="50" spans="1:19" ht="11.25" customHeight="1" x14ac:dyDescent="0.3">
      <c r="A50" s="10" t="str">
        <f t="shared" si="18"/>
        <v/>
      </c>
      <c r="B50" s="11">
        <f>Weekly!$C$3</f>
        <v>45915</v>
      </c>
      <c r="C50" s="12">
        <v>0.16666666666666699</v>
      </c>
      <c r="D50" s="13">
        <f>Weekly!C52</f>
        <v>0</v>
      </c>
      <c r="E50" s="13" t="str">
        <f t="shared" si="19"/>
        <v/>
      </c>
      <c r="F50" s="13" t="str">
        <f t="shared" si="22"/>
        <v/>
      </c>
      <c r="G50" s="13" t="str">
        <f t="shared" si="20"/>
        <v/>
      </c>
      <c r="H50" s="13" t="str">
        <f t="shared" si="21"/>
        <v/>
      </c>
      <c r="I50" s="14" t="str">
        <f t="array" ref="I50">IF(getRGB1(Weekly!C52)="FFFF00","초방","재방")</f>
        <v>재방</v>
      </c>
      <c r="K50" s="30">
        <f t="shared" si="5"/>
        <v>45916.625</v>
      </c>
      <c r="L50" s="31">
        <f t="shared" si="6"/>
        <v>45916</v>
      </c>
      <c r="M50" s="32">
        <f t="shared" si="7"/>
        <v>0.625</v>
      </c>
      <c r="N50" s="32">
        <f t="shared" si="8"/>
        <v>4.1666666664241347E-2</v>
      </c>
      <c r="O50" s="13" t="str">
        <f t="shared" si="9"/>
        <v>행복무지개</v>
      </c>
      <c r="P50" s="33">
        <f t="shared" si="10"/>
        <v>31</v>
      </c>
      <c r="Q50" s="14" t="str">
        <f t="shared" si="11"/>
        <v/>
      </c>
      <c r="R50" s="14" t="str">
        <f t="shared" si="12"/>
        <v>재방</v>
      </c>
      <c r="S50" s="14" t="str">
        <f>IF(O50&lt;&gt;"",VLOOKUP(O50,P.Info!$A$2:$B$150,2,0),"")</f>
        <v>주편성</v>
      </c>
    </row>
    <row r="51" spans="1:19" ht="11.25" customHeight="1" x14ac:dyDescent="0.3">
      <c r="A51" s="10" t="str">
        <f t="shared" si="18"/>
        <v/>
      </c>
      <c r="B51" s="11">
        <f>Weekly!$C$3</f>
        <v>45915</v>
      </c>
      <c r="C51" s="12">
        <v>0.17013888888888901</v>
      </c>
      <c r="D51" s="13">
        <f>Weekly!C53</f>
        <v>0</v>
      </c>
      <c r="E51" s="13" t="str">
        <f t="shared" si="19"/>
        <v/>
      </c>
      <c r="F51" s="13" t="str">
        <f t="shared" si="22"/>
        <v/>
      </c>
      <c r="G51" s="13" t="str">
        <f t="shared" si="20"/>
        <v/>
      </c>
      <c r="H51" s="13" t="str">
        <f t="shared" si="21"/>
        <v/>
      </c>
      <c r="I51" s="14" t="str">
        <f t="array" ref="I51">IF(getRGB1(Weekly!C53)="FFFF00","초방","재방")</f>
        <v>재방</v>
      </c>
      <c r="K51" s="30">
        <f t="shared" si="5"/>
        <v>45916.666666666664</v>
      </c>
      <c r="L51" s="31">
        <f t="shared" si="6"/>
        <v>45916</v>
      </c>
      <c r="M51" s="32">
        <f t="shared" si="7"/>
        <v>0.66666666666666696</v>
      </c>
      <c r="N51" s="32">
        <f t="shared" si="8"/>
        <v>2.0833333335758653E-2</v>
      </c>
      <c r="O51" s="13" t="str">
        <f t="shared" si="9"/>
        <v>NEWS4</v>
      </c>
      <c r="P51" s="33">
        <f t="shared" si="10"/>
        <v>63</v>
      </c>
      <c r="Q51" s="14" t="str">
        <f t="shared" si="11"/>
        <v/>
      </c>
      <c r="R51" s="14" t="str">
        <f t="shared" si="12"/>
        <v>재방</v>
      </c>
      <c r="S51" s="14" t="str">
        <f>IF(O51&lt;&gt;"",VLOOKUP(O51,P.Info!$A$2:$B$150,2,0),"")</f>
        <v>주편성</v>
      </c>
    </row>
    <row r="52" spans="1:19" ht="11.25" customHeight="1" x14ac:dyDescent="0.3">
      <c r="A52" s="10" t="str">
        <f t="shared" si="18"/>
        <v/>
      </c>
      <c r="B52" s="11">
        <f>Weekly!$C$3</f>
        <v>45915</v>
      </c>
      <c r="C52" s="12">
        <v>0.17361111111111099</v>
      </c>
      <c r="D52" s="13">
        <f>Weekly!C54</f>
        <v>0</v>
      </c>
      <c r="E52" s="13" t="str">
        <f t="shared" si="19"/>
        <v/>
      </c>
      <c r="F52" s="13" t="str">
        <f t="shared" si="22"/>
        <v/>
      </c>
      <c r="G52" s="13" t="str">
        <f t="shared" si="20"/>
        <v/>
      </c>
      <c r="H52" s="13" t="str">
        <f t="shared" si="21"/>
        <v/>
      </c>
      <c r="I52" s="14" t="str">
        <f t="array" ref="I52">IF(getRGB1(Weekly!C54)="FFFF00","초방","재방")</f>
        <v>재방</v>
      </c>
      <c r="K52" s="30">
        <f t="shared" si="5"/>
        <v>45916.6875</v>
      </c>
      <c r="L52" s="31">
        <f t="shared" si="6"/>
        <v>45916</v>
      </c>
      <c r="M52" s="32">
        <f t="shared" si="7"/>
        <v>0.6875</v>
      </c>
      <c r="N52" s="32">
        <f t="shared" si="8"/>
        <v>2.0833333335758653E-2</v>
      </c>
      <c r="O52" s="13" t="str">
        <f t="shared" si="9"/>
        <v>호남, 호남人</v>
      </c>
      <c r="P52" s="33">
        <f t="shared" si="10"/>
        <v>131</v>
      </c>
      <c r="Q52" s="14" t="str">
        <f t="shared" si="11"/>
        <v/>
      </c>
      <c r="R52" s="14" t="str">
        <f t="shared" si="12"/>
        <v>재방</v>
      </c>
      <c r="S52" s="14" t="str">
        <f>IF(O52&lt;&gt;"",VLOOKUP(O52,P.Info!$A$2:$B$150,2,0),"")</f>
        <v>주편성</v>
      </c>
    </row>
    <row r="53" spans="1:19" ht="11.25" customHeight="1" x14ac:dyDescent="0.3">
      <c r="A53" s="10" t="str">
        <f t="shared" si="18"/>
        <v/>
      </c>
      <c r="B53" s="11">
        <f>Weekly!$C$3</f>
        <v>45915</v>
      </c>
      <c r="C53" s="12">
        <v>0.17708333333333301</v>
      </c>
      <c r="D53" s="13">
        <f>Weekly!C55</f>
        <v>0</v>
      </c>
      <c r="E53" s="13" t="str">
        <f t="shared" si="19"/>
        <v/>
      </c>
      <c r="F53" s="13" t="str">
        <f t="shared" si="22"/>
        <v/>
      </c>
      <c r="G53" s="13" t="str">
        <f t="shared" si="20"/>
        <v/>
      </c>
      <c r="H53" s="13" t="str">
        <f t="shared" si="21"/>
        <v/>
      </c>
      <c r="I53" s="14" t="str">
        <f t="array" ref="I53">IF(getRGB1(Weekly!C55)="FFFF00","초방","재방")</f>
        <v>재방</v>
      </c>
      <c r="K53" s="30">
        <f t="shared" si="5"/>
        <v>45916.708333333336</v>
      </c>
      <c r="L53" s="31">
        <f t="shared" si="6"/>
        <v>45916</v>
      </c>
      <c r="M53" s="32">
        <f t="shared" si="7"/>
        <v>0.70833333333333304</v>
      </c>
      <c r="N53" s="32">
        <f t="shared" si="8"/>
        <v>4.1666666664241347E-2</v>
      </c>
      <c r="O53" s="13" t="str">
        <f t="shared" si="9"/>
        <v>특집 2026 지방선거_경기도의회 생생중계_상임위</v>
      </c>
      <c r="P53" s="33">
        <f t="shared" si="10"/>
        <v>15</v>
      </c>
      <c r="Q53" s="14" t="str">
        <f t="shared" si="11"/>
        <v/>
      </c>
      <c r="R53" s="14" t="str">
        <f t="shared" si="12"/>
        <v>초방</v>
      </c>
      <c r="S53" s="14" t="str">
        <f>IF(O53&lt;&gt;"",VLOOKUP(O53,P.Info!$A$2:$B$150,2,0),"")</f>
        <v>주편성</v>
      </c>
    </row>
    <row r="54" spans="1:19" ht="11.25" customHeight="1" x14ac:dyDescent="0.3">
      <c r="A54" s="10" t="str">
        <f t="shared" si="18"/>
        <v/>
      </c>
      <c r="B54" s="11">
        <f>Weekly!$C$3</f>
        <v>45915</v>
      </c>
      <c r="C54" s="12">
        <v>0.180555555555556</v>
      </c>
      <c r="D54" s="13">
        <f>Weekly!C56</f>
        <v>0</v>
      </c>
      <c r="E54" s="13" t="str">
        <f t="shared" si="19"/>
        <v/>
      </c>
      <c r="F54" s="13" t="str">
        <f t="shared" si="22"/>
        <v/>
      </c>
      <c r="G54" s="13" t="str">
        <f t="shared" si="20"/>
        <v/>
      </c>
      <c r="H54" s="13" t="str">
        <f t="shared" si="21"/>
        <v/>
      </c>
      <c r="I54" s="14" t="str">
        <f t="array" ref="I54">IF(getRGB1(Weekly!C56)="FFFF00","초방","재방")</f>
        <v>재방</v>
      </c>
      <c r="K54" s="30">
        <f t="shared" si="5"/>
        <v>45916.75</v>
      </c>
      <c r="L54" s="31">
        <f t="shared" si="6"/>
        <v>45916</v>
      </c>
      <c r="M54" s="32">
        <f t="shared" si="7"/>
        <v>0.75</v>
      </c>
      <c r="N54" s="32">
        <f t="shared" si="8"/>
        <v>2.0833333335758653E-2</v>
      </c>
      <c r="O54" s="13" t="str">
        <f t="shared" si="9"/>
        <v>눈에 띄는 그녀들 시즌5</v>
      </c>
      <c r="P54" s="33">
        <f t="shared" si="10"/>
        <v>6</v>
      </c>
      <c r="Q54" s="14" t="str">
        <f t="shared" si="11"/>
        <v/>
      </c>
      <c r="R54" s="14" t="str">
        <f t="shared" si="12"/>
        <v>초방</v>
      </c>
      <c r="S54" s="14" t="str">
        <f>IF(O54&lt;&gt;"",VLOOKUP(O54,P.Info!$A$2:$B$150,2,0),"")</f>
        <v>주편성</v>
      </c>
    </row>
    <row r="55" spans="1:19" ht="11.25" customHeight="1" x14ac:dyDescent="0.3">
      <c r="A55" s="10" t="str">
        <f t="shared" si="18"/>
        <v/>
      </c>
      <c r="B55" s="11">
        <f>Weekly!$C$3</f>
        <v>45915</v>
      </c>
      <c r="C55" s="12">
        <v>0.18402777777777801</v>
      </c>
      <c r="D55" s="13">
        <f>Weekly!C57</f>
        <v>0</v>
      </c>
      <c r="E55" s="13" t="str">
        <f t="shared" si="19"/>
        <v/>
      </c>
      <c r="F55" s="13" t="str">
        <f t="shared" si="22"/>
        <v/>
      </c>
      <c r="G55" s="13" t="str">
        <f t="shared" si="20"/>
        <v/>
      </c>
      <c r="H55" s="13" t="str">
        <f t="shared" si="21"/>
        <v/>
      </c>
      <c r="I55" s="14" t="str">
        <f t="array" ref="I55">IF(getRGB1(Weekly!C57)="FFFF00","초방","재방")</f>
        <v>재방</v>
      </c>
      <c r="K55" s="30">
        <f t="shared" si="5"/>
        <v>45916.770833333336</v>
      </c>
      <c r="L55" s="31">
        <f t="shared" si="6"/>
        <v>45916</v>
      </c>
      <c r="M55" s="32">
        <f t="shared" si="7"/>
        <v>0.77083333333333304</v>
      </c>
      <c r="N55" s="32">
        <f t="shared" si="8"/>
        <v>2.0833333328482695E-2</v>
      </c>
      <c r="O55" s="13" t="str">
        <f t="shared" si="9"/>
        <v>낭만살롱</v>
      </c>
      <c r="P55" s="33">
        <f t="shared" si="10"/>
        <v>6</v>
      </c>
      <c r="Q55" s="14" t="str">
        <f t="shared" si="11"/>
        <v/>
      </c>
      <c r="R55" s="14" t="str">
        <f t="shared" si="12"/>
        <v>재방</v>
      </c>
      <c r="S55" s="14" t="str">
        <f>IF(O55&lt;&gt;"",VLOOKUP(O55,P.Info!$A$2:$B$150,2,0),"")</f>
        <v>주편성</v>
      </c>
    </row>
    <row r="56" spans="1:19" ht="11.25" customHeight="1" x14ac:dyDescent="0.3">
      <c r="A56" s="10" t="str">
        <f t="shared" si="18"/>
        <v/>
      </c>
      <c r="B56" s="11">
        <f>Weekly!$C$3</f>
        <v>45915</v>
      </c>
      <c r="C56" s="12">
        <v>0.1875</v>
      </c>
      <c r="D56" s="13">
        <f>Weekly!C58</f>
        <v>0</v>
      </c>
      <c r="E56" s="13" t="str">
        <f t="shared" si="19"/>
        <v/>
      </c>
      <c r="F56" s="13" t="str">
        <f t="shared" si="22"/>
        <v/>
      </c>
      <c r="G56" s="13" t="str">
        <f t="shared" si="20"/>
        <v/>
      </c>
      <c r="H56" s="13" t="str">
        <f t="shared" si="21"/>
        <v/>
      </c>
      <c r="I56" s="14" t="str">
        <f t="array" ref="I56">IF(getRGB1(Weekly!C58)="FFFF00","초방","재방")</f>
        <v>재방</v>
      </c>
      <c r="K56" s="30">
        <f t="shared" si="5"/>
        <v>45916.791666666664</v>
      </c>
      <c r="L56" s="31">
        <f t="shared" si="6"/>
        <v>45916</v>
      </c>
      <c r="M56" s="32">
        <f t="shared" si="7"/>
        <v>0.79166666666666696</v>
      </c>
      <c r="N56" s="32">
        <f t="shared" si="8"/>
        <v>4.1666666671517305E-2</v>
      </c>
      <c r="O56" s="13" t="str">
        <f t="shared" si="9"/>
        <v>더 人터뷰</v>
      </c>
      <c r="P56" s="33">
        <f t="shared" si="10"/>
        <v>2</v>
      </c>
      <c r="Q56" s="14" t="str">
        <f t="shared" si="11"/>
        <v/>
      </c>
      <c r="R56" s="14" t="str">
        <f t="shared" si="12"/>
        <v>재방</v>
      </c>
      <c r="S56" s="14" t="str">
        <f>IF(O56&lt;&gt;"",VLOOKUP(O56,P.Info!$A$2:$B$150,2,0),"")</f>
        <v>주편성</v>
      </c>
    </row>
    <row r="57" spans="1:19" ht="11.25" customHeight="1" x14ac:dyDescent="0.3">
      <c r="A57" s="10" t="str">
        <f t="shared" si="18"/>
        <v/>
      </c>
      <c r="B57" s="11">
        <f>Weekly!$C$3</f>
        <v>45915</v>
      </c>
      <c r="C57" s="12">
        <v>0.19097222222222199</v>
      </c>
      <c r="D57" s="13">
        <f>Weekly!C59</f>
        <v>0</v>
      </c>
      <c r="E57" s="13" t="str">
        <f t="shared" si="19"/>
        <v/>
      </c>
      <c r="F57" s="13" t="str">
        <f t="shared" si="22"/>
        <v/>
      </c>
      <c r="G57" s="13" t="str">
        <f t="shared" si="20"/>
        <v/>
      </c>
      <c r="H57" s="13" t="str">
        <f t="shared" si="21"/>
        <v/>
      </c>
      <c r="I57" s="14" t="str">
        <f t="array" ref="I57">IF(getRGB1(Weekly!C59)="FFFF00","초방","재방")</f>
        <v>재방</v>
      </c>
      <c r="K57" s="30">
        <f t="shared" si="5"/>
        <v>45916.833333333336</v>
      </c>
      <c r="L57" s="31">
        <f t="shared" si="6"/>
        <v>45916</v>
      </c>
      <c r="M57" s="32">
        <f t="shared" si="7"/>
        <v>0.83333333333333304</v>
      </c>
      <c r="N57" s="32">
        <f t="shared" si="8"/>
        <v>2.0833333328482695E-2</v>
      </c>
      <c r="O57" s="13" t="str">
        <f t="shared" si="9"/>
        <v>NEWSON</v>
      </c>
      <c r="P57" s="33">
        <f t="shared" si="10"/>
        <v>66</v>
      </c>
      <c r="Q57" s="14" t="str">
        <f t="shared" si="11"/>
        <v/>
      </c>
      <c r="R57" s="14" t="str">
        <f t="shared" si="12"/>
        <v>재방</v>
      </c>
      <c r="S57" s="14" t="str">
        <f>IF(O57&lt;&gt;"",VLOOKUP(O57,P.Info!$A$2:$B$150,2,0),"")</f>
        <v>주편성</v>
      </c>
    </row>
    <row r="58" spans="1:19" ht="11.25" customHeight="1" x14ac:dyDescent="0.3">
      <c r="A58" s="10">
        <f t="shared" si="18"/>
        <v>45915.194444444445</v>
      </c>
      <c r="B58" s="11">
        <f>Weekly!$C$3</f>
        <v>45915</v>
      </c>
      <c r="C58" s="12">
        <v>0.194444444444444</v>
      </c>
      <c r="D58" s="13" t="str">
        <f>Weekly!C60</f>
        <v xml:space="preserve"> NEWS4
&lt;63</v>
      </c>
      <c r="E58" s="13" t="str">
        <f t="shared" si="19"/>
        <v>NEWS4</v>
      </c>
      <c r="F58" s="13">
        <f t="shared" si="22"/>
        <v>63</v>
      </c>
      <c r="G58" s="13" t="str">
        <f t="shared" si="20"/>
        <v/>
      </c>
      <c r="H58" s="13" t="str">
        <f t="shared" si="21"/>
        <v/>
      </c>
      <c r="I58" s="14" t="str">
        <f t="array" ref="I58">IF(getRGB1(Weekly!C60)="FFFF00","초방","재방")</f>
        <v>재방</v>
      </c>
      <c r="K58" s="30">
        <f t="shared" si="5"/>
        <v>45916.854166666664</v>
      </c>
      <c r="L58" s="31">
        <f t="shared" si="6"/>
        <v>45916</v>
      </c>
      <c r="M58" s="32">
        <f t="shared" si="7"/>
        <v>0.85416666666666696</v>
      </c>
      <c r="N58" s="32">
        <f t="shared" si="8"/>
        <v>3.4722222226264421E-2</v>
      </c>
      <c r="O58" s="13" t="str">
        <f t="shared" si="9"/>
        <v>우리동네 너튜브</v>
      </c>
      <c r="P58" s="33">
        <f t="shared" si="10"/>
        <v>5</v>
      </c>
      <c r="Q58" s="14" t="str">
        <f t="shared" si="11"/>
        <v/>
      </c>
      <c r="R58" s="14" t="str">
        <f t="shared" si="12"/>
        <v>재방</v>
      </c>
      <c r="S58" s="14" t="str">
        <f>IF(O58&lt;&gt;"",VLOOKUP(O58,P.Info!$A$2:$B$150,2,0),"")</f>
        <v>주편성</v>
      </c>
    </row>
    <row r="59" spans="1:19" ht="11.25" customHeight="1" x14ac:dyDescent="0.3">
      <c r="A59" s="10" t="str">
        <f t="shared" si="18"/>
        <v/>
      </c>
      <c r="B59" s="11">
        <f>Weekly!$C$3</f>
        <v>45915</v>
      </c>
      <c r="C59" s="12">
        <v>0.19791666666666699</v>
      </c>
      <c r="D59" s="13">
        <f>Weekly!C61</f>
        <v>0</v>
      </c>
      <c r="E59" s="13" t="str">
        <f t="shared" si="19"/>
        <v/>
      </c>
      <c r="F59" s="13" t="str">
        <f t="shared" si="22"/>
        <v/>
      </c>
      <c r="G59" s="13" t="str">
        <f t="shared" si="20"/>
        <v/>
      </c>
      <c r="H59" s="13" t="str">
        <f t="shared" si="21"/>
        <v/>
      </c>
      <c r="I59" s="14" t="str">
        <f t="array" ref="I59">IF(getRGB1(Weekly!C61)="FFFF00","초방","재방")</f>
        <v>재방</v>
      </c>
      <c r="K59" s="30">
        <f t="shared" si="5"/>
        <v>45916.888888888891</v>
      </c>
      <c r="L59" s="31">
        <f t="shared" si="6"/>
        <v>45916</v>
      </c>
      <c r="M59" s="32">
        <f t="shared" si="7"/>
        <v>0.88888888888888895</v>
      </c>
      <c r="N59" s="32">
        <f t="shared" si="8"/>
        <v>2.7777777773735579E-2</v>
      </c>
      <c r="O59" s="13" t="str">
        <f t="shared" si="9"/>
        <v>낭만살롱</v>
      </c>
      <c r="P59" s="33">
        <f t="shared" si="10"/>
        <v>2</v>
      </c>
      <c r="Q59" s="14" t="str">
        <f t="shared" si="11"/>
        <v/>
      </c>
      <c r="R59" s="14" t="str">
        <f t="shared" si="12"/>
        <v>재방</v>
      </c>
      <c r="S59" s="14" t="str">
        <f>IF(O59&lt;&gt;"",VLOOKUP(O59,P.Info!$A$2:$B$150,2,0),"")</f>
        <v>주편성</v>
      </c>
    </row>
    <row r="60" spans="1:19" ht="11.25" customHeight="1" x14ac:dyDescent="0.3">
      <c r="A60" s="10" t="str">
        <f t="shared" si="18"/>
        <v/>
      </c>
      <c r="B60" s="11">
        <f>Weekly!$C$3</f>
        <v>45915</v>
      </c>
      <c r="C60" s="12">
        <v>0.20138888888888901</v>
      </c>
      <c r="D60" s="13">
        <f>Weekly!C62</f>
        <v>0</v>
      </c>
      <c r="E60" s="13" t="str">
        <f t="shared" si="19"/>
        <v/>
      </c>
      <c r="F60" s="13" t="str">
        <f t="shared" si="22"/>
        <v/>
      </c>
      <c r="G60" s="13" t="str">
        <f t="shared" si="20"/>
        <v/>
      </c>
      <c r="H60" s="13" t="str">
        <f t="shared" si="21"/>
        <v/>
      </c>
      <c r="I60" s="14" t="str">
        <f t="array" ref="I60">IF(getRGB1(Weekly!C62)="FFFF00","초방","재방")</f>
        <v>재방</v>
      </c>
      <c r="K60" s="30">
        <f t="shared" si="5"/>
        <v>45916.916666666664</v>
      </c>
      <c r="L60" s="31">
        <f t="shared" si="6"/>
        <v>45916</v>
      </c>
      <c r="M60" s="32">
        <f t="shared" si="7"/>
        <v>0.91666666666666696</v>
      </c>
      <c r="N60" s="32">
        <f t="shared" si="8"/>
        <v>4.1666666671517305E-2</v>
      </c>
      <c r="O60" s="13" t="str">
        <f t="shared" si="9"/>
        <v>특집 2026 지방선거_서울특별시의회 생생중계_본회의</v>
      </c>
      <c r="P60" s="33">
        <f t="shared" si="10"/>
        <v>16</v>
      </c>
      <c r="Q60" s="14" t="str">
        <f t="shared" si="11"/>
        <v/>
      </c>
      <c r="R60" s="14" t="str">
        <f t="shared" si="12"/>
        <v>재방</v>
      </c>
      <c r="S60" s="14" t="str">
        <f>IF(O60&lt;&gt;"",VLOOKUP(O60,P.Info!$A$2:$B$150,2,0),"")</f>
        <v>주편성</v>
      </c>
    </row>
    <row r="61" spans="1:19" ht="11.25" customHeight="1" x14ac:dyDescent="0.3">
      <c r="A61" s="10" t="str">
        <f t="shared" si="18"/>
        <v/>
      </c>
      <c r="B61" s="11">
        <f>Weekly!$C$3</f>
        <v>45915</v>
      </c>
      <c r="C61" s="12">
        <v>0.20486111111111099</v>
      </c>
      <c r="D61" s="13">
        <f>Weekly!C63</f>
        <v>0</v>
      </c>
      <c r="E61" s="13" t="str">
        <f t="shared" si="19"/>
        <v/>
      </c>
      <c r="F61" s="13" t="str">
        <f t="shared" si="22"/>
        <v/>
      </c>
      <c r="G61" s="13" t="str">
        <f t="shared" si="20"/>
        <v/>
      </c>
      <c r="H61" s="13" t="str">
        <f t="shared" si="21"/>
        <v/>
      </c>
      <c r="I61" s="14" t="str">
        <f t="array" ref="I61">IF(getRGB1(Weekly!C63)="FFFF00","초방","재방")</f>
        <v>재방</v>
      </c>
      <c r="K61" s="30">
        <f t="shared" si="5"/>
        <v>45916.958333333336</v>
      </c>
      <c r="L61" s="31">
        <f t="shared" si="6"/>
        <v>45916</v>
      </c>
      <c r="M61" s="32">
        <f t="shared" si="7"/>
        <v>0.95833333333333304</v>
      </c>
      <c r="N61" s="32">
        <f t="shared" si="8"/>
        <v>4.1666666664241347E-2</v>
      </c>
      <c r="O61" s="13" t="str">
        <f t="shared" si="9"/>
        <v>특집 2026 지방선거_서울특별시의회 생생중계_상임위</v>
      </c>
      <c r="P61" s="33">
        <f t="shared" si="10"/>
        <v>16</v>
      </c>
      <c r="Q61" s="14" t="str">
        <f t="shared" si="11"/>
        <v/>
      </c>
      <c r="R61" s="14" t="str">
        <f t="shared" si="12"/>
        <v>재방</v>
      </c>
      <c r="S61" s="14" t="str">
        <f>IF(O61&lt;&gt;"",VLOOKUP(O61,P.Info!$A$2:$B$150,2,0),"")</f>
        <v>주편성</v>
      </c>
    </row>
    <row r="62" spans="1:19" ht="11.25" customHeight="1" x14ac:dyDescent="0.3">
      <c r="A62" s="10" t="str">
        <f t="shared" si="18"/>
        <v/>
      </c>
      <c r="B62" s="11">
        <f>Weekly!$C$3</f>
        <v>45915</v>
      </c>
      <c r="C62" s="12">
        <v>0.20833333333333301</v>
      </c>
      <c r="D62" s="13">
        <f>Weekly!C64</f>
        <v>0</v>
      </c>
      <c r="E62" s="13" t="str">
        <f t="shared" si="19"/>
        <v/>
      </c>
      <c r="F62" s="13" t="str">
        <f t="shared" si="22"/>
        <v/>
      </c>
      <c r="G62" s="13" t="str">
        <f t="shared" si="20"/>
        <v/>
      </c>
      <c r="H62" s="13" t="str">
        <f t="shared" si="21"/>
        <v/>
      </c>
      <c r="I62" s="14" t="str">
        <f t="array" ref="I62">IF(getRGB1(Weekly!C64)="FFFF00","초방","재방")</f>
        <v>재방</v>
      </c>
      <c r="K62" s="30">
        <f t="shared" si="5"/>
        <v>45917</v>
      </c>
      <c r="L62" s="31">
        <f t="shared" si="6"/>
        <v>45917</v>
      </c>
      <c r="M62" s="32">
        <f t="shared" si="7"/>
        <v>0</v>
      </c>
      <c r="N62" s="32">
        <f t="shared" si="8"/>
        <v>4.1666666664241347E-2</v>
      </c>
      <c r="O62" s="13" t="str">
        <f t="shared" si="9"/>
        <v>특집 2026 지방선거_경기도의회 생생중계_본회의</v>
      </c>
      <c r="P62" s="33">
        <f t="shared" si="10"/>
        <v>15</v>
      </c>
      <c r="Q62" s="14" t="str">
        <f t="shared" si="11"/>
        <v/>
      </c>
      <c r="R62" s="14" t="e">
        <f t="shared" ca="1" si="12"/>
        <v>#NAME?</v>
      </c>
      <c r="S62" s="14" t="str">
        <f>IF(O62&lt;&gt;"",VLOOKUP(O62,P.Info!$A$2:$B$150,2,0),"")</f>
        <v>주편성</v>
      </c>
    </row>
    <row r="63" spans="1:19" ht="11.25" customHeight="1" x14ac:dyDescent="0.3">
      <c r="A63" s="10" t="str">
        <f t="shared" si="18"/>
        <v/>
      </c>
      <c r="B63" s="11">
        <f>Weekly!$C$3</f>
        <v>45915</v>
      </c>
      <c r="C63" s="12">
        <v>0.211805555555556</v>
      </c>
      <c r="D63" s="13">
        <f>Weekly!C65</f>
        <v>0</v>
      </c>
      <c r="E63" s="13" t="str">
        <f t="shared" si="19"/>
        <v/>
      </c>
      <c r="F63" s="13" t="str">
        <f t="shared" si="22"/>
        <v/>
      </c>
      <c r="G63" s="13" t="str">
        <f t="shared" si="20"/>
        <v/>
      </c>
      <c r="H63" s="13" t="str">
        <f t="shared" si="21"/>
        <v/>
      </c>
      <c r="I63" s="14" t="str">
        <f t="array" ref="I63">IF(getRGB1(Weekly!C65)="FFFF00","초방","재방")</f>
        <v>재방</v>
      </c>
      <c r="K63" s="30">
        <f t="shared" si="5"/>
        <v>45917.041666666664</v>
      </c>
      <c r="L63" s="31">
        <f t="shared" si="6"/>
        <v>45917</v>
      </c>
      <c r="M63" s="32">
        <f t="shared" si="7"/>
        <v>4.1666666666666699E-2</v>
      </c>
      <c r="N63" s="32">
        <f t="shared" si="8"/>
        <v>4.1666666671517305E-2</v>
      </c>
      <c r="O63" s="13" t="str">
        <f t="shared" si="9"/>
        <v>특집 2026 지방선거_경기도의회 생생중계_상임위</v>
      </c>
      <c r="P63" s="33">
        <f t="shared" si="10"/>
        <v>15</v>
      </c>
      <c r="Q63" s="14" t="str">
        <f t="shared" si="11"/>
        <v/>
      </c>
      <c r="R63" s="14" t="e">
        <f t="shared" ca="1" si="12"/>
        <v>#NAME?</v>
      </c>
      <c r="S63" s="14" t="str">
        <f>IF(O63&lt;&gt;"",VLOOKUP(O63,P.Info!$A$2:$B$150,2,0),"")</f>
        <v>주편성</v>
      </c>
    </row>
    <row r="64" spans="1:19" ht="11.25" customHeight="1" x14ac:dyDescent="0.3">
      <c r="A64" s="10">
        <f t="shared" si="18"/>
        <v>45915.215277777781</v>
      </c>
      <c r="B64" s="11">
        <f>Weekly!$C$3</f>
        <v>45915</v>
      </c>
      <c r="C64" s="12">
        <v>0.21527777777777801</v>
      </c>
      <c r="D64" s="13" t="str">
        <f>Weekly!C66</f>
        <v xml:space="preserve"> 내삶을바꾸는정책
&lt;2189</v>
      </c>
      <c r="E64" s="13" t="str">
        <f t="shared" si="19"/>
        <v>내삶을바꾸는정책</v>
      </c>
      <c r="F64" s="13">
        <f t="shared" si="22"/>
        <v>2189</v>
      </c>
      <c r="G64" s="13" t="str">
        <f t="shared" si="20"/>
        <v/>
      </c>
      <c r="H64" s="13" t="str">
        <f t="shared" si="21"/>
        <v/>
      </c>
      <c r="I64" s="14" t="str">
        <f t="array" ref="I64">IF(getRGB1(Weekly!C66)="FFFF00","초방","재방")</f>
        <v>초방</v>
      </c>
      <c r="K64" s="30">
        <f t="shared" si="5"/>
        <v>45917.083333333336</v>
      </c>
      <c r="L64" s="31">
        <f t="shared" si="6"/>
        <v>45917</v>
      </c>
      <c r="M64" s="32">
        <f t="shared" si="7"/>
        <v>8.3333333333333301E-2</v>
      </c>
      <c r="N64" s="32">
        <f t="shared" si="8"/>
        <v>2.7777777773735579E-2</v>
      </c>
      <c r="O64" s="13" t="str">
        <f t="shared" si="9"/>
        <v>휴먼다큐 시장사람들</v>
      </c>
      <c r="P64" s="33">
        <f t="shared" si="10"/>
        <v>17</v>
      </c>
      <c r="Q64" s="14" t="str">
        <f t="shared" si="11"/>
        <v/>
      </c>
      <c r="R64" s="14" t="str">
        <f t="shared" si="12"/>
        <v>재방</v>
      </c>
      <c r="S64" s="14" t="str">
        <f>IF(O64&lt;&gt;"",VLOOKUP(O64,P.Info!$A$2:$B$150,2,0),"")</f>
        <v>주편성</v>
      </c>
    </row>
    <row r="65" spans="1:19" ht="11.25" customHeight="1" x14ac:dyDescent="0.3">
      <c r="A65" s="10" t="str">
        <f t="shared" si="18"/>
        <v/>
      </c>
      <c r="B65" s="11">
        <f>Weekly!$C$3</f>
        <v>45915</v>
      </c>
      <c r="C65" s="12">
        <v>0.21875</v>
      </c>
      <c r="D65" s="13">
        <f>Weekly!C67</f>
        <v>0</v>
      </c>
      <c r="E65" s="13" t="str">
        <f t="shared" si="19"/>
        <v/>
      </c>
      <c r="F65" s="13" t="str">
        <f t="shared" si="22"/>
        <v/>
      </c>
      <c r="G65" s="13" t="str">
        <f t="shared" si="20"/>
        <v/>
      </c>
      <c r="H65" s="13" t="str">
        <f t="shared" si="21"/>
        <v/>
      </c>
      <c r="I65" s="14" t="str">
        <f t="array" ref="I65">IF(getRGB1(Weekly!C67)="FFFF00","초방","재방")</f>
        <v>초방</v>
      </c>
      <c r="K65" s="30">
        <f t="shared" si="5"/>
        <v>45917.111111111109</v>
      </c>
      <c r="L65" s="31">
        <f t="shared" si="6"/>
        <v>45917</v>
      </c>
      <c r="M65" s="32">
        <f t="shared" si="7"/>
        <v>0.11111111111111099</v>
      </c>
      <c r="N65" s="32">
        <f t="shared" si="8"/>
        <v>4.1666666671517305E-2</v>
      </c>
      <c r="O65" s="13" t="str">
        <f t="shared" si="9"/>
        <v>최선규의 이제는 지방시대 시즌2</v>
      </c>
      <c r="P65" s="33">
        <f t="shared" si="10"/>
        <v>6</v>
      </c>
      <c r="Q65" s="14" t="str">
        <f t="shared" si="11"/>
        <v/>
      </c>
      <c r="R65" s="14" t="str">
        <f t="shared" si="12"/>
        <v>재방</v>
      </c>
      <c r="S65" s="14" t="str">
        <f>IF(O65&lt;&gt;"",VLOOKUP(O65,P.Info!$A$2:$B$150,2,0),"")</f>
        <v>주편성</v>
      </c>
    </row>
    <row r="66" spans="1:19" ht="11.25" customHeight="1" x14ac:dyDescent="0.3">
      <c r="A66" s="10" t="str">
        <f t="shared" si="18"/>
        <v/>
      </c>
      <c r="B66" s="11">
        <f>Weekly!$C$3</f>
        <v>45915</v>
      </c>
      <c r="C66" s="12">
        <v>0.22222222222222199</v>
      </c>
      <c r="D66" s="13">
        <f>Weekly!C68</f>
        <v>0</v>
      </c>
      <c r="E66" s="13" t="str">
        <f t="shared" si="19"/>
        <v/>
      </c>
      <c r="F66" s="13" t="str">
        <f t="shared" si="22"/>
        <v/>
      </c>
      <c r="G66" s="13" t="str">
        <f t="shared" si="20"/>
        <v/>
      </c>
      <c r="H66" s="13" t="str">
        <f t="shared" si="21"/>
        <v/>
      </c>
      <c r="I66" s="14" t="str">
        <f t="array" ref="I66">IF(getRGB1(Weekly!C68)="FFFF00","초방","재방")</f>
        <v>초방</v>
      </c>
      <c r="K66" s="30">
        <f t="shared" si="5"/>
        <v>45917.152777777781</v>
      </c>
      <c r="L66" s="31">
        <f t="shared" si="6"/>
        <v>45917</v>
      </c>
      <c r="M66" s="32">
        <f t="shared" si="7"/>
        <v>0.15277777777777801</v>
      </c>
      <c r="N66" s="32">
        <f t="shared" si="8"/>
        <v>4.1666666664241347E-2</v>
      </c>
      <c r="O66" s="13" t="str">
        <f t="shared" si="9"/>
        <v>태군노래자랑</v>
      </c>
      <c r="P66" s="33">
        <f t="shared" si="10"/>
        <v>10</v>
      </c>
      <c r="Q66" s="14" t="str">
        <f t="shared" si="11"/>
        <v/>
      </c>
      <c r="R66" s="14" t="str">
        <f t="shared" si="12"/>
        <v>재방</v>
      </c>
      <c r="S66" s="14" t="str">
        <f>IF(O66&lt;&gt;"",VLOOKUP(O66,P.Info!$A$2:$B$150,2,0),"")</f>
        <v>주편성</v>
      </c>
    </row>
    <row r="67" spans="1:19" ht="11.25" customHeight="1" x14ac:dyDescent="0.3">
      <c r="A67" s="10" t="str">
        <f t="shared" si="18"/>
        <v/>
      </c>
      <c r="B67" s="11">
        <f>Weekly!$C$3</f>
        <v>45915</v>
      </c>
      <c r="C67" s="12">
        <v>0.225694444444444</v>
      </c>
      <c r="D67" s="13">
        <f>Weekly!C69</f>
        <v>0</v>
      </c>
      <c r="E67" s="13" t="str">
        <f t="shared" si="19"/>
        <v/>
      </c>
      <c r="F67" s="13" t="str">
        <f t="shared" si="22"/>
        <v/>
      </c>
      <c r="G67" s="13" t="str">
        <f t="shared" si="20"/>
        <v/>
      </c>
      <c r="H67" s="13" t="str">
        <f t="shared" si="21"/>
        <v/>
      </c>
      <c r="I67" s="14" t="str">
        <f t="array" ref="I67">IF(getRGB1(Weekly!C69)="FFFF00","초방","재방")</f>
        <v>초방</v>
      </c>
      <c r="K67" s="30">
        <f t="shared" ref="K67:K128" si="23">IFERROR(SMALL(A:A,ROW(A66)),"")</f>
        <v>45917.194444444445</v>
      </c>
      <c r="L67" s="31">
        <f t="shared" ref="L67:L128" si="24">IF(K67&lt;&gt;"",VLOOKUP(K67,$A$2:$H$2017,2,0),"")</f>
        <v>45917</v>
      </c>
      <c r="M67" s="32">
        <f t="shared" ref="M67:M128" si="25">IF(K67&lt;&gt;"",VLOOKUP(K67,$A$2:$H$2017,3,0),"")</f>
        <v>0.194444444444444</v>
      </c>
      <c r="N67" s="32">
        <f t="shared" ref="N67:N128" si="26">IFERROR(IF(L68&lt;&gt;"",(L68+M68)-(L67+M67),(LARGE(L:L,1)+1)-(L67+M67)),"")</f>
        <v>2.0833333335758653E-2</v>
      </c>
      <c r="O67" s="13" t="str">
        <f t="shared" ref="O67:O128" si="27">VLOOKUP(K67,$A$2:$H$2017,5,0)</f>
        <v>NEWS4</v>
      </c>
      <c r="P67" s="33">
        <f t="shared" ref="P67:P128" si="28">VLOOKUP(K67,$A$2:$H$2017,6,0)</f>
        <v>63</v>
      </c>
      <c r="Q67" s="14" t="str">
        <f t="shared" ref="Q67:Q128" si="29">IFERROR(IF(FIND("⑮",O67)&gt;1,"15세",""),"")</f>
        <v/>
      </c>
      <c r="R67" s="14" t="str">
        <f t="shared" ref="R67:R128" si="30">IF(K67&lt;&gt;"",VLOOKUP(K67,$A$2:$I$2017,9,0),"")</f>
        <v>재방</v>
      </c>
      <c r="S67" s="14" t="str">
        <f>IF(O67&lt;&gt;"",VLOOKUP(O67,P.Info!$A$2:$B$150,2,0),"")</f>
        <v>주편성</v>
      </c>
    </row>
    <row r="68" spans="1:19" ht="11.25" customHeight="1" x14ac:dyDescent="0.3">
      <c r="A68" s="10" t="str">
        <f t="shared" si="18"/>
        <v/>
      </c>
      <c r="B68" s="11">
        <f>Weekly!$C$3</f>
        <v>45915</v>
      </c>
      <c r="C68" s="12">
        <v>0.22916666666666699</v>
      </c>
      <c r="D68" s="13">
        <f>Weekly!C70</f>
        <v>0</v>
      </c>
      <c r="E68" s="13" t="str">
        <f t="shared" si="19"/>
        <v/>
      </c>
      <c r="F68" s="13" t="str">
        <f t="shared" si="22"/>
        <v/>
      </c>
      <c r="G68" s="13" t="str">
        <f t="shared" si="20"/>
        <v/>
      </c>
      <c r="H68" s="13" t="str">
        <f t="shared" si="21"/>
        <v/>
      </c>
      <c r="I68" s="14" t="str">
        <f t="array" ref="I68">IF(getRGB1(Weekly!C70)="FFFF00","초방","재방")</f>
        <v>초방</v>
      </c>
      <c r="K68" s="30">
        <f t="shared" si="23"/>
        <v>45917.215277777781</v>
      </c>
      <c r="L68" s="31">
        <f t="shared" si="24"/>
        <v>45917</v>
      </c>
      <c r="M68" s="32">
        <f t="shared" si="25"/>
        <v>0.21527777777777801</v>
      </c>
      <c r="N68" s="32">
        <f t="shared" si="26"/>
        <v>4.1666666664241347E-2</v>
      </c>
      <c r="O68" s="13" t="str">
        <f t="shared" si="27"/>
        <v>내삶을바꾸는정책</v>
      </c>
      <c r="P68" s="33">
        <f t="shared" si="28"/>
        <v>2191</v>
      </c>
      <c r="Q68" s="14" t="str">
        <f t="shared" si="29"/>
        <v/>
      </c>
      <c r="R68" s="14" t="str">
        <f t="shared" si="30"/>
        <v>초방</v>
      </c>
      <c r="S68" s="14" t="str">
        <f>IF(O68&lt;&gt;"",VLOOKUP(O68,P.Info!$A$2:$B$150,2,0),"")</f>
        <v>주편성</v>
      </c>
    </row>
    <row r="69" spans="1:19" ht="11.25" customHeight="1" x14ac:dyDescent="0.3">
      <c r="A69" s="10" t="str">
        <f t="shared" si="18"/>
        <v/>
      </c>
      <c r="B69" s="11">
        <f>Weekly!$C$3</f>
        <v>45915</v>
      </c>
      <c r="C69" s="12">
        <v>0.23263888888888901</v>
      </c>
      <c r="D69" s="13">
        <f>Weekly!C71</f>
        <v>0</v>
      </c>
      <c r="E69" s="13" t="str">
        <f t="shared" si="19"/>
        <v/>
      </c>
      <c r="F69" s="13" t="str">
        <f t="shared" si="22"/>
        <v/>
      </c>
      <c r="G69" s="13" t="str">
        <f t="shared" si="20"/>
        <v/>
      </c>
      <c r="H69" s="13" t="str">
        <f t="shared" si="21"/>
        <v/>
      </c>
      <c r="I69" s="14" t="str">
        <f t="array" ref="I69">IF(getRGB1(Weekly!C71)="FFFF00","초방","재방")</f>
        <v>초방</v>
      </c>
      <c r="K69" s="30">
        <f t="shared" si="23"/>
        <v>45917.256944444445</v>
      </c>
      <c r="L69" s="31">
        <f t="shared" si="24"/>
        <v>45917</v>
      </c>
      <c r="M69" s="32">
        <f t="shared" si="25"/>
        <v>0.25694444444444398</v>
      </c>
      <c r="N69" s="32">
        <f t="shared" si="26"/>
        <v>3.4722222218988463E-2</v>
      </c>
      <c r="O69" s="13" t="str">
        <f t="shared" si="27"/>
        <v>도시락</v>
      </c>
      <c r="P69" s="33">
        <f t="shared" si="28"/>
        <v>59</v>
      </c>
      <c r="Q69" s="14" t="str">
        <f t="shared" si="29"/>
        <v/>
      </c>
      <c r="R69" s="14" t="str">
        <f t="shared" si="30"/>
        <v>재방</v>
      </c>
      <c r="S69" s="14" t="str">
        <f>IF(O69&lt;&gt;"",VLOOKUP(O69,P.Info!$A$2:$B$150,2,0),"")</f>
        <v>주편성</v>
      </c>
    </row>
    <row r="70" spans="1:19" ht="11.25" customHeight="1" x14ac:dyDescent="0.3">
      <c r="A70" s="10" t="str">
        <f t="shared" si="18"/>
        <v/>
      </c>
      <c r="B70" s="11">
        <f>Weekly!$C$3</f>
        <v>45915</v>
      </c>
      <c r="C70" s="12">
        <v>0.23611111111111099</v>
      </c>
      <c r="D70" s="13">
        <f>Weekly!C72</f>
        <v>0</v>
      </c>
      <c r="E70" s="13" t="str">
        <f t="shared" si="19"/>
        <v/>
      </c>
      <c r="F70" s="13" t="str">
        <f t="shared" si="22"/>
        <v/>
      </c>
      <c r="G70" s="13" t="str">
        <f t="shared" si="20"/>
        <v/>
      </c>
      <c r="H70" s="13" t="str">
        <f t="shared" si="21"/>
        <v/>
      </c>
      <c r="I70" s="14" t="str">
        <f t="array" ref="I70">IF(getRGB1(Weekly!C72)="FFFF00","초방","재방")</f>
        <v>초방</v>
      </c>
      <c r="K70" s="30">
        <f t="shared" si="23"/>
        <v>45917.291666666664</v>
      </c>
      <c r="L70" s="31">
        <f t="shared" si="24"/>
        <v>45917</v>
      </c>
      <c r="M70" s="32">
        <f t="shared" si="25"/>
        <v>0.29166666666666702</v>
      </c>
      <c r="N70" s="32">
        <f t="shared" si="26"/>
        <v>4.1666666671517305E-2</v>
      </c>
      <c r="O70" s="13" t="str">
        <f t="shared" si="27"/>
        <v>최선규의 이제는 지방시대 시즌2</v>
      </c>
      <c r="P70" s="33">
        <f t="shared" si="28"/>
        <v>24</v>
      </c>
      <c r="Q70" s="14" t="str">
        <f t="shared" si="29"/>
        <v/>
      </c>
      <c r="R70" s="14" t="str">
        <f t="shared" si="30"/>
        <v>재방</v>
      </c>
      <c r="S70" s="14" t="str">
        <f>IF(O70&lt;&gt;"",VLOOKUP(O70,P.Info!$A$2:$B$150,2,0),"")</f>
        <v>주편성</v>
      </c>
    </row>
    <row r="71" spans="1:19" ht="11.25" customHeight="1" x14ac:dyDescent="0.3">
      <c r="A71" s="10" t="str">
        <f t="shared" si="18"/>
        <v/>
      </c>
      <c r="B71" s="11">
        <f>Weekly!$C$3</f>
        <v>45915</v>
      </c>
      <c r="C71" s="12">
        <v>0.23958333333333301</v>
      </c>
      <c r="D71" s="13">
        <f>Weekly!C73</f>
        <v>0</v>
      </c>
      <c r="E71" s="13" t="str">
        <f t="shared" si="19"/>
        <v/>
      </c>
      <c r="F71" s="13" t="str">
        <f t="shared" si="22"/>
        <v/>
      </c>
      <c r="G71" s="13" t="str">
        <f t="shared" si="20"/>
        <v/>
      </c>
      <c r="H71" s="13" t="str">
        <f t="shared" si="21"/>
        <v/>
      </c>
      <c r="I71" s="14" t="str">
        <f t="array" ref="I71">IF(getRGB1(Weekly!C73)="FFFF00","초방","재방")</f>
        <v>초방</v>
      </c>
      <c r="K71" s="30">
        <f t="shared" si="23"/>
        <v>45917.333333333336</v>
      </c>
      <c r="L71" s="31">
        <f t="shared" si="24"/>
        <v>45917</v>
      </c>
      <c r="M71" s="32">
        <f t="shared" si="25"/>
        <v>0.33333333333333298</v>
      </c>
      <c r="N71" s="32">
        <f t="shared" si="26"/>
        <v>2.0833333328482695E-2</v>
      </c>
      <c r="O71" s="13" t="str">
        <f t="shared" si="27"/>
        <v>NEWSPLUS</v>
      </c>
      <c r="P71" s="33">
        <f t="shared" si="28"/>
        <v>64</v>
      </c>
      <c r="Q71" s="14" t="str">
        <f t="shared" si="29"/>
        <v/>
      </c>
      <c r="R71" s="14" t="str">
        <f t="shared" si="30"/>
        <v>초방</v>
      </c>
      <c r="S71" s="14" t="str">
        <f>IF(O71&lt;&gt;"",VLOOKUP(O71,P.Info!$A$2:$B$150,2,0),"")</f>
        <v>주편성</v>
      </c>
    </row>
    <row r="72" spans="1:19" ht="11.25" customHeight="1" x14ac:dyDescent="0.3">
      <c r="A72" s="10" t="str">
        <f t="shared" si="18"/>
        <v/>
      </c>
      <c r="B72" s="11">
        <f>Weekly!$C$3</f>
        <v>45915</v>
      </c>
      <c r="C72" s="12">
        <v>0.243055555555556</v>
      </c>
      <c r="D72" s="13">
        <f>Weekly!C74</f>
        <v>0</v>
      </c>
      <c r="E72" s="13" t="str">
        <f t="shared" si="19"/>
        <v/>
      </c>
      <c r="F72" s="13" t="str">
        <f t="shared" si="22"/>
        <v/>
      </c>
      <c r="G72" s="13" t="str">
        <f t="shared" si="20"/>
        <v/>
      </c>
      <c r="H72" s="13" t="str">
        <f t="shared" si="21"/>
        <v/>
      </c>
      <c r="I72" s="14" t="str">
        <f t="array" ref="I72">IF(getRGB1(Weekly!C74)="FFFF00","초방","재방")</f>
        <v>초방</v>
      </c>
      <c r="K72" s="30">
        <f t="shared" si="23"/>
        <v>45917.354166666664</v>
      </c>
      <c r="L72" s="31">
        <f t="shared" si="24"/>
        <v>45917</v>
      </c>
      <c r="M72" s="32">
        <f t="shared" si="25"/>
        <v>0.35416666666666702</v>
      </c>
      <c r="N72" s="32">
        <f t="shared" si="26"/>
        <v>3.4722222226264421E-2</v>
      </c>
      <c r="O72" s="13" t="str">
        <f t="shared" si="27"/>
        <v>남도스럽게</v>
      </c>
      <c r="P72" s="33">
        <f t="shared" si="28"/>
        <v>5</v>
      </c>
      <c r="Q72" s="14" t="str">
        <f t="shared" si="29"/>
        <v/>
      </c>
      <c r="R72" s="14" t="str">
        <f t="shared" si="30"/>
        <v>재방</v>
      </c>
      <c r="S72" s="14" t="str">
        <f>IF(O72&lt;&gt;"",VLOOKUP(O72,P.Info!$A$2:$B$150,2,0),"")</f>
        <v>주편성</v>
      </c>
    </row>
    <row r="73" spans="1:19" ht="11.25" customHeight="1" x14ac:dyDescent="0.3">
      <c r="A73" s="10" t="str">
        <f t="shared" si="18"/>
        <v/>
      </c>
      <c r="B73" s="11">
        <f>Weekly!$C$3</f>
        <v>45915</v>
      </c>
      <c r="C73" s="12">
        <v>0.24652777777777801</v>
      </c>
      <c r="D73" s="13">
        <f>Weekly!C75</f>
        <v>0</v>
      </c>
      <c r="E73" s="13" t="str">
        <f t="shared" si="19"/>
        <v/>
      </c>
      <c r="F73" s="13" t="str">
        <f t="shared" si="22"/>
        <v/>
      </c>
      <c r="G73" s="13" t="str">
        <f t="shared" si="20"/>
        <v/>
      </c>
      <c r="H73" s="13" t="str">
        <f t="shared" si="21"/>
        <v/>
      </c>
      <c r="I73" s="14" t="str">
        <f t="array" ref="I73">IF(getRGB1(Weekly!C75)="FFFF00","초방","재방")</f>
        <v>초방</v>
      </c>
      <c r="K73" s="30">
        <f t="shared" si="23"/>
        <v>45917.388888888891</v>
      </c>
      <c r="L73" s="31">
        <f t="shared" si="24"/>
        <v>45917</v>
      </c>
      <c r="M73" s="32">
        <f t="shared" si="25"/>
        <v>0.38888888888888901</v>
      </c>
      <c r="N73" s="32">
        <f t="shared" si="26"/>
        <v>2.7777777773735579E-2</v>
      </c>
      <c r="O73" s="13" t="str">
        <f t="shared" si="27"/>
        <v>눈에 띄는 그녀들 시즌3</v>
      </c>
      <c r="P73" s="33">
        <f t="shared" si="28"/>
        <v>9</v>
      </c>
      <c r="Q73" s="14" t="str">
        <f t="shared" si="29"/>
        <v/>
      </c>
      <c r="R73" s="14" t="str">
        <f t="shared" si="30"/>
        <v>재방</v>
      </c>
      <c r="S73" s="14" t="str">
        <f>IF(O73&lt;&gt;"",VLOOKUP(O73,P.Info!$A$2:$B$150,2,0),"")</f>
        <v>주편성</v>
      </c>
    </row>
    <row r="74" spans="1:19" ht="11.25" customHeight="1" x14ac:dyDescent="0.3">
      <c r="A74" s="10" t="str">
        <f t="shared" si="18"/>
        <v/>
      </c>
      <c r="B74" s="11">
        <f>Weekly!$C$3</f>
        <v>45915</v>
      </c>
      <c r="C74" s="12">
        <v>0.25</v>
      </c>
      <c r="D74" s="13">
        <f>Weekly!C76</f>
        <v>0</v>
      </c>
      <c r="E74" s="13" t="str">
        <f t="shared" si="19"/>
        <v/>
      </c>
      <c r="F74" s="13" t="str">
        <f t="shared" si="22"/>
        <v/>
      </c>
      <c r="G74" s="13" t="str">
        <f t="shared" si="20"/>
        <v/>
      </c>
      <c r="H74" s="13" t="str">
        <f t="shared" si="21"/>
        <v/>
      </c>
      <c r="I74" s="14" t="str">
        <f t="array" ref="I74">IF(getRGB1(Weekly!C76)="FFFF00","초방","재방")</f>
        <v>초방</v>
      </c>
      <c r="K74" s="30">
        <f t="shared" si="23"/>
        <v>45917.416666666664</v>
      </c>
      <c r="L74" s="31">
        <f t="shared" si="24"/>
        <v>45917</v>
      </c>
      <c r="M74" s="32">
        <f t="shared" si="25"/>
        <v>0.41666666666666702</v>
      </c>
      <c r="N74" s="32">
        <f t="shared" si="26"/>
        <v>4.1666666671517305E-2</v>
      </c>
      <c r="O74" s="13" t="str">
        <f t="shared" si="27"/>
        <v>특집 2026 지방선거_서울특별시의회 생생중계_본회의</v>
      </c>
      <c r="P74" s="33">
        <f t="shared" si="28"/>
        <v>17</v>
      </c>
      <c r="Q74" s="14" t="str">
        <f t="shared" si="29"/>
        <v/>
      </c>
      <c r="R74" s="14" t="str">
        <f t="shared" si="30"/>
        <v>초방</v>
      </c>
      <c r="S74" s="14" t="str">
        <f>IF(O74&lt;&gt;"",VLOOKUP(O74,P.Info!$A$2:$B$150,2,0),"")</f>
        <v>주편성</v>
      </c>
    </row>
    <row r="75" spans="1:19" ht="11.25" customHeight="1" x14ac:dyDescent="0.3">
      <c r="A75" s="10" t="str">
        <f t="shared" si="18"/>
        <v/>
      </c>
      <c r="B75" s="11">
        <f>Weekly!$C$3</f>
        <v>45915</v>
      </c>
      <c r="C75" s="12">
        <v>0.25347222222222199</v>
      </c>
      <c r="D75" s="13">
        <f>Weekly!C77</f>
        <v>0</v>
      </c>
      <c r="E75" s="13" t="str">
        <f t="shared" si="19"/>
        <v/>
      </c>
      <c r="F75" s="13" t="str">
        <f t="shared" si="22"/>
        <v/>
      </c>
      <c r="G75" s="13" t="str">
        <f t="shared" si="20"/>
        <v/>
      </c>
      <c r="H75" s="13" t="str">
        <f t="shared" si="21"/>
        <v/>
      </c>
      <c r="I75" s="14" t="str">
        <f t="array" ref="I75">IF(getRGB1(Weekly!C77)="FFFF00","초방","재방")</f>
        <v>초방</v>
      </c>
      <c r="K75" s="30">
        <f t="shared" si="23"/>
        <v>45917.458333333336</v>
      </c>
      <c r="L75" s="31">
        <f t="shared" si="24"/>
        <v>45917</v>
      </c>
      <c r="M75" s="32">
        <f t="shared" si="25"/>
        <v>0.45833333333333298</v>
      </c>
      <c r="N75" s="32">
        <f t="shared" si="26"/>
        <v>4.1666666664241347E-2</v>
      </c>
      <c r="O75" s="13" t="str">
        <f t="shared" si="27"/>
        <v>특집 2026 지방선거_경기도의회 생생중계_본회의</v>
      </c>
      <c r="P75" s="33">
        <f t="shared" si="28"/>
        <v>16</v>
      </c>
      <c r="Q75" s="14" t="str">
        <f t="shared" si="29"/>
        <v/>
      </c>
      <c r="R75" s="14" t="str">
        <f t="shared" si="30"/>
        <v>초방</v>
      </c>
      <c r="S75" s="14" t="str">
        <f>IF(O75&lt;&gt;"",VLOOKUP(O75,P.Info!$A$2:$B$150,2,0),"")</f>
        <v>주편성</v>
      </c>
    </row>
    <row r="76" spans="1:19" ht="11.25" customHeight="1" x14ac:dyDescent="0.3">
      <c r="A76" s="10">
        <f t="shared" si="18"/>
        <v>45915.256944444445</v>
      </c>
      <c r="B76" s="11">
        <f>Weekly!$C$3</f>
        <v>45915</v>
      </c>
      <c r="C76" s="12">
        <v>0.25694444444444398</v>
      </c>
      <c r="D76" s="13" t="str">
        <f>Weekly!C78</f>
        <v>내고향 전파
&lt;05</v>
      </c>
      <c r="E76" s="13" t="str">
        <f t="shared" si="19"/>
        <v>내고향 전파</v>
      </c>
      <c r="F76" s="13">
        <f t="shared" si="22"/>
        <v>5</v>
      </c>
      <c r="G76" s="13" t="str">
        <f t="shared" si="20"/>
        <v/>
      </c>
      <c r="H76" s="13" t="str">
        <f t="shared" si="21"/>
        <v/>
      </c>
      <c r="I76" s="14" t="str">
        <f t="array" ref="I76">IF(getRGB1(Weekly!C78)="FFFF00","초방","재방")</f>
        <v>재방</v>
      </c>
      <c r="K76" s="30">
        <f t="shared" si="23"/>
        <v>45917.5</v>
      </c>
      <c r="L76" s="31">
        <f t="shared" si="24"/>
        <v>45917</v>
      </c>
      <c r="M76" s="32">
        <f t="shared" si="25"/>
        <v>0.5</v>
      </c>
      <c r="N76" s="32">
        <f t="shared" si="26"/>
        <v>4.1666666664241347E-2</v>
      </c>
      <c r="O76" s="13" t="str">
        <f t="shared" si="27"/>
        <v>행복무지개</v>
      </c>
      <c r="P76" s="33">
        <f t="shared" si="28"/>
        <v>31</v>
      </c>
      <c r="Q76" s="14" t="str">
        <f t="shared" si="29"/>
        <v/>
      </c>
      <c r="R76" s="14" t="str">
        <f t="shared" si="30"/>
        <v>재방</v>
      </c>
      <c r="S76" s="14" t="str">
        <f>IF(O76&lt;&gt;"",VLOOKUP(O76,P.Info!$A$2:$B$150,2,0),"")</f>
        <v>주편성</v>
      </c>
    </row>
    <row r="77" spans="1:19" ht="11.25" customHeight="1" x14ac:dyDescent="0.3">
      <c r="A77" s="10" t="str">
        <f t="shared" si="18"/>
        <v/>
      </c>
      <c r="B77" s="11">
        <f>Weekly!$C$3</f>
        <v>45915</v>
      </c>
      <c r="C77" s="12">
        <v>0.26041666666666702</v>
      </c>
      <c r="D77" s="13">
        <f>Weekly!C79</f>
        <v>0</v>
      </c>
      <c r="E77" s="13" t="str">
        <f t="shared" si="19"/>
        <v/>
      </c>
      <c r="F77" s="13" t="str">
        <f t="shared" si="22"/>
        <v/>
      </c>
      <c r="G77" s="13" t="str">
        <f t="shared" si="20"/>
        <v/>
      </c>
      <c r="H77" s="13" t="str">
        <f t="shared" si="21"/>
        <v/>
      </c>
      <c r="I77" s="14" t="str">
        <f t="array" ref="I77">IF(getRGB1(Weekly!C79)="FFFF00","초방","재방")</f>
        <v>재방</v>
      </c>
      <c r="K77" s="30">
        <f t="shared" si="23"/>
        <v>45917.541666666664</v>
      </c>
      <c r="L77" s="31">
        <f t="shared" si="24"/>
        <v>45917</v>
      </c>
      <c r="M77" s="32">
        <f t="shared" si="25"/>
        <v>0.54166666666666696</v>
      </c>
      <c r="N77" s="32">
        <f t="shared" si="26"/>
        <v>2.0833333335758653E-2</v>
      </c>
      <c r="O77" s="13" t="str">
        <f t="shared" si="27"/>
        <v>NEWSJ</v>
      </c>
      <c r="P77" s="33">
        <f t="shared" si="28"/>
        <v>66</v>
      </c>
      <c r="Q77" s="14" t="str">
        <f t="shared" si="29"/>
        <v/>
      </c>
      <c r="R77" s="14" t="str">
        <f t="shared" si="30"/>
        <v>재방</v>
      </c>
      <c r="S77" s="14" t="str">
        <f>IF(O77&lt;&gt;"",VLOOKUP(O77,P.Info!$A$2:$B$150,2,0),"")</f>
        <v>주편성</v>
      </c>
    </row>
    <row r="78" spans="1:19" ht="11.25" customHeight="1" x14ac:dyDescent="0.3">
      <c r="A78" s="10" t="str">
        <f t="shared" si="18"/>
        <v/>
      </c>
      <c r="B78" s="11">
        <f>Weekly!$C$3</f>
        <v>45915</v>
      </c>
      <c r="C78" s="12">
        <v>0.26388888888888901</v>
      </c>
      <c r="D78" s="13">
        <f>Weekly!C80</f>
        <v>0</v>
      </c>
      <c r="E78" s="13" t="str">
        <f t="shared" si="19"/>
        <v/>
      </c>
      <c r="F78" s="13" t="str">
        <f t="shared" si="22"/>
        <v/>
      </c>
      <c r="G78" s="13" t="str">
        <f t="shared" si="20"/>
        <v/>
      </c>
      <c r="H78" s="13" t="str">
        <f t="shared" si="21"/>
        <v/>
      </c>
      <c r="I78" s="14" t="str">
        <f t="array" ref="I78">IF(getRGB1(Weekly!C80)="FFFF00","초방","재방")</f>
        <v>재방</v>
      </c>
      <c r="K78" s="30">
        <f t="shared" si="23"/>
        <v>45917.5625</v>
      </c>
      <c r="L78" s="31">
        <f t="shared" si="24"/>
        <v>45917</v>
      </c>
      <c r="M78" s="32">
        <f t="shared" si="25"/>
        <v>0.5625</v>
      </c>
      <c r="N78" s="32">
        <f t="shared" si="26"/>
        <v>2.0833333335758653E-2</v>
      </c>
      <c r="O78" s="13" t="str">
        <f t="shared" si="27"/>
        <v>더 人터뷰</v>
      </c>
      <c r="P78" s="33">
        <f t="shared" si="28"/>
        <v>53</v>
      </c>
      <c r="Q78" s="14" t="str">
        <f t="shared" si="29"/>
        <v/>
      </c>
      <c r="R78" s="14" t="str">
        <f t="shared" si="30"/>
        <v>재방</v>
      </c>
      <c r="S78" s="14" t="str">
        <f>IF(O78&lt;&gt;"",VLOOKUP(O78,P.Info!$A$2:$B$150,2,0),"")</f>
        <v>주편성</v>
      </c>
    </row>
    <row r="79" spans="1:19" ht="11.25" customHeight="1" x14ac:dyDescent="0.3">
      <c r="A79" s="10" t="str">
        <f t="shared" si="18"/>
        <v/>
      </c>
      <c r="B79" s="11">
        <f>Weekly!$C$3</f>
        <v>45915</v>
      </c>
      <c r="C79" s="12">
        <v>0.26736111111111099</v>
      </c>
      <c r="D79" s="13">
        <f>Weekly!C81</f>
        <v>0</v>
      </c>
      <c r="E79" s="13" t="str">
        <f t="shared" si="19"/>
        <v/>
      </c>
      <c r="F79" s="13" t="str">
        <f t="shared" si="22"/>
        <v/>
      </c>
      <c r="G79" s="13" t="str">
        <f t="shared" si="20"/>
        <v/>
      </c>
      <c r="H79" s="13" t="str">
        <f t="shared" si="21"/>
        <v/>
      </c>
      <c r="I79" s="14" t="str">
        <f t="array" ref="I79">IF(getRGB1(Weekly!C81)="FFFF00","초방","재방")</f>
        <v>재방</v>
      </c>
      <c r="K79" s="30">
        <f t="shared" si="23"/>
        <v>45917.583333333336</v>
      </c>
      <c r="L79" s="31">
        <f t="shared" si="24"/>
        <v>45917</v>
      </c>
      <c r="M79" s="32">
        <f t="shared" si="25"/>
        <v>0.58333333333333304</v>
      </c>
      <c r="N79" s="32">
        <f t="shared" si="26"/>
        <v>4.1666666664241347E-2</v>
      </c>
      <c r="O79" s="13" t="str">
        <f t="shared" si="27"/>
        <v>특집 2026 지방선거_서울특별시의회 생생중계_상임위</v>
      </c>
      <c r="P79" s="33">
        <f t="shared" si="28"/>
        <v>17</v>
      </c>
      <c r="Q79" s="14" t="str">
        <f t="shared" si="29"/>
        <v/>
      </c>
      <c r="R79" s="14" t="str">
        <f t="shared" si="30"/>
        <v>초방</v>
      </c>
      <c r="S79" s="14" t="str">
        <f>IF(O79&lt;&gt;"",VLOOKUP(O79,P.Info!$A$2:$B$150,2,0),"")</f>
        <v>주편성</v>
      </c>
    </row>
    <row r="80" spans="1:19" ht="11.25" customHeight="1" x14ac:dyDescent="0.3">
      <c r="A80" s="10" t="str">
        <f t="shared" si="18"/>
        <v/>
      </c>
      <c r="B80" s="11">
        <f>Weekly!$C$3</f>
        <v>45915</v>
      </c>
      <c r="C80" s="12">
        <v>0.27083333333333298</v>
      </c>
      <c r="D80" s="13">
        <f>Weekly!C82</f>
        <v>0</v>
      </c>
      <c r="E80" s="13" t="str">
        <f t="shared" si="19"/>
        <v/>
      </c>
      <c r="F80" s="13" t="str">
        <f t="shared" si="22"/>
        <v/>
      </c>
      <c r="G80" s="13" t="str">
        <f t="shared" si="20"/>
        <v/>
      </c>
      <c r="H80" s="13" t="str">
        <f t="shared" si="21"/>
        <v/>
      </c>
      <c r="I80" s="14" t="str">
        <f t="array" ref="I80">IF(getRGB1(Weekly!C82)="FFFF00","초방","재방")</f>
        <v>재방</v>
      </c>
      <c r="K80" s="30">
        <f t="shared" si="23"/>
        <v>45917.625</v>
      </c>
      <c r="L80" s="31">
        <f t="shared" si="24"/>
        <v>45917</v>
      </c>
      <c r="M80" s="32">
        <f t="shared" si="25"/>
        <v>0.625</v>
      </c>
      <c r="N80" s="32">
        <f t="shared" si="26"/>
        <v>4.1666666664241347E-2</v>
      </c>
      <c r="O80" s="13" t="str">
        <f t="shared" si="27"/>
        <v>행복무지개</v>
      </c>
      <c r="P80" s="33">
        <f t="shared" si="28"/>
        <v>32</v>
      </c>
      <c r="Q80" s="14" t="str">
        <f t="shared" si="29"/>
        <v/>
      </c>
      <c r="R80" s="14" t="str">
        <f t="shared" si="30"/>
        <v>재방</v>
      </c>
      <c r="S80" s="14" t="str">
        <f>IF(O80&lt;&gt;"",VLOOKUP(O80,P.Info!$A$2:$B$150,2,0),"")</f>
        <v>주편성</v>
      </c>
    </row>
    <row r="81" spans="1:19" ht="11.25" customHeight="1" x14ac:dyDescent="0.3">
      <c r="A81" s="10" t="str">
        <f t="shared" si="18"/>
        <v/>
      </c>
      <c r="B81" s="11">
        <f>Weekly!$C$3</f>
        <v>45915</v>
      </c>
      <c r="C81" s="12">
        <v>0.27430555555555602</v>
      </c>
      <c r="D81" s="13">
        <f>Weekly!C83</f>
        <v>0</v>
      </c>
      <c r="E81" s="13" t="str">
        <f t="shared" si="19"/>
        <v/>
      </c>
      <c r="F81" s="13" t="str">
        <f t="shared" si="22"/>
        <v/>
      </c>
      <c r="G81" s="13" t="str">
        <f t="shared" si="20"/>
        <v/>
      </c>
      <c r="H81" s="13" t="str">
        <f t="shared" si="21"/>
        <v/>
      </c>
      <c r="I81" s="14" t="str">
        <f t="array" ref="I81">IF(getRGB1(Weekly!C83)="FFFF00","초방","재방")</f>
        <v>재방</v>
      </c>
      <c r="K81" s="30">
        <f t="shared" si="23"/>
        <v>45917.666666666664</v>
      </c>
      <c r="L81" s="31">
        <f t="shared" si="24"/>
        <v>45917</v>
      </c>
      <c r="M81" s="32">
        <f t="shared" si="25"/>
        <v>0.66666666666666696</v>
      </c>
      <c r="N81" s="32">
        <f t="shared" si="26"/>
        <v>2.0833333335758653E-2</v>
      </c>
      <c r="O81" s="13" t="str">
        <f t="shared" si="27"/>
        <v>NEWS4</v>
      </c>
      <c r="P81" s="33">
        <f t="shared" si="28"/>
        <v>64</v>
      </c>
      <c r="Q81" s="14" t="str">
        <f t="shared" si="29"/>
        <v/>
      </c>
      <c r="R81" s="14" t="str">
        <f t="shared" si="30"/>
        <v>초방</v>
      </c>
      <c r="S81" s="14" t="str">
        <f>IF(O81&lt;&gt;"",VLOOKUP(O81,P.Info!$A$2:$B$150,2,0),"")</f>
        <v>주편성</v>
      </c>
    </row>
    <row r="82" spans="1:19" ht="11.25" customHeight="1" x14ac:dyDescent="0.3">
      <c r="A82" s="10" t="str">
        <f t="shared" si="18"/>
        <v/>
      </c>
      <c r="B82" s="11">
        <f>Weekly!$C$3</f>
        <v>45915</v>
      </c>
      <c r="C82" s="12">
        <v>0.27777777777777801</v>
      </c>
      <c r="D82" s="13">
        <f>Weekly!C84</f>
        <v>0</v>
      </c>
      <c r="E82" s="13" t="str">
        <f t="shared" si="19"/>
        <v/>
      </c>
      <c r="F82" s="13" t="str">
        <f t="shared" si="22"/>
        <v/>
      </c>
      <c r="G82" s="13" t="str">
        <f t="shared" si="20"/>
        <v/>
      </c>
      <c r="H82" s="13" t="str">
        <f t="shared" si="21"/>
        <v/>
      </c>
      <c r="I82" s="14" t="str">
        <f t="array" ref="I82">IF(getRGB1(Weekly!C84)="FFFF00","초방","재방")</f>
        <v>재방</v>
      </c>
      <c r="K82" s="30">
        <f t="shared" si="23"/>
        <v>45917.6875</v>
      </c>
      <c r="L82" s="31">
        <f t="shared" si="24"/>
        <v>45917</v>
      </c>
      <c r="M82" s="32">
        <f t="shared" si="25"/>
        <v>0.6875</v>
      </c>
      <c r="N82" s="32">
        <f t="shared" si="26"/>
        <v>2.0833333335758653E-2</v>
      </c>
      <c r="O82" s="13" t="str">
        <f t="shared" si="27"/>
        <v>호남, 호남人</v>
      </c>
      <c r="P82" s="33">
        <f t="shared" si="28"/>
        <v>133</v>
      </c>
      <c r="Q82" s="14" t="str">
        <f t="shared" si="29"/>
        <v/>
      </c>
      <c r="R82" s="14" t="str">
        <f t="shared" si="30"/>
        <v>초방</v>
      </c>
      <c r="S82" s="14" t="str">
        <f>IF(O82&lt;&gt;"",VLOOKUP(O82,P.Info!$A$2:$B$150,2,0),"")</f>
        <v>주편성</v>
      </c>
    </row>
    <row r="83" spans="1:19" ht="11.25" customHeight="1" x14ac:dyDescent="0.3">
      <c r="A83" s="10" t="str">
        <f t="shared" si="18"/>
        <v/>
      </c>
      <c r="B83" s="11">
        <f>Weekly!$C$3</f>
        <v>45915</v>
      </c>
      <c r="C83" s="12">
        <v>0.28125</v>
      </c>
      <c r="D83" s="13">
        <f>Weekly!C85</f>
        <v>0</v>
      </c>
      <c r="E83" s="13" t="str">
        <f t="shared" si="19"/>
        <v/>
      </c>
      <c r="F83" s="13" t="str">
        <f t="shared" si="22"/>
        <v/>
      </c>
      <c r="G83" s="13" t="str">
        <f t="shared" si="20"/>
        <v/>
      </c>
      <c r="H83" s="13" t="str">
        <f t="shared" si="21"/>
        <v/>
      </c>
      <c r="I83" s="14" t="str">
        <f t="array" ref="I83">IF(getRGB1(Weekly!C85)="FFFF00","초방","재방")</f>
        <v>재방</v>
      </c>
      <c r="K83" s="30">
        <f t="shared" si="23"/>
        <v>45917.708333333336</v>
      </c>
      <c r="L83" s="31">
        <f t="shared" si="24"/>
        <v>45917</v>
      </c>
      <c r="M83" s="32">
        <f t="shared" si="25"/>
        <v>0.70833333333333304</v>
      </c>
      <c r="N83" s="32">
        <f t="shared" si="26"/>
        <v>4.1666666664241347E-2</v>
      </c>
      <c r="O83" s="13" t="str">
        <f t="shared" si="27"/>
        <v>특집 2026 지방선거_경기도의회 생생중계_상임위</v>
      </c>
      <c r="P83" s="33">
        <f t="shared" si="28"/>
        <v>16</v>
      </c>
      <c r="Q83" s="14" t="str">
        <f t="shared" si="29"/>
        <v/>
      </c>
      <c r="R83" s="14" t="str">
        <f t="shared" si="30"/>
        <v>초방</v>
      </c>
      <c r="S83" s="14" t="str">
        <f>IF(O83&lt;&gt;"",VLOOKUP(O83,P.Info!$A$2:$B$150,2,0),"")</f>
        <v>주편성</v>
      </c>
    </row>
    <row r="84" spans="1:19" ht="11.25" customHeight="1" x14ac:dyDescent="0.3">
      <c r="A84" s="10" t="str">
        <f t="shared" si="18"/>
        <v/>
      </c>
      <c r="B84" s="11">
        <f>Weekly!$C$3</f>
        <v>45915</v>
      </c>
      <c r="C84" s="12">
        <v>0.28472222222222199</v>
      </c>
      <c r="D84" s="13">
        <f>Weekly!C86</f>
        <v>0</v>
      </c>
      <c r="E84" s="13" t="str">
        <f t="shared" si="19"/>
        <v/>
      </c>
      <c r="F84" s="13" t="str">
        <f t="shared" si="22"/>
        <v/>
      </c>
      <c r="G84" s="13" t="str">
        <f t="shared" si="20"/>
        <v/>
      </c>
      <c r="H84" s="13" t="str">
        <f t="shared" si="21"/>
        <v/>
      </c>
      <c r="I84" s="14" t="str">
        <f t="array" ref="I84">IF(getRGB1(Weekly!C86)="FFFF00","초방","재방")</f>
        <v>재방</v>
      </c>
      <c r="K84" s="30">
        <f t="shared" si="23"/>
        <v>45917.75</v>
      </c>
      <c r="L84" s="31">
        <f t="shared" si="24"/>
        <v>45917</v>
      </c>
      <c r="M84" s="32">
        <f t="shared" si="25"/>
        <v>0.75</v>
      </c>
      <c r="N84" s="32">
        <f t="shared" si="26"/>
        <v>2.0833333335758653E-2</v>
      </c>
      <c r="O84" s="13" t="str">
        <f t="shared" si="27"/>
        <v>눈에 띄는 그녀들 시즌5</v>
      </c>
      <c r="P84" s="33">
        <f t="shared" si="28"/>
        <v>7</v>
      </c>
      <c r="Q84" s="14" t="str">
        <f t="shared" si="29"/>
        <v/>
      </c>
      <c r="R84" s="14" t="str">
        <f t="shared" si="30"/>
        <v>초방</v>
      </c>
      <c r="S84" s="14" t="str">
        <f>IF(O84&lt;&gt;"",VLOOKUP(O84,P.Info!$A$2:$B$150,2,0),"")</f>
        <v>주편성</v>
      </c>
    </row>
    <row r="85" spans="1:19" ht="11.25" customHeight="1" x14ac:dyDescent="0.3">
      <c r="A85" s="10" t="str">
        <f t="shared" si="18"/>
        <v/>
      </c>
      <c r="B85" s="11">
        <f>Weekly!$C$3</f>
        <v>45915</v>
      </c>
      <c r="C85" s="12">
        <v>0.28819444444444398</v>
      </c>
      <c r="D85" s="13">
        <f>Weekly!C87</f>
        <v>0</v>
      </c>
      <c r="E85" s="13" t="str">
        <f t="shared" si="19"/>
        <v/>
      </c>
      <c r="F85" s="13" t="str">
        <f t="shared" si="22"/>
        <v/>
      </c>
      <c r="G85" s="13" t="str">
        <f t="shared" si="20"/>
        <v/>
      </c>
      <c r="H85" s="13" t="str">
        <f t="shared" si="21"/>
        <v/>
      </c>
      <c r="I85" s="14" t="str">
        <f t="array" ref="I85">IF(getRGB1(Weekly!C87)="FFFF00","초방","재방")</f>
        <v>재방</v>
      </c>
      <c r="K85" s="30">
        <f t="shared" si="23"/>
        <v>45917.770833333336</v>
      </c>
      <c r="L85" s="31">
        <f t="shared" si="24"/>
        <v>45917</v>
      </c>
      <c r="M85" s="32">
        <f t="shared" si="25"/>
        <v>0.77083333333333304</v>
      </c>
      <c r="N85" s="32">
        <f t="shared" si="26"/>
        <v>2.0833333328482695E-2</v>
      </c>
      <c r="O85" s="13" t="str">
        <f t="shared" si="27"/>
        <v>낭만살롱</v>
      </c>
      <c r="P85" s="33">
        <f t="shared" si="28"/>
        <v>7</v>
      </c>
      <c r="Q85" s="14" t="str">
        <f t="shared" si="29"/>
        <v/>
      </c>
      <c r="R85" s="14" t="str">
        <f t="shared" si="30"/>
        <v>재방</v>
      </c>
      <c r="S85" s="14" t="str">
        <f>IF(O85&lt;&gt;"",VLOOKUP(O85,P.Info!$A$2:$B$150,2,0),"")</f>
        <v>주편성</v>
      </c>
    </row>
    <row r="86" spans="1:19" ht="11.25" customHeight="1" x14ac:dyDescent="0.3">
      <c r="A86" s="10">
        <f t="shared" si="18"/>
        <v>45915.291666666664</v>
      </c>
      <c r="B86" s="11">
        <f>Weekly!$C$3</f>
        <v>45915</v>
      </c>
      <c r="C86" s="12">
        <v>0.29166666666666702</v>
      </c>
      <c r="D86" s="13" t="str">
        <f>Weekly!C88</f>
        <v>최선규의 이제는 지방시대 시즌2
&lt;22</v>
      </c>
      <c r="E86" s="13" t="str">
        <f t="shared" si="19"/>
        <v>최선규의 이제는 지방시대 시즌2</v>
      </c>
      <c r="F86" s="13">
        <f t="shared" si="22"/>
        <v>22</v>
      </c>
      <c r="G86" s="13" t="str">
        <f t="shared" si="20"/>
        <v/>
      </c>
      <c r="H86" s="13" t="str">
        <f t="shared" si="21"/>
        <v/>
      </c>
      <c r="I86" s="14" t="str">
        <f t="array" ref="I86">IF(getRGB1(Weekly!C88)="FFFF00","초방","재방")</f>
        <v>재방</v>
      </c>
      <c r="K86" s="30">
        <f t="shared" si="23"/>
        <v>45917.791666666664</v>
      </c>
      <c r="L86" s="31">
        <f t="shared" si="24"/>
        <v>45917</v>
      </c>
      <c r="M86" s="32">
        <f t="shared" si="25"/>
        <v>0.79166666666666696</v>
      </c>
      <c r="N86" s="32">
        <f t="shared" si="26"/>
        <v>4.1666666671517305E-2</v>
      </c>
      <c r="O86" s="13" t="str">
        <f t="shared" si="27"/>
        <v>뉴스와이드</v>
      </c>
      <c r="P86" s="33">
        <f t="shared" si="28"/>
        <v>434</v>
      </c>
      <c r="Q86" s="14" t="str">
        <f t="shared" si="29"/>
        <v/>
      </c>
      <c r="R86" s="14" t="str">
        <f t="shared" si="30"/>
        <v>초방</v>
      </c>
      <c r="S86" s="14" t="str">
        <f>IF(O86&lt;&gt;"",VLOOKUP(O86,P.Info!$A$2:$B$150,2,0),"")</f>
        <v>주편성</v>
      </c>
    </row>
    <row r="87" spans="1:19" ht="11.25" customHeight="1" x14ac:dyDescent="0.3">
      <c r="A87" s="10" t="str">
        <f t="shared" si="18"/>
        <v/>
      </c>
      <c r="B87" s="11">
        <f>Weekly!$C$3</f>
        <v>45915</v>
      </c>
      <c r="C87" s="12">
        <v>0.29513888888888901</v>
      </c>
      <c r="D87" s="13">
        <f>Weekly!C89</f>
        <v>0</v>
      </c>
      <c r="E87" s="13" t="str">
        <f t="shared" si="19"/>
        <v/>
      </c>
      <c r="F87" s="13" t="str">
        <f t="shared" si="22"/>
        <v/>
      </c>
      <c r="G87" s="13" t="str">
        <f t="shared" si="20"/>
        <v/>
      </c>
      <c r="H87" s="13" t="str">
        <f t="shared" si="21"/>
        <v/>
      </c>
      <c r="I87" s="14" t="str">
        <f t="array" ref="I87">IF(getRGB1(Weekly!C89)="FFFF00","초방","재방")</f>
        <v>재방</v>
      </c>
      <c r="K87" s="30">
        <f t="shared" si="23"/>
        <v>45917.833333333336</v>
      </c>
      <c r="L87" s="31">
        <f t="shared" si="24"/>
        <v>45917</v>
      </c>
      <c r="M87" s="32">
        <f t="shared" si="25"/>
        <v>0.83333333333333304</v>
      </c>
      <c r="N87" s="32">
        <f t="shared" si="26"/>
        <v>2.0833333328482695E-2</v>
      </c>
      <c r="O87" s="13" t="str">
        <f t="shared" si="27"/>
        <v>NEWSON</v>
      </c>
      <c r="P87" s="33">
        <f t="shared" si="28"/>
        <v>66</v>
      </c>
      <c r="Q87" s="14" t="str">
        <f t="shared" si="29"/>
        <v/>
      </c>
      <c r="R87" s="14" t="str">
        <f t="shared" si="30"/>
        <v>재방</v>
      </c>
      <c r="S87" s="14" t="str">
        <f>IF(O87&lt;&gt;"",VLOOKUP(O87,P.Info!$A$2:$B$150,2,0),"")</f>
        <v>주편성</v>
      </c>
    </row>
    <row r="88" spans="1:19" ht="11.25" customHeight="1" x14ac:dyDescent="0.3">
      <c r="A88" s="10" t="str">
        <f t="shared" si="18"/>
        <v/>
      </c>
      <c r="B88" s="11">
        <f>Weekly!$C$3</f>
        <v>45915</v>
      </c>
      <c r="C88" s="12">
        <v>0.29861111111111099</v>
      </c>
      <c r="D88" s="13">
        <f>Weekly!C90</f>
        <v>0</v>
      </c>
      <c r="E88" s="13" t="str">
        <f t="shared" si="19"/>
        <v/>
      </c>
      <c r="F88" s="13" t="str">
        <f t="shared" si="22"/>
        <v/>
      </c>
      <c r="G88" s="13" t="str">
        <f t="shared" si="20"/>
        <v/>
      </c>
      <c r="H88" s="13" t="str">
        <f t="shared" si="21"/>
        <v/>
      </c>
      <c r="I88" s="14" t="str">
        <f t="array" ref="I88">IF(getRGB1(Weekly!C90)="FFFF00","초방","재방")</f>
        <v>재방</v>
      </c>
      <c r="K88" s="30">
        <f t="shared" si="23"/>
        <v>45917.854166666664</v>
      </c>
      <c r="L88" s="31">
        <f t="shared" si="24"/>
        <v>45917</v>
      </c>
      <c r="M88" s="32">
        <f t="shared" si="25"/>
        <v>0.85416666666666696</v>
      </c>
      <c r="N88" s="32">
        <f t="shared" si="26"/>
        <v>3.4722222226264421E-2</v>
      </c>
      <c r="O88" s="13" t="str">
        <f t="shared" si="27"/>
        <v>우리동네 너튜브</v>
      </c>
      <c r="P88" s="33">
        <f t="shared" si="28"/>
        <v>6</v>
      </c>
      <c r="Q88" s="14" t="str">
        <f t="shared" si="29"/>
        <v/>
      </c>
      <c r="R88" s="14" t="str">
        <f t="shared" si="30"/>
        <v>재방</v>
      </c>
      <c r="S88" s="14" t="str">
        <f>IF(O88&lt;&gt;"",VLOOKUP(O88,P.Info!$A$2:$B$150,2,0),"")</f>
        <v>주편성</v>
      </c>
    </row>
    <row r="89" spans="1:19" ht="11.25" customHeight="1" x14ac:dyDescent="0.3">
      <c r="A89" s="10" t="str">
        <f t="shared" si="18"/>
        <v/>
      </c>
      <c r="B89" s="11">
        <f>Weekly!$C$3</f>
        <v>45915</v>
      </c>
      <c r="C89" s="12">
        <v>0.30208333333333298</v>
      </c>
      <c r="D89" s="13">
        <f>Weekly!C91</f>
        <v>0</v>
      </c>
      <c r="E89" s="13" t="str">
        <f t="shared" si="19"/>
        <v/>
      </c>
      <c r="F89" s="13" t="str">
        <f t="shared" si="22"/>
        <v/>
      </c>
      <c r="G89" s="13" t="str">
        <f t="shared" si="20"/>
        <v/>
      </c>
      <c r="H89" s="13" t="str">
        <f t="shared" si="21"/>
        <v/>
      </c>
      <c r="I89" s="14" t="str">
        <f t="array" ref="I89">IF(getRGB1(Weekly!C91)="FFFF00","초방","재방")</f>
        <v>재방</v>
      </c>
      <c r="K89" s="30">
        <f t="shared" si="23"/>
        <v>45917.888888888891</v>
      </c>
      <c r="L89" s="31">
        <f t="shared" si="24"/>
        <v>45917</v>
      </c>
      <c r="M89" s="32">
        <f t="shared" si="25"/>
        <v>0.88888888888888895</v>
      </c>
      <c r="N89" s="32">
        <f t="shared" si="26"/>
        <v>2.7777777773735579E-2</v>
      </c>
      <c r="O89" s="13" t="str">
        <f t="shared" si="27"/>
        <v>낭만살롱</v>
      </c>
      <c r="P89" s="33">
        <f t="shared" si="28"/>
        <v>3</v>
      </c>
      <c r="Q89" s="14" t="str">
        <f t="shared" si="29"/>
        <v/>
      </c>
      <c r="R89" s="14" t="str">
        <f t="shared" si="30"/>
        <v>재방</v>
      </c>
      <c r="S89" s="14" t="str">
        <f>IF(O89&lt;&gt;"",VLOOKUP(O89,P.Info!$A$2:$B$150,2,0),"")</f>
        <v>주편성</v>
      </c>
    </row>
    <row r="90" spans="1:19" ht="11.25" customHeight="1" x14ac:dyDescent="0.3">
      <c r="A90" s="10" t="str">
        <f t="shared" si="18"/>
        <v/>
      </c>
      <c r="B90" s="11">
        <f>Weekly!$C$3</f>
        <v>45915</v>
      </c>
      <c r="C90" s="12">
        <v>0.30555555555555602</v>
      </c>
      <c r="D90" s="13">
        <f>Weekly!C92</f>
        <v>0</v>
      </c>
      <c r="E90" s="13" t="str">
        <f t="shared" si="19"/>
        <v/>
      </c>
      <c r="F90" s="13" t="str">
        <f t="shared" si="22"/>
        <v/>
      </c>
      <c r="G90" s="13" t="str">
        <f t="shared" si="20"/>
        <v/>
      </c>
      <c r="H90" s="13" t="str">
        <f t="shared" si="21"/>
        <v/>
      </c>
      <c r="I90" s="14" t="str">
        <f t="array" ref="I90">IF(getRGB1(Weekly!C92)="FFFF00","초방","재방")</f>
        <v>재방</v>
      </c>
      <c r="K90" s="30">
        <f t="shared" si="23"/>
        <v>45917.916666666664</v>
      </c>
      <c r="L90" s="31">
        <f t="shared" si="24"/>
        <v>45917</v>
      </c>
      <c r="M90" s="32">
        <f t="shared" si="25"/>
        <v>0.91666666666666696</v>
      </c>
      <c r="N90" s="32">
        <f t="shared" si="26"/>
        <v>4.1666666671517305E-2</v>
      </c>
      <c r="O90" s="13" t="str">
        <f t="shared" si="27"/>
        <v>특집 2026 지방선거_서울특별시의회 생생중계_본회의</v>
      </c>
      <c r="P90" s="33">
        <f t="shared" si="28"/>
        <v>17</v>
      </c>
      <c r="Q90" s="14" t="str">
        <f t="shared" si="29"/>
        <v/>
      </c>
      <c r="R90" s="14" t="str">
        <f t="shared" si="30"/>
        <v>재방</v>
      </c>
      <c r="S90" s="14" t="str">
        <f>IF(O90&lt;&gt;"",VLOOKUP(O90,P.Info!$A$2:$B$150,2,0),"")</f>
        <v>주편성</v>
      </c>
    </row>
    <row r="91" spans="1:19" ht="11.25" customHeight="1" x14ac:dyDescent="0.3">
      <c r="A91" s="10" t="str">
        <f t="shared" si="18"/>
        <v/>
      </c>
      <c r="B91" s="11">
        <f>Weekly!$C$3</f>
        <v>45915</v>
      </c>
      <c r="C91" s="12">
        <v>0.30902777777777801</v>
      </c>
      <c r="D91" s="13">
        <f>Weekly!C93</f>
        <v>0</v>
      </c>
      <c r="E91" s="13" t="str">
        <f t="shared" si="19"/>
        <v/>
      </c>
      <c r="F91" s="13" t="str">
        <f t="shared" si="22"/>
        <v/>
      </c>
      <c r="G91" s="13" t="str">
        <f t="shared" si="20"/>
        <v/>
      </c>
      <c r="H91" s="13" t="str">
        <f t="shared" si="21"/>
        <v/>
      </c>
      <c r="I91" s="14" t="str">
        <f t="array" ref="I91">IF(getRGB1(Weekly!C93)="FFFF00","초방","재방")</f>
        <v>재방</v>
      </c>
      <c r="K91" s="30">
        <f t="shared" si="23"/>
        <v>45917.958333333336</v>
      </c>
      <c r="L91" s="31">
        <f t="shared" si="24"/>
        <v>45917</v>
      </c>
      <c r="M91" s="32">
        <f t="shared" si="25"/>
        <v>0.95833333333333304</v>
      </c>
      <c r="N91" s="32">
        <f t="shared" si="26"/>
        <v>4.1666666664241347E-2</v>
      </c>
      <c r="O91" s="13" t="str">
        <f t="shared" si="27"/>
        <v>특집 2026 지방선거_서울특별시의회 생생중계_상임위</v>
      </c>
      <c r="P91" s="33">
        <f t="shared" si="28"/>
        <v>17</v>
      </c>
      <c r="Q91" s="14" t="str">
        <f t="shared" si="29"/>
        <v/>
      </c>
      <c r="R91" s="14" t="str">
        <f t="shared" si="30"/>
        <v>재방</v>
      </c>
      <c r="S91" s="14" t="str">
        <f>IF(O91&lt;&gt;"",VLOOKUP(O91,P.Info!$A$2:$B$150,2,0),"")</f>
        <v>주편성</v>
      </c>
    </row>
    <row r="92" spans="1:19" ht="11.25" customHeight="1" x14ac:dyDescent="0.3">
      <c r="A92" s="10" t="str">
        <f t="shared" si="18"/>
        <v/>
      </c>
      <c r="B92" s="11">
        <f>Weekly!$C$3</f>
        <v>45915</v>
      </c>
      <c r="C92" s="12">
        <v>0.3125</v>
      </c>
      <c r="D92" s="13">
        <f>Weekly!C94</f>
        <v>0</v>
      </c>
      <c r="E92" s="13" t="str">
        <f t="shared" si="19"/>
        <v/>
      </c>
      <c r="F92" s="13" t="str">
        <f t="shared" si="22"/>
        <v/>
      </c>
      <c r="G92" s="13" t="str">
        <f t="shared" si="20"/>
        <v/>
      </c>
      <c r="H92" s="13" t="str">
        <f t="shared" si="21"/>
        <v/>
      </c>
      <c r="I92" s="14" t="str">
        <f t="array" ref="I92">IF(getRGB1(Weekly!C94)="FFFF00","초방","재방")</f>
        <v>재방</v>
      </c>
      <c r="K92" s="30">
        <f t="shared" si="23"/>
        <v>45918</v>
      </c>
      <c r="L92" s="31">
        <f t="shared" si="24"/>
        <v>45918</v>
      </c>
      <c r="M92" s="32">
        <f t="shared" si="25"/>
        <v>0</v>
      </c>
      <c r="N92" s="32">
        <f t="shared" si="26"/>
        <v>4.1666666664241347E-2</v>
      </c>
      <c r="O92" s="13" t="str">
        <f t="shared" si="27"/>
        <v>특집 2026 지방선거_경기도의회 생생중계_본회의</v>
      </c>
      <c r="P92" s="33">
        <f t="shared" si="28"/>
        <v>16</v>
      </c>
      <c r="Q92" s="14" t="str">
        <f t="shared" si="29"/>
        <v/>
      </c>
      <c r="R92" s="14" t="e">
        <f t="shared" ca="1" si="30"/>
        <v>#NAME?</v>
      </c>
      <c r="S92" s="14" t="str">
        <f>IF(O92&lt;&gt;"",VLOOKUP(O92,P.Info!$A$2:$B$150,2,0),"")</f>
        <v>주편성</v>
      </c>
    </row>
    <row r="93" spans="1:19" ht="11.25" customHeight="1" x14ac:dyDescent="0.3">
      <c r="A93" s="10" t="str">
        <f t="shared" si="18"/>
        <v/>
      </c>
      <c r="B93" s="11">
        <f>Weekly!$C$3</f>
        <v>45915</v>
      </c>
      <c r="C93" s="12">
        <v>0.31597222222222199</v>
      </c>
      <c r="D93" s="13">
        <f>Weekly!C95</f>
        <v>0</v>
      </c>
      <c r="E93" s="13" t="str">
        <f t="shared" si="19"/>
        <v/>
      </c>
      <c r="F93" s="13" t="str">
        <f t="shared" si="22"/>
        <v/>
      </c>
      <c r="G93" s="13" t="str">
        <f t="shared" si="20"/>
        <v/>
      </c>
      <c r="H93" s="13" t="str">
        <f t="shared" si="21"/>
        <v/>
      </c>
      <c r="I93" s="14" t="str">
        <f t="array" ref="I93">IF(getRGB1(Weekly!C95)="FFFF00","초방","재방")</f>
        <v>재방</v>
      </c>
      <c r="K93" s="30">
        <f t="shared" si="23"/>
        <v>45918.041666666664</v>
      </c>
      <c r="L93" s="31">
        <f t="shared" si="24"/>
        <v>45918</v>
      </c>
      <c r="M93" s="32">
        <f t="shared" si="25"/>
        <v>4.1666666666666699E-2</v>
      </c>
      <c r="N93" s="32">
        <f t="shared" si="26"/>
        <v>4.1666666671517305E-2</v>
      </c>
      <c r="O93" s="13" t="str">
        <f t="shared" si="27"/>
        <v>특집 2026 지방선거_경기도의회 생생중계_상임위</v>
      </c>
      <c r="P93" s="33">
        <f t="shared" si="28"/>
        <v>16</v>
      </c>
      <c r="Q93" s="14" t="str">
        <f t="shared" si="29"/>
        <v/>
      </c>
      <c r="R93" s="14" t="e">
        <f t="shared" ca="1" si="30"/>
        <v>#NAME?</v>
      </c>
      <c r="S93" s="14" t="str">
        <f>IF(O93&lt;&gt;"",VLOOKUP(O93,P.Info!$A$2:$B$150,2,0),"")</f>
        <v>주편성</v>
      </c>
    </row>
    <row r="94" spans="1:19" ht="11.25" customHeight="1" x14ac:dyDescent="0.3">
      <c r="A94" s="10" t="str">
        <f t="shared" si="18"/>
        <v/>
      </c>
      <c r="B94" s="11">
        <f>Weekly!$C$3</f>
        <v>45915</v>
      </c>
      <c r="C94" s="12">
        <v>0.31944444444444398</v>
      </c>
      <c r="D94" s="13">
        <f>Weekly!C96</f>
        <v>0</v>
      </c>
      <c r="E94" s="13" t="str">
        <f t="shared" si="19"/>
        <v/>
      </c>
      <c r="F94" s="13" t="str">
        <f t="shared" si="22"/>
        <v/>
      </c>
      <c r="G94" s="13" t="str">
        <f t="shared" si="20"/>
        <v/>
      </c>
      <c r="H94" s="13" t="str">
        <f t="shared" si="21"/>
        <v/>
      </c>
      <c r="I94" s="14" t="str">
        <f t="array" ref="I94">IF(getRGB1(Weekly!C96)="FFFF00","초방","재방")</f>
        <v>재방</v>
      </c>
      <c r="K94" s="30">
        <f t="shared" si="23"/>
        <v>45918.083333333336</v>
      </c>
      <c r="L94" s="31">
        <f t="shared" si="24"/>
        <v>45918</v>
      </c>
      <c r="M94" s="32">
        <f t="shared" si="25"/>
        <v>8.3333333333333301E-2</v>
      </c>
      <c r="N94" s="32">
        <f t="shared" si="26"/>
        <v>2.7777777773735579E-2</v>
      </c>
      <c r="O94" s="13" t="str">
        <f t="shared" si="27"/>
        <v>휴먼다큐 시장사람들</v>
      </c>
      <c r="P94" s="33">
        <f t="shared" si="28"/>
        <v>18</v>
      </c>
      <c r="Q94" s="14" t="str">
        <f t="shared" si="29"/>
        <v/>
      </c>
      <c r="R94" s="14" t="str">
        <f t="shared" si="30"/>
        <v>재방</v>
      </c>
      <c r="S94" s="14" t="str">
        <f>IF(O94&lt;&gt;"",VLOOKUP(O94,P.Info!$A$2:$B$150,2,0),"")</f>
        <v>주편성</v>
      </c>
    </row>
    <row r="95" spans="1:19" ht="11.25" customHeight="1" x14ac:dyDescent="0.3">
      <c r="A95" s="10" t="str">
        <f t="shared" si="18"/>
        <v/>
      </c>
      <c r="B95" s="11">
        <f>Weekly!$C$3</f>
        <v>45915</v>
      </c>
      <c r="C95" s="12">
        <v>0.32291666666666702</v>
      </c>
      <c r="D95" s="13">
        <f>Weekly!C97</f>
        <v>0</v>
      </c>
      <c r="E95" s="13" t="str">
        <f t="shared" si="19"/>
        <v/>
      </c>
      <c r="F95" s="13" t="str">
        <f t="shared" si="22"/>
        <v/>
      </c>
      <c r="G95" s="13" t="str">
        <f t="shared" si="20"/>
        <v/>
      </c>
      <c r="H95" s="13" t="str">
        <f t="shared" si="21"/>
        <v/>
      </c>
      <c r="I95" s="14" t="str">
        <f t="array" ref="I95">IF(getRGB1(Weekly!C97)="FFFF00","초방","재방")</f>
        <v>재방</v>
      </c>
      <c r="K95" s="30">
        <f t="shared" si="23"/>
        <v>45918.111111111109</v>
      </c>
      <c r="L95" s="31">
        <f t="shared" si="24"/>
        <v>45918</v>
      </c>
      <c r="M95" s="32">
        <f t="shared" si="25"/>
        <v>0.11111111111111099</v>
      </c>
      <c r="N95" s="32">
        <f t="shared" si="26"/>
        <v>4.1666666671517305E-2</v>
      </c>
      <c r="O95" s="13" t="str">
        <f t="shared" si="27"/>
        <v>최선규의 이제는 지방시대 시즌2</v>
      </c>
      <c r="P95" s="33">
        <f t="shared" si="28"/>
        <v>7</v>
      </c>
      <c r="Q95" s="14" t="str">
        <f t="shared" si="29"/>
        <v/>
      </c>
      <c r="R95" s="14" t="str">
        <f t="shared" si="30"/>
        <v>재방</v>
      </c>
      <c r="S95" s="14" t="str">
        <f>IF(O95&lt;&gt;"",VLOOKUP(O95,P.Info!$A$2:$B$150,2,0),"")</f>
        <v>주편성</v>
      </c>
    </row>
    <row r="96" spans="1:19" ht="11.25" customHeight="1" x14ac:dyDescent="0.3">
      <c r="A96" s="10" t="str">
        <f t="shared" si="18"/>
        <v/>
      </c>
      <c r="B96" s="11">
        <f>Weekly!$C$3</f>
        <v>45915</v>
      </c>
      <c r="C96" s="12">
        <v>0.32638888888888901</v>
      </c>
      <c r="D96" s="13">
        <f>Weekly!C98</f>
        <v>0</v>
      </c>
      <c r="E96" s="13" t="str">
        <f t="shared" si="19"/>
        <v/>
      </c>
      <c r="F96" s="13" t="str">
        <f t="shared" si="22"/>
        <v/>
      </c>
      <c r="G96" s="13" t="str">
        <f t="shared" si="20"/>
        <v/>
      </c>
      <c r="H96" s="13" t="str">
        <f t="shared" si="21"/>
        <v/>
      </c>
      <c r="I96" s="14" t="str">
        <f t="array" ref="I96">IF(getRGB1(Weekly!C98)="FFFF00","초방","재방")</f>
        <v>재방</v>
      </c>
      <c r="K96" s="30">
        <f t="shared" si="23"/>
        <v>45918.152777777781</v>
      </c>
      <c r="L96" s="31">
        <f t="shared" si="24"/>
        <v>45918</v>
      </c>
      <c r="M96" s="32">
        <f t="shared" si="25"/>
        <v>0.15277777777777801</v>
      </c>
      <c r="N96" s="32">
        <f t="shared" si="26"/>
        <v>4.1666666664241347E-2</v>
      </c>
      <c r="O96" s="13" t="str">
        <f t="shared" si="27"/>
        <v>태군노래자랑</v>
      </c>
      <c r="P96" s="33">
        <f t="shared" si="28"/>
        <v>11</v>
      </c>
      <c r="Q96" s="14" t="str">
        <f t="shared" si="29"/>
        <v/>
      </c>
      <c r="R96" s="14" t="str">
        <f t="shared" si="30"/>
        <v>재방</v>
      </c>
      <c r="S96" s="14" t="str">
        <f>IF(O96&lt;&gt;"",VLOOKUP(O96,P.Info!$A$2:$B$150,2,0),"")</f>
        <v>주편성</v>
      </c>
    </row>
    <row r="97" spans="1:19" ht="11.25" customHeight="1" x14ac:dyDescent="0.3">
      <c r="A97" s="10" t="str">
        <f t="shared" si="18"/>
        <v/>
      </c>
      <c r="B97" s="11">
        <f>Weekly!$C$3</f>
        <v>45915</v>
      </c>
      <c r="C97" s="12">
        <v>0.32986111111111099</v>
      </c>
      <c r="D97" s="13">
        <f>Weekly!C99</f>
        <v>0</v>
      </c>
      <c r="E97" s="13" t="str">
        <f t="shared" si="19"/>
        <v/>
      </c>
      <c r="F97" s="13" t="str">
        <f t="shared" si="22"/>
        <v/>
      </c>
      <c r="G97" s="13" t="str">
        <f t="shared" si="20"/>
        <v/>
      </c>
      <c r="H97" s="13" t="str">
        <f t="shared" si="21"/>
        <v/>
      </c>
      <c r="I97" s="14" t="str">
        <f t="array" ref="I97">IF(getRGB1(Weekly!C99)="FFFF00","초방","재방")</f>
        <v>재방</v>
      </c>
      <c r="K97" s="30">
        <f t="shared" si="23"/>
        <v>45918.194444444445</v>
      </c>
      <c r="L97" s="31">
        <f t="shared" si="24"/>
        <v>45918</v>
      </c>
      <c r="M97" s="32">
        <f t="shared" si="25"/>
        <v>0.194444444444444</v>
      </c>
      <c r="N97" s="32">
        <f t="shared" si="26"/>
        <v>2.0833333335758653E-2</v>
      </c>
      <c r="O97" s="13" t="str">
        <f t="shared" si="27"/>
        <v>NEWS4</v>
      </c>
      <c r="P97" s="33">
        <f t="shared" si="28"/>
        <v>64</v>
      </c>
      <c r="Q97" s="14" t="str">
        <f t="shared" si="29"/>
        <v/>
      </c>
      <c r="R97" s="14" t="str">
        <f t="shared" si="30"/>
        <v>재방</v>
      </c>
      <c r="S97" s="14" t="str">
        <f>IF(O97&lt;&gt;"",VLOOKUP(O97,P.Info!$A$2:$B$150,2,0),"")</f>
        <v>주편성</v>
      </c>
    </row>
    <row r="98" spans="1:19" ht="11.25" customHeight="1" x14ac:dyDescent="0.3">
      <c r="A98" s="10">
        <f t="shared" si="18"/>
        <v>45915.333333333336</v>
      </c>
      <c r="B98" s="11">
        <f>Weekly!$C$3</f>
        <v>45915</v>
      </c>
      <c r="C98" s="12">
        <v>0.33333333333333298</v>
      </c>
      <c r="D98" s="13" t="str">
        <f>Weekly!C100</f>
        <v xml:space="preserve"> NEWSPLUS
&lt;63</v>
      </c>
      <c r="E98" s="13" t="str">
        <f t="shared" si="19"/>
        <v>NEWSPLUS</v>
      </c>
      <c r="F98" s="13">
        <f t="shared" si="22"/>
        <v>63</v>
      </c>
      <c r="G98" s="13" t="str">
        <f t="shared" si="20"/>
        <v/>
      </c>
      <c r="H98" s="13" t="str">
        <f t="shared" si="21"/>
        <v/>
      </c>
      <c r="I98" s="14" t="str">
        <f t="array" ref="I98">IF(getRGB1(Weekly!C100)="FFFF00","초방","재방")</f>
        <v>재방</v>
      </c>
      <c r="K98" s="30">
        <f t="shared" si="23"/>
        <v>45918.215277777781</v>
      </c>
      <c r="L98" s="31">
        <f t="shared" si="24"/>
        <v>45918</v>
      </c>
      <c r="M98" s="32">
        <f t="shared" si="25"/>
        <v>0.21527777777777801</v>
      </c>
      <c r="N98" s="32">
        <f t="shared" si="26"/>
        <v>4.1666666664241347E-2</v>
      </c>
      <c r="O98" s="13" t="str">
        <f t="shared" si="27"/>
        <v>내삶을바꾸는정책</v>
      </c>
      <c r="P98" s="33">
        <f t="shared" si="28"/>
        <v>2192</v>
      </c>
      <c r="Q98" s="14" t="str">
        <f t="shared" si="29"/>
        <v/>
      </c>
      <c r="R98" s="14" t="str">
        <f t="shared" si="30"/>
        <v>초방</v>
      </c>
      <c r="S98" s="14" t="str">
        <f>IF(O98&lt;&gt;"",VLOOKUP(O98,P.Info!$A$2:$B$150,2,0),"")</f>
        <v>주편성</v>
      </c>
    </row>
    <row r="99" spans="1:19" ht="11.25" customHeight="1" x14ac:dyDescent="0.3">
      <c r="A99" s="10" t="str">
        <f t="shared" si="18"/>
        <v/>
      </c>
      <c r="B99" s="11">
        <f>Weekly!$C$3</f>
        <v>45915</v>
      </c>
      <c r="C99" s="12">
        <v>0.33680555555555602</v>
      </c>
      <c r="D99" s="13">
        <f>Weekly!C101</f>
        <v>0</v>
      </c>
      <c r="E99" s="13" t="str">
        <f t="shared" si="19"/>
        <v/>
      </c>
      <c r="F99" s="13" t="str">
        <f t="shared" si="22"/>
        <v/>
      </c>
      <c r="G99" s="13" t="str">
        <f t="shared" si="20"/>
        <v/>
      </c>
      <c r="H99" s="13" t="str">
        <f t="shared" si="21"/>
        <v/>
      </c>
      <c r="I99" s="14" t="str">
        <f t="array" ref="I99">IF(getRGB1(Weekly!C101)="FFFF00","초방","재방")</f>
        <v>재방</v>
      </c>
      <c r="K99" s="30">
        <f t="shared" si="23"/>
        <v>45918.256944444445</v>
      </c>
      <c r="L99" s="31">
        <f t="shared" si="24"/>
        <v>45918</v>
      </c>
      <c r="M99" s="32">
        <f t="shared" si="25"/>
        <v>0.25694444444444398</v>
      </c>
      <c r="N99" s="32">
        <f t="shared" si="26"/>
        <v>3.4722222218988463E-2</v>
      </c>
      <c r="O99" s="13" t="str">
        <f t="shared" si="27"/>
        <v>내고향 전파</v>
      </c>
      <c r="P99" s="33">
        <f t="shared" si="28"/>
        <v>6</v>
      </c>
      <c r="Q99" s="14" t="str">
        <f t="shared" si="29"/>
        <v/>
      </c>
      <c r="R99" s="14" t="str">
        <f t="shared" si="30"/>
        <v>재방</v>
      </c>
      <c r="S99" s="14" t="str">
        <f>IF(O99&lt;&gt;"",VLOOKUP(O99,P.Info!$A$2:$B$150,2,0),"")</f>
        <v>주편성</v>
      </c>
    </row>
    <row r="100" spans="1:19" ht="11.25" customHeight="1" x14ac:dyDescent="0.3">
      <c r="A100" s="10" t="str">
        <f t="shared" si="18"/>
        <v/>
      </c>
      <c r="B100" s="11">
        <f>Weekly!$C$3</f>
        <v>45915</v>
      </c>
      <c r="C100" s="12">
        <v>0.34027777777777801</v>
      </c>
      <c r="D100" s="13">
        <f>Weekly!C102</f>
        <v>0</v>
      </c>
      <c r="E100" s="13" t="str">
        <f t="shared" si="19"/>
        <v/>
      </c>
      <c r="F100" s="13" t="str">
        <f t="shared" si="22"/>
        <v/>
      </c>
      <c r="G100" s="13" t="str">
        <f t="shared" si="20"/>
        <v/>
      </c>
      <c r="H100" s="13" t="str">
        <f t="shared" si="21"/>
        <v/>
      </c>
      <c r="I100" s="14" t="str">
        <f t="array" ref="I100">IF(getRGB1(Weekly!C102)="FFFF00","초방","재방")</f>
        <v>재방</v>
      </c>
      <c r="K100" s="30">
        <f t="shared" si="23"/>
        <v>45918.291666666664</v>
      </c>
      <c r="L100" s="31">
        <f t="shared" si="24"/>
        <v>45918</v>
      </c>
      <c r="M100" s="32">
        <f t="shared" si="25"/>
        <v>0.29166666666666702</v>
      </c>
      <c r="N100" s="32">
        <f t="shared" si="26"/>
        <v>4.1666666671517305E-2</v>
      </c>
      <c r="O100" s="13" t="str">
        <f t="shared" si="27"/>
        <v>최선규의 이제는 지방시대</v>
      </c>
      <c r="P100" s="33">
        <f t="shared" si="28"/>
        <v>1</v>
      </c>
      <c r="Q100" s="14" t="str">
        <f t="shared" si="29"/>
        <v/>
      </c>
      <c r="R100" s="14" t="str">
        <f t="shared" si="30"/>
        <v>재방</v>
      </c>
      <c r="S100" s="14" t="str">
        <f>IF(O100&lt;&gt;"",VLOOKUP(O100,P.Info!$A$2:$B$150,2,0),"")</f>
        <v>주편성</v>
      </c>
    </row>
    <row r="101" spans="1:19" ht="11.25" customHeight="1" x14ac:dyDescent="0.3">
      <c r="A101" s="10" t="str">
        <f t="shared" ref="A101:A164" si="31">IF(D101&lt;&gt;0,B101+C101,"")</f>
        <v/>
      </c>
      <c r="B101" s="11">
        <f>Weekly!$C$3</f>
        <v>45915</v>
      </c>
      <c r="C101" s="12">
        <v>0.34375</v>
      </c>
      <c r="D101" s="13">
        <f>Weekly!C103</f>
        <v>0</v>
      </c>
      <c r="E101" s="13" t="str">
        <f t="shared" ref="E101:E164" si="32">IFERROR(SUBSTITUTE(SUBSTITUTE(TRIM(LEFT(D101,FIND("&lt;",D101)-1)),CHAR(10),""),"⑮ ",""),"")</f>
        <v/>
      </c>
      <c r="F101" s="13" t="str">
        <f t="shared" si="22"/>
        <v/>
      </c>
      <c r="G101" s="13" t="str">
        <f t="shared" ref="G101:G164" si="33">IFERROR(MID(D101,FIND("&gt;",D101)+1,10),"")</f>
        <v/>
      </c>
      <c r="H101" s="13" t="str">
        <f t="shared" ref="H101:H164" si="34">IFERROR(VLOOKUP(LEFT(D101,2),$W$1:$X$6,2,0),"")</f>
        <v/>
      </c>
      <c r="I101" s="14" t="str">
        <f t="array" ref="I101">IF(getRGB1(Weekly!C103)="FFFF00","초방","재방")</f>
        <v>재방</v>
      </c>
      <c r="K101" s="30">
        <f t="shared" si="23"/>
        <v>45918.333333333336</v>
      </c>
      <c r="L101" s="31">
        <f t="shared" si="24"/>
        <v>45918</v>
      </c>
      <c r="M101" s="32">
        <f t="shared" si="25"/>
        <v>0.33333333333333298</v>
      </c>
      <c r="N101" s="32">
        <f t="shared" si="26"/>
        <v>2.0833333328482695E-2</v>
      </c>
      <c r="O101" s="13" t="str">
        <f t="shared" si="27"/>
        <v>NEWSPLUS</v>
      </c>
      <c r="P101" s="33">
        <f t="shared" si="28"/>
        <v>64</v>
      </c>
      <c r="Q101" s="14" t="str">
        <f t="shared" si="29"/>
        <v/>
      </c>
      <c r="R101" s="14" t="str">
        <f t="shared" si="30"/>
        <v>재방</v>
      </c>
      <c r="S101" s="14" t="str">
        <f>IF(O101&lt;&gt;"",VLOOKUP(O101,P.Info!$A$2:$B$150,2,0),"")</f>
        <v>주편성</v>
      </c>
    </row>
    <row r="102" spans="1:19" ht="11.25" customHeight="1" x14ac:dyDescent="0.3">
      <c r="A102" s="10" t="str">
        <f t="shared" si="31"/>
        <v/>
      </c>
      <c r="B102" s="11">
        <f>Weekly!$C$3</f>
        <v>45915</v>
      </c>
      <c r="C102" s="12">
        <v>0.34722222222222199</v>
      </c>
      <c r="D102" s="13">
        <f>Weekly!C104</f>
        <v>0</v>
      </c>
      <c r="E102" s="13" t="str">
        <f t="shared" si="32"/>
        <v/>
      </c>
      <c r="F102" s="13" t="str">
        <f t="shared" ref="F102:F165" si="35">IFERROR((MID(D102,FIND("&lt;",D102)+1,4))*1,"")</f>
        <v/>
      </c>
      <c r="G102" s="13" t="str">
        <f t="shared" si="33"/>
        <v/>
      </c>
      <c r="H102" s="13" t="str">
        <f t="shared" si="34"/>
        <v/>
      </c>
      <c r="I102" s="14" t="str">
        <f t="array" ref="I102">IF(getRGB1(Weekly!C104)="FFFF00","초방","재방")</f>
        <v>재방</v>
      </c>
      <c r="K102" s="30">
        <f t="shared" si="23"/>
        <v>45918.354166666664</v>
      </c>
      <c r="L102" s="31">
        <f t="shared" si="24"/>
        <v>45918</v>
      </c>
      <c r="M102" s="32">
        <f t="shared" si="25"/>
        <v>0.35416666666666702</v>
      </c>
      <c r="N102" s="32">
        <f t="shared" si="26"/>
        <v>3.4722222226264421E-2</v>
      </c>
      <c r="O102" s="13" t="str">
        <f t="shared" si="27"/>
        <v>남도스럽게</v>
      </c>
      <c r="P102" s="33">
        <f t="shared" si="28"/>
        <v>3</v>
      </c>
      <c r="Q102" s="14" t="str">
        <f t="shared" si="29"/>
        <v/>
      </c>
      <c r="R102" s="14" t="str">
        <f t="shared" si="30"/>
        <v>재방</v>
      </c>
      <c r="S102" s="14" t="str">
        <f>IF(O102&lt;&gt;"",VLOOKUP(O102,P.Info!$A$2:$B$150,2,0),"")</f>
        <v>주편성</v>
      </c>
    </row>
    <row r="103" spans="1:19" ht="11.25" customHeight="1" x14ac:dyDescent="0.3">
      <c r="A103" s="10" t="str">
        <f t="shared" si="31"/>
        <v/>
      </c>
      <c r="B103" s="11">
        <f>Weekly!$C$3</f>
        <v>45915</v>
      </c>
      <c r="C103" s="12">
        <v>0.35069444444444398</v>
      </c>
      <c r="D103" s="13">
        <f>Weekly!C105</f>
        <v>0</v>
      </c>
      <c r="E103" s="13" t="str">
        <f t="shared" si="32"/>
        <v/>
      </c>
      <c r="F103" s="13" t="str">
        <f t="shared" si="35"/>
        <v/>
      </c>
      <c r="G103" s="13" t="str">
        <f t="shared" si="33"/>
        <v/>
      </c>
      <c r="H103" s="13" t="str">
        <f t="shared" si="34"/>
        <v/>
      </c>
      <c r="I103" s="14" t="str">
        <f t="array" ref="I103">IF(getRGB1(Weekly!C105)="FFFF00","초방","재방")</f>
        <v>재방</v>
      </c>
      <c r="K103" s="30">
        <f t="shared" si="23"/>
        <v>45918.388888888891</v>
      </c>
      <c r="L103" s="31">
        <f t="shared" si="24"/>
        <v>45918</v>
      </c>
      <c r="M103" s="32">
        <f t="shared" si="25"/>
        <v>0.38888888888888901</v>
      </c>
      <c r="N103" s="32">
        <f t="shared" si="26"/>
        <v>2.7777777773735579E-2</v>
      </c>
      <c r="O103" s="13" t="str">
        <f t="shared" si="27"/>
        <v>눈에 띄는 그녀들 시즌3</v>
      </c>
      <c r="P103" s="33">
        <f t="shared" si="28"/>
        <v>10</v>
      </c>
      <c r="Q103" s="14" t="str">
        <f t="shared" si="29"/>
        <v/>
      </c>
      <c r="R103" s="14" t="str">
        <f t="shared" si="30"/>
        <v>재방</v>
      </c>
      <c r="S103" s="14" t="str">
        <f>IF(O103&lt;&gt;"",VLOOKUP(O103,P.Info!$A$2:$B$150,2,0),"")</f>
        <v>주편성</v>
      </c>
    </row>
    <row r="104" spans="1:19" ht="11.25" customHeight="1" x14ac:dyDescent="0.3">
      <c r="A104" s="10">
        <f t="shared" si="31"/>
        <v>45915.354166666664</v>
      </c>
      <c r="B104" s="11">
        <f>Weekly!$C$3</f>
        <v>45915</v>
      </c>
      <c r="C104" s="12">
        <v>0.35416666666666702</v>
      </c>
      <c r="D104" s="13" t="str">
        <f>Weekly!C106</f>
        <v>남도스럽게
&lt;06</v>
      </c>
      <c r="E104" s="13" t="str">
        <f t="shared" si="32"/>
        <v>남도스럽게</v>
      </c>
      <c r="F104" s="13">
        <f t="shared" si="35"/>
        <v>6</v>
      </c>
      <c r="G104" s="13" t="str">
        <f t="shared" si="33"/>
        <v/>
      </c>
      <c r="H104" s="13" t="str">
        <f t="shared" si="34"/>
        <v/>
      </c>
      <c r="I104" s="14" t="str">
        <f t="array" ref="I104">IF(getRGB1(Weekly!C106)="FFFF00","초방","재방")</f>
        <v>재방</v>
      </c>
      <c r="K104" s="30">
        <f t="shared" si="23"/>
        <v>45918.416666666664</v>
      </c>
      <c r="L104" s="31">
        <f t="shared" si="24"/>
        <v>45918</v>
      </c>
      <c r="M104" s="32">
        <f t="shared" si="25"/>
        <v>0.41666666666666702</v>
      </c>
      <c r="N104" s="32">
        <f t="shared" si="26"/>
        <v>4.1666666671517305E-2</v>
      </c>
      <c r="O104" s="13" t="str">
        <f t="shared" si="27"/>
        <v>특집 2026 지방선거_서울특별시의회 생생중계_본회의</v>
      </c>
      <c r="P104" s="33">
        <f t="shared" si="28"/>
        <v>5</v>
      </c>
      <c r="Q104" s="14" t="str">
        <f t="shared" si="29"/>
        <v/>
      </c>
      <c r="R104" s="14" t="str">
        <f t="shared" si="30"/>
        <v>재방</v>
      </c>
      <c r="S104" s="14" t="str">
        <f>IF(O104&lt;&gt;"",VLOOKUP(O104,P.Info!$A$2:$B$150,2,0),"")</f>
        <v>주편성</v>
      </c>
    </row>
    <row r="105" spans="1:19" ht="11.25" customHeight="1" x14ac:dyDescent="0.3">
      <c r="A105" s="10" t="str">
        <f t="shared" si="31"/>
        <v/>
      </c>
      <c r="B105" s="11">
        <f>Weekly!$C$3</f>
        <v>45915</v>
      </c>
      <c r="C105" s="12">
        <v>0.35763888888888901</v>
      </c>
      <c r="D105" s="13">
        <f>Weekly!C107</f>
        <v>0</v>
      </c>
      <c r="E105" s="13" t="str">
        <f t="shared" si="32"/>
        <v/>
      </c>
      <c r="F105" s="13" t="str">
        <f t="shared" si="35"/>
        <v/>
      </c>
      <c r="G105" s="13" t="str">
        <f t="shared" si="33"/>
        <v/>
      </c>
      <c r="H105" s="13" t="str">
        <f t="shared" si="34"/>
        <v/>
      </c>
      <c r="I105" s="14" t="str">
        <f t="array" ref="I105">IF(getRGB1(Weekly!C107)="FFFF00","초방","재방")</f>
        <v>재방</v>
      </c>
      <c r="K105" s="30">
        <f t="shared" si="23"/>
        <v>45918.458333333336</v>
      </c>
      <c r="L105" s="31">
        <f t="shared" si="24"/>
        <v>45918</v>
      </c>
      <c r="M105" s="32">
        <f t="shared" si="25"/>
        <v>0.45833333333333298</v>
      </c>
      <c r="N105" s="32">
        <f t="shared" si="26"/>
        <v>4.1666666664241347E-2</v>
      </c>
      <c r="O105" s="13" t="str">
        <f t="shared" si="27"/>
        <v>특집 2026 지방선거_경기도의회 생생중계_본회의</v>
      </c>
      <c r="P105" s="33">
        <f t="shared" si="28"/>
        <v>17</v>
      </c>
      <c r="Q105" s="14" t="str">
        <f t="shared" si="29"/>
        <v/>
      </c>
      <c r="R105" s="14" t="str">
        <f t="shared" si="30"/>
        <v>초방</v>
      </c>
      <c r="S105" s="14" t="str">
        <f>IF(O105&lt;&gt;"",VLOOKUP(O105,P.Info!$A$2:$B$150,2,0),"")</f>
        <v>주편성</v>
      </c>
    </row>
    <row r="106" spans="1:19" ht="11.25" customHeight="1" x14ac:dyDescent="0.3">
      <c r="A106" s="10" t="str">
        <f t="shared" si="31"/>
        <v/>
      </c>
      <c r="B106" s="11">
        <f>Weekly!$C$3</f>
        <v>45915</v>
      </c>
      <c r="C106" s="12">
        <v>0.36111111111111099</v>
      </c>
      <c r="D106" s="13">
        <f>Weekly!C108</f>
        <v>0</v>
      </c>
      <c r="E106" s="13" t="str">
        <f t="shared" si="32"/>
        <v/>
      </c>
      <c r="F106" s="13" t="str">
        <f t="shared" si="35"/>
        <v/>
      </c>
      <c r="G106" s="13" t="str">
        <f t="shared" si="33"/>
        <v/>
      </c>
      <c r="H106" s="13" t="str">
        <f t="shared" si="34"/>
        <v/>
      </c>
      <c r="I106" s="14" t="str">
        <f t="array" ref="I106">IF(getRGB1(Weekly!C108)="FFFF00","초방","재방")</f>
        <v>재방</v>
      </c>
      <c r="K106" s="30">
        <f t="shared" si="23"/>
        <v>45918.5</v>
      </c>
      <c r="L106" s="31">
        <f t="shared" si="24"/>
        <v>45918</v>
      </c>
      <c r="M106" s="32">
        <f t="shared" si="25"/>
        <v>0.5</v>
      </c>
      <c r="N106" s="32">
        <f t="shared" si="26"/>
        <v>4.1666666664241347E-2</v>
      </c>
      <c r="O106" s="13" t="str">
        <f t="shared" si="27"/>
        <v>행복무지개</v>
      </c>
      <c r="P106" s="33">
        <f t="shared" si="28"/>
        <v>32</v>
      </c>
      <c r="Q106" s="14" t="str">
        <f t="shared" si="29"/>
        <v/>
      </c>
      <c r="R106" s="14" t="str">
        <f t="shared" si="30"/>
        <v>재방</v>
      </c>
      <c r="S106" s="14" t="str">
        <f>IF(O106&lt;&gt;"",VLOOKUP(O106,P.Info!$A$2:$B$150,2,0),"")</f>
        <v>주편성</v>
      </c>
    </row>
    <row r="107" spans="1:19" ht="11.25" customHeight="1" x14ac:dyDescent="0.3">
      <c r="A107" s="10" t="str">
        <f t="shared" si="31"/>
        <v/>
      </c>
      <c r="B107" s="11">
        <f>Weekly!$C$3</f>
        <v>45915</v>
      </c>
      <c r="C107" s="12">
        <v>0.36458333333333298</v>
      </c>
      <c r="D107" s="13">
        <f>Weekly!C109</f>
        <v>0</v>
      </c>
      <c r="E107" s="13" t="str">
        <f t="shared" si="32"/>
        <v/>
      </c>
      <c r="F107" s="13" t="str">
        <f t="shared" si="35"/>
        <v/>
      </c>
      <c r="G107" s="13" t="str">
        <f t="shared" si="33"/>
        <v/>
      </c>
      <c r="H107" s="13" t="str">
        <f t="shared" si="34"/>
        <v/>
      </c>
      <c r="I107" s="14" t="str">
        <f t="array" ref="I107">IF(getRGB1(Weekly!C109)="FFFF00","초방","재방")</f>
        <v>재방</v>
      </c>
      <c r="K107" s="30">
        <f t="shared" si="23"/>
        <v>45918.541666666664</v>
      </c>
      <c r="L107" s="31">
        <f t="shared" si="24"/>
        <v>45918</v>
      </c>
      <c r="M107" s="32">
        <f t="shared" si="25"/>
        <v>0.54166666666666696</v>
      </c>
      <c r="N107" s="32">
        <f t="shared" si="26"/>
        <v>2.0833333335758653E-2</v>
      </c>
      <c r="O107" s="13" t="str">
        <f t="shared" si="27"/>
        <v>NEWSJ</v>
      </c>
      <c r="P107" s="33">
        <f t="shared" si="28"/>
        <v>66</v>
      </c>
      <c r="Q107" s="14" t="str">
        <f t="shared" si="29"/>
        <v/>
      </c>
      <c r="R107" s="14" t="str">
        <f t="shared" si="30"/>
        <v>재방</v>
      </c>
      <c r="S107" s="14" t="str">
        <f>IF(O107&lt;&gt;"",VLOOKUP(O107,P.Info!$A$2:$B$150,2,0),"")</f>
        <v>주편성</v>
      </c>
    </row>
    <row r="108" spans="1:19" ht="11.25" customHeight="1" x14ac:dyDescent="0.3">
      <c r="A108" s="10" t="str">
        <f t="shared" si="31"/>
        <v/>
      </c>
      <c r="B108" s="11">
        <f>Weekly!$C$3</f>
        <v>45915</v>
      </c>
      <c r="C108" s="12">
        <v>0.36805555555555602</v>
      </c>
      <c r="D108" s="13">
        <f>Weekly!C110</f>
        <v>0</v>
      </c>
      <c r="E108" s="13" t="str">
        <f t="shared" si="32"/>
        <v/>
      </c>
      <c r="F108" s="13" t="str">
        <f t="shared" si="35"/>
        <v/>
      </c>
      <c r="G108" s="13" t="str">
        <f t="shared" si="33"/>
        <v/>
      </c>
      <c r="H108" s="13" t="str">
        <f t="shared" si="34"/>
        <v/>
      </c>
      <c r="I108" s="14" t="str">
        <f t="array" ref="I108">IF(getRGB1(Weekly!C110)="FFFF00","초방","재방")</f>
        <v>재방</v>
      </c>
      <c r="K108" s="30">
        <f t="shared" si="23"/>
        <v>45918.5625</v>
      </c>
      <c r="L108" s="31">
        <f t="shared" si="24"/>
        <v>45918</v>
      </c>
      <c r="M108" s="32">
        <f t="shared" si="25"/>
        <v>0.5625</v>
      </c>
      <c r="N108" s="32">
        <f t="shared" si="26"/>
        <v>2.0833333335758653E-2</v>
      </c>
      <c r="O108" s="13" t="str">
        <f t="shared" si="27"/>
        <v>더 人터뷰</v>
      </c>
      <c r="P108" s="33">
        <f t="shared" si="28"/>
        <v>52</v>
      </c>
      <c r="Q108" s="14" t="str">
        <f t="shared" si="29"/>
        <v/>
      </c>
      <c r="R108" s="14" t="str">
        <f t="shared" si="30"/>
        <v>재방</v>
      </c>
      <c r="S108" s="14" t="str">
        <f>IF(O108&lt;&gt;"",VLOOKUP(O108,P.Info!$A$2:$B$150,2,0),"")</f>
        <v>주편성</v>
      </c>
    </row>
    <row r="109" spans="1:19" ht="11.25" customHeight="1" x14ac:dyDescent="0.3">
      <c r="A109" s="10" t="str">
        <f t="shared" si="31"/>
        <v/>
      </c>
      <c r="B109" s="11">
        <f>Weekly!$C$3</f>
        <v>45915</v>
      </c>
      <c r="C109" s="12">
        <v>0.37152777777777801</v>
      </c>
      <c r="D109" s="13">
        <f>Weekly!C111</f>
        <v>0</v>
      </c>
      <c r="E109" s="13" t="str">
        <f t="shared" si="32"/>
        <v/>
      </c>
      <c r="F109" s="13" t="str">
        <f t="shared" si="35"/>
        <v/>
      </c>
      <c r="G109" s="13" t="str">
        <f t="shared" si="33"/>
        <v/>
      </c>
      <c r="H109" s="13" t="str">
        <f t="shared" si="34"/>
        <v/>
      </c>
      <c r="I109" s="14" t="str">
        <f t="array" ref="I109">IF(getRGB1(Weekly!C111)="FFFF00","초방","재방")</f>
        <v>재방</v>
      </c>
      <c r="K109" s="30">
        <f t="shared" si="23"/>
        <v>45918.583333333336</v>
      </c>
      <c r="L109" s="31">
        <f t="shared" si="24"/>
        <v>45918</v>
      </c>
      <c r="M109" s="32">
        <f t="shared" si="25"/>
        <v>0.58333333333333304</v>
      </c>
      <c r="N109" s="32">
        <f t="shared" si="26"/>
        <v>4.1666666664241347E-2</v>
      </c>
      <c r="O109" s="13" t="str">
        <f t="shared" si="27"/>
        <v>특집 2026 지방선거_서울특별시의회 생생중계_상임위</v>
      </c>
      <c r="P109" s="33">
        <f t="shared" si="28"/>
        <v>18</v>
      </c>
      <c r="Q109" s="14" t="str">
        <f t="shared" si="29"/>
        <v/>
      </c>
      <c r="R109" s="14" t="str">
        <f t="shared" si="30"/>
        <v>초방</v>
      </c>
      <c r="S109" s="14" t="str">
        <f>IF(O109&lt;&gt;"",VLOOKUP(O109,P.Info!$A$2:$B$150,2,0),"")</f>
        <v>주편성</v>
      </c>
    </row>
    <row r="110" spans="1:19" ht="11.25" customHeight="1" x14ac:dyDescent="0.3">
      <c r="A110" s="10" t="str">
        <f t="shared" si="31"/>
        <v/>
      </c>
      <c r="B110" s="11">
        <f>Weekly!$C$3</f>
        <v>45915</v>
      </c>
      <c r="C110" s="12">
        <v>0.375</v>
      </c>
      <c r="D110" s="13">
        <f>Weekly!C112</f>
        <v>0</v>
      </c>
      <c r="E110" s="13" t="str">
        <f t="shared" si="32"/>
        <v/>
      </c>
      <c r="F110" s="13" t="str">
        <f t="shared" si="35"/>
        <v/>
      </c>
      <c r="G110" s="13" t="str">
        <f t="shared" si="33"/>
        <v/>
      </c>
      <c r="H110" s="13" t="str">
        <f t="shared" si="34"/>
        <v/>
      </c>
      <c r="I110" s="14" t="str">
        <f t="array" ref="I110">IF(getRGB1(Weekly!C112)="FFFF00","초방","재방")</f>
        <v>재방</v>
      </c>
      <c r="K110" s="30">
        <f t="shared" si="23"/>
        <v>45918.625</v>
      </c>
      <c r="L110" s="31">
        <f t="shared" si="24"/>
        <v>45918</v>
      </c>
      <c r="M110" s="32">
        <f t="shared" si="25"/>
        <v>0.625</v>
      </c>
      <c r="N110" s="32">
        <f t="shared" si="26"/>
        <v>4.1666666664241347E-2</v>
      </c>
      <c r="O110" s="13" t="str">
        <f t="shared" si="27"/>
        <v>행복무지개</v>
      </c>
      <c r="P110" s="33">
        <f t="shared" si="28"/>
        <v>31</v>
      </c>
      <c r="Q110" s="14" t="str">
        <f t="shared" si="29"/>
        <v/>
      </c>
      <c r="R110" s="14" t="str">
        <f t="shared" si="30"/>
        <v>재방</v>
      </c>
      <c r="S110" s="14" t="str">
        <f>IF(O110&lt;&gt;"",VLOOKUP(O110,P.Info!$A$2:$B$150,2,0),"")</f>
        <v>주편성</v>
      </c>
    </row>
    <row r="111" spans="1:19" ht="11.25" customHeight="1" x14ac:dyDescent="0.3">
      <c r="A111" s="10" t="str">
        <f t="shared" si="31"/>
        <v/>
      </c>
      <c r="B111" s="11">
        <f>Weekly!$C$3</f>
        <v>45915</v>
      </c>
      <c r="C111" s="12">
        <v>0.37847222222222199</v>
      </c>
      <c r="D111" s="13">
        <f>Weekly!C113</f>
        <v>0</v>
      </c>
      <c r="E111" s="13" t="str">
        <f t="shared" si="32"/>
        <v/>
      </c>
      <c r="F111" s="13" t="str">
        <f t="shared" si="35"/>
        <v/>
      </c>
      <c r="G111" s="13" t="str">
        <f t="shared" si="33"/>
        <v/>
      </c>
      <c r="H111" s="13" t="str">
        <f t="shared" si="34"/>
        <v/>
      </c>
      <c r="I111" s="14" t="str">
        <f t="array" ref="I111">IF(getRGB1(Weekly!C113)="FFFF00","초방","재방")</f>
        <v>재방</v>
      </c>
      <c r="K111" s="30">
        <f t="shared" si="23"/>
        <v>45918.666666666664</v>
      </c>
      <c r="L111" s="31">
        <f t="shared" si="24"/>
        <v>45918</v>
      </c>
      <c r="M111" s="32">
        <f t="shared" si="25"/>
        <v>0.66666666666666696</v>
      </c>
      <c r="N111" s="32">
        <f t="shared" si="26"/>
        <v>2.0833333335758653E-2</v>
      </c>
      <c r="O111" s="13" t="str">
        <f t="shared" si="27"/>
        <v>NEWS4</v>
      </c>
      <c r="P111" s="33">
        <f t="shared" si="28"/>
        <v>64</v>
      </c>
      <c r="Q111" s="14" t="str">
        <f t="shared" si="29"/>
        <v/>
      </c>
      <c r="R111" s="14" t="str">
        <f t="shared" si="30"/>
        <v>재방</v>
      </c>
      <c r="S111" s="14" t="str">
        <f>IF(O111&lt;&gt;"",VLOOKUP(O111,P.Info!$A$2:$B$150,2,0),"")</f>
        <v>주편성</v>
      </c>
    </row>
    <row r="112" spans="1:19" ht="11.25" customHeight="1" x14ac:dyDescent="0.3">
      <c r="A112" s="10" t="str">
        <f t="shared" si="31"/>
        <v/>
      </c>
      <c r="B112" s="11">
        <f>Weekly!$C$3</f>
        <v>45915</v>
      </c>
      <c r="C112" s="12">
        <v>0.38194444444444398</v>
      </c>
      <c r="D112" s="13">
        <f>Weekly!C114</f>
        <v>0</v>
      </c>
      <c r="E112" s="13" t="str">
        <f t="shared" si="32"/>
        <v/>
      </c>
      <c r="F112" s="13" t="str">
        <f t="shared" si="35"/>
        <v/>
      </c>
      <c r="G112" s="13" t="str">
        <f t="shared" si="33"/>
        <v/>
      </c>
      <c r="H112" s="13" t="str">
        <f t="shared" si="34"/>
        <v/>
      </c>
      <c r="I112" s="14" t="str">
        <f t="array" ref="I112">IF(getRGB1(Weekly!C114)="FFFF00","초방","재방")</f>
        <v>재방</v>
      </c>
      <c r="K112" s="30">
        <f t="shared" si="23"/>
        <v>45918.6875</v>
      </c>
      <c r="L112" s="31">
        <f t="shared" si="24"/>
        <v>45918</v>
      </c>
      <c r="M112" s="32">
        <f t="shared" si="25"/>
        <v>0.6875</v>
      </c>
      <c r="N112" s="32">
        <f t="shared" si="26"/>
        <v>2.0833333335758653E-2</v>
      </c>
      <c r="O112" s="13" t="str">
        <f t="shared" si="27"/>
        <v>호남, 호남人</v>
      </c>
      <c r="P112" s="33">
        <f t="shared" si="28"/>
        <v>133</v>
      </c>
      <c r="Q112" s="14" t="str">
        <f t="shared" si="29"/>
        <v/>
      </c>
      <c r="R112" s="14" t="str">
        <f t="shared" si="30"/>
        <v>재방</v>
      </c>
      <c r="S112" s="14" t="str">
        <f>IF(O112&lt;&gt;"",VLOOKUP(O112,P.Info!$A$2:$B$150,2,0),"")</f>
        <v>주편성</v>
      </c>
    </row>
    <row r="113" spans="1:19" ht="11.25" customHeight="1" x14ac:dyDescent="0.3">
      <c r="A113" s="10" t="str">
        <f t="shared" si="31"/>
        <v/>
      </c>
      <c r="B113" s="11">
        <f>Weekly!$C$3</f>
        <v>45915</v>
      </c>
      <c r="C113" s="12">
        <v>0.38541666666666702</v>
      </c>
      <c r="D113" s="13">
        <f>Weekly!C115</f>
        <v>0</v>
      </c>
      <c r="E113" s="13" t="str">
        <f t="shared" si="32"/>
        <v/>
      </c>
      <c r="F113" s="13" t="str">
        <f t="shared" si="35"/>
        <v/>
      </c>
      <c r="G113" s="13" t="str">
        <f t="shared" si="33"/>
        <v/>
      </c>
      <c r="H113" s="13" t="str">
        <f t="shared" si="34"/>
        <v/>
      </c>
      <c r="I113" s="14" t="str">
        <f t="array" ref="I113">IF(getRGB1(Weekly!C115)="FFFF00","초방","재방")</f>
        <v>재방</v>
      </c>
      <c r="K113" s="30">
        <f t="shared" si="23"/>
        <v>45918.708333333336</v>
      </c>
      <c r="L113" s="31">
        <f t="shared" si="24"/>
        <v>45918</v>
      </c>
      <c r="M113" s="32">
        <f t="shared" si="25"/>
        <v>0.70833333333333304</v>
      </c>
      <c r="N113" s="32">
        <f t="shared" si="26"/>
        <v>4.1666666664241347E-2</v>
      </c>
      <c r="O113" s="13" t="str">
        <f t="shared" si="27"/>
        <v>특집 2026 지방선거_경기도의회 생생중계_상임위</v>
      </c>
      <c r="P113" s="33">
        <f t="shared" si="28"/>
        <v>17</v>
      </c>
      <c r="Q113" s="14" t="str">
        <f t="shared" si="29"/>
        <v/>
      </c>
      <c r="R113" s="14" t="str">
        <f t="shared" si="30"/>
        <v>초방</v>
      </c>
      <c r="S113" s="14" t="str">
        <f>IF(O113&lt;&gt;"",VLOOKUP(O113,P.Info!$A$2:$B$150,2,0),"")</f>
        <v>주편성</v>
      </c>
    </row>
    <row r="114" spans="1:19" ht="11.25" customHeight="1" x14ac:dyDescent="0.3">
      <c r="A114" s="10">
        <f t="shared" si="31"/>
        <v>45915.388888888891</v>
      </c>
      <c r="B114" s="11">
        <f>Weekly!$C$3</f>
        <v>45915</v>
      </c>
      <c r="C114" s="12">
        <v>0.38888888888888901</v>
      </c>
      <c r="D114" s="13" t="str">
        <f>Weekly!C116</f>
        <v>눈에 띄는 그녀들 시즌3
&lt;07</v>
      </c>
      <c r="E114" s="13" t="str">
        <f t="shared" si="32"/>
        <v>눈에 띄는 그녀들 시즌3</v>
      </c>
      <c r="F114" s="13">
        <f t="shared" si="35"/>
        <v>7</v>
      </c>
      <c r="G114" s="13" t="str">
        <f t="shared" si="33"/>
        <v/>
      </c>
      <c r="H114" s="13" t="str">
        <f t="shared" si="34"/>
        <v/>
      </c>
      <c r="I114" s="14" t="str">
        <f t="array" ref="I114">IF(getRGB1(Weekly!C116)="FFFF00","초방","재방")</f>
        <v>재방</v>
      </c>
      <c r="K114" s="30">
        <f t="shared" si="23"/>
        <v>45918.75</v>
      </c>
      <c r="L114" s="31">
        <f t="shared" si="24"/>
        <v>45918</v>
      </c>
      <c r="M114" s="32">
        <f t="shared" si="25"/>
        <v>0.75</v>
      </c>
      <c r="N114" s="32">
        <f t="shared" si="26"/>
        <v>2.0833333335758653E-2</v>
      </c>
      <c r="O114" s="13" t="str">
        <f t="shared" si="27"/>
        <v>눈에 띄는 그녀들 시즌5</v>
      </c>
      <c r="P114" s="33">
        <f t="shared" si="28"/>
        <v>8</v>
      </c>
      <c r="Q114" s="14" t="str">
        <f t="shared" si="29"/>
        <v/>
      </c>
      <c r="R114" s="14" t="str">
        <f t="shared" si="30"/>
        <v>초방</v>
      </c>
      <c r="S114" s="14" t="str">
        <f>IF(O114&lt;&gt;"",VLOOKUP(O114,P.Info!$A$2:$B$150,2,0),"")</f>
        <v>주편성</v>
      </c>
    </row>
    <row r="115" spans="1:19" ht="11.25" customHeight="1" x14ac:dyDescent="0.3">
      <c r="A115" s="10" t="str">
        <f t="shared" si="31"/>
        <v/>
      </c>
      <c r="B115" s="11">
        <f>Weekly!$C$3</f>
        <v>45915</v>
      </c>
      <c r="C115" s="12">
        <v>0.39236111111111099</v>
      </c>
      <c r="D115" s="13">
        <f>Weekly!C117</f>
        <v>0</v>
      </c>
      <c r="E115" s="13" t="str">
        <f t="shared" si="32"/>
        <v/>
      </c>
      <c r="F115" s="13" t="str">
        <f t="shared" si="35"/>
        <v/>
      </c>
      <c r="G115" s="13" t="str">
        <f t="shared" si="33"/>
        <v/>
      </c>
      <c r="H115" s="13" t="str">
        <f t="shared" si="34"/>
        <v/>
      </c>
      <c r="I115" s="14" t="str">
        <f t="array" ref="I115">IF(getRGB1(Weekly!C117)="FFFF00","초방","재방")</f>
        <v>재방</v>
      </c>
      <c r="K115" s="30">
        <f t="shared" si="23"/>
        <v>45918.770833333336</v>
      </c>
      <c r="L115" s="31">
        <f t="shared" si="24"/>
        <v>45918</v>
      </c>
      <c r="M115" s="32">
        <f t="shared" si="25"/>
        <v>0.77083333333333304</v>
      </c>
      <c r="N115" s="32">
        <f t="shared" si="26"/>
        <v>2.0833333328482695E-2</v>
      </c>
      <c r="O115" s="13" t="str">
        <f t="shared" si="27"/>
        <v>낭만살롱</v>
      </c>
      <c r="P115" s="33">
        <f t="shared" si="28"/>
        <v>8</v>
      </c>
      <c r="Q115" s="14" t="str">
        <f t="shared" si="29"/>
        <v/>
      </c>
      <c r="R115" s="14" t="str">
        <f t="shared" si="30"/>
        <v>재방</v>
      </c>
      <c r="S115" s="14" t="str">
        <f>IF(O115&lt;&gt;"",VLOOKUP(O115,P.Info!$A$2:$B$150,2,0),"")</f>
        <v>주편성</v>
      </c>
    </row>
    <row r="116" spans="1:19" ht="11.25" customHeight="1" x14ac:dyDescent="0.3">
      <c r="A116" s="10" t="str">
        <f t="shared" si="31"/>
        <v/>
      </c>
      <c r="B116" s="11">
        <f>Weekly!$C$3</f>
        <v>45915</v>
      </c>
      <c r="C116" s="12">
        <v>0.39583333333333298</v>
      </c>
      <c r="D116" s="13">
        <f>Weekly!C118</f>
        <v>0</v>
      </c>
      <c r="E116" s="13" t="str">
        <f t="shared" si="32"/>
        <v/>
      </c>
      <c r="F116" s="13" t="str">
        <f t="shared" si="35"/>
        <v/>
      </c>
      <c r="G116" s="13" t="str">
        <f t="shared" si="33"/>
        <v/>
      </c>
      <c r="H116" s="13" t="str">
        <f t="shared" si="34"/>
        <v/>
      </c>
      <c r="I116" s="14" t="str">
        <f t="array" ref="I116">IF(getRGB1(Weekly!C118)="FFFF00","초방","재방")</f>
        <v>재방</v>
      </c>
      <c r="K116" s="30">
        <f t="shared" si="23"/>
        <v>45918.791666666664</v>
      </c>
      <c r="L116" s="31">
        <f t="shared" si="24"/>
        <v>45918</v>
      </c>
      <c r="M116" s="32">
        <f t="shared" si="25"/>
        <v>0.79166666666666696</v>
      </c>
      <c r="N116" s="32">
        <f t="shared" si="26"/>
        <v>4.1666666671517305E-2</v>
      </c>
      <c r="O116" s="13" t="str">
        <f t="shared" si="27"/>
        <v>뉴스와이드</v>
      </c>
      <c r="P116" s="33">
        <f t="shared" si="28"/>
        <v>435</v>
      </c>
      <c r="Q116" s="14" t="str">
        <f t="shared" si="29"/>
        <v/>
      </c>
      <c r="R116" s="14" t="str">
        <f t="shared" si="30"/>
        <v>초방</v>
      </c>
      <c r="S116" s="14" t="str">
        <f>IF(O116&lt;&gt;"",VLOOKUP(O116,P.Info!$A$2:$B$150,2,0),"")</f>
        <v>주편성</v>
      </c>
    </row>
    <row r="117" spans="1:19" ht="11.25" customHeight="1" x14ac:dyDescent="0.3">
      <c r="A117" s="10" t="str">
        <f t="shared" si="31"/>
        <v/>
      </c>
      <c r="B117" s="11">
        <f>Weekly!$C$3</f>
        <v>45915</v>
      </c>
      <c r="C117" s="12">
        <v>0.39930555555555602</v>
      </c>
      <c r="D117" s="13">
        <f>Weekly!C119</f>
        <v>0</v>
      </c>
      <c r="E117" s="13" t="str">
        <f t="shared" si="32"/>
        <v/>
      </c>
      <c r="F117" s="13" t="str">
        <f t="shared" si="35"/>
        <v/>
      </c>
      <c r="G117" s="13" t="str">
        <f t="shared" si="33"/>
        <v/>
      </c>
      <c r="H117" s="13" t="str">
        <f t="shared" si="34"/>
        <v/>
      </c>
      <c r="I117" s="14" t="str">
        <f t="array" ref="I117">IF(getRGB1(Weekly!C119)="FFFF00","초방","재방")</f>
        <v>재방</v>
      </c>
      <c r="K117" s="30">
        <f t="shared" si="23"/>
        <v>45918.833333333336</v>
      </c>
      <c r="L117" s="31">
        <f t="shared" si="24"/>
        <v>45918</v>
      </c>
      <c r="M117" s="32">
        <f t="shared" si="25"/>
        <v>0.83333333333333304</v>
      </c>
      <c r="N117" s="32">
        <f t="shared" si="26"/>
        <v>2.0833333328482695E-2</v>
      </c>
      <c r="O117" s="13" t="str">
        <f t="shared" si="27"/>
        <v>NEWSON</v>
      </c>
      <c r="P117" s="33">
        <f t="shared" si="28"/>
        <v>66</v>
      </c>
      <c r="Q117" s="14" t="str">
        <f t="shared" si="29"/>
        <v/>
      </c>
      <c r="R117" s="14" t="str">
        <f t="shared" si="30"/>
        <v>재방</v>
      </c>
      <c r="S117" s="14" t="str">
        <f>IF(O117&lt;&gt;"",VLOOKUP(O117,P.Info!$A$2:$B$150,2,0),"")</f>
        <v>주편성</v>
      </c>
    </row>
    <row r="118" spans="1:19" ht="11.25" customHeight="1" x14ac:dyDescent="0.3">
      <c r="A118" s="10" t="str">
        <f t="shared" si="31"/>
        <v/>
      </c>
      <c r="B118" s="11">
        <f>Weekly!$C$3</f>
        <v>45915</v>
      </c>
      <c r="C118" s="12">
        <v>0.40277777777777801</v>
      </c>
      <c r="D118" s="13">
        <f>Weekly!C120</f>
        <v>0</v>
      </c>
      <c r="E118" s="13" t="str">
        <f t="shared" si="32"/>
        <v/>
      </c>
      <c r="F118" s="13" t="str">
        <f t="shared" si="35"/>
        <v/>
      </c>
      <c r="G118" s="13" t="str">
        <f t="shared" si="33"/>
        <v/>
      </c>
      <c r="H118" s="13" t="str">
        <f t="shared" si="34"/>
        <v/>
      </c>
      <c r="I118" s="14" t="str">
        <f t="array" ref="I118">IF(getRGB1(Weekly!C120)="FFFF00","초방","재방")</f>
        <v>재방</v>
      </c>
      <c r="K118" s="30">
        <f t="shared" si="23"/>
        <v>45918.854166666664</v>
      </c>
      <c r="L118" s="31">
        <f t="shared" si="24"/>
        <v>45918</v>
      </c>
      <c r="M118" s="32">
        <f t="shared" si="25"/>
        <v>0.85416666666666696</v>
      </c>
      <c r="N118" s="32">
        <f t="shared" si="26"/>
        <v>3.4722222226264421E-2</v>
      </c>
      <c r="O118" s="13" t="str">
        <f t="shared" si="27"/>
        <v>우리동네 너튜브</v>
      </c>
      <c r="P118" s="33">
        <f t="shared" si="28"/>
        <v>7</v>
      </c>
      <c r="Q118" s="14" t="str">
        <f t="shared" si="29"/>
        <v/>
      </c>
      <c r="R118" s="14" t="str">
        <f t="shared" si="30"/>
        <v>재방</v>
      </c>
      <c r="S118" s="14" t="str">
        <f>IF(O118&lt;&gt;"",VLOOKUP(O118,P.Info!$A$2:$B$150,2,0),"")</f>
        <v>주편성</v>
      </c>
    </row>
    <row r="119" spans="1:19" ht="11.25" customHeight="1" x14ac:dyDescent="0.3">
      <c r="A119" s="10" t="str">
        <f t="shared" si="31"/>
        <v/>
      </c>
      <c r="B119" s="11">
        <f>Weekly!$C$3</f>
        <v>45915</v>
      </c>
      <c r="C119" s="12">
        <v>0.40625</v>
      </c>
      <c r="D119" s="13">
        <f>Weekly!C121</f>
        <v>0</v>
      </c>
      <c r="E119" s="13" t="str">
        <f t="shared" si="32"/>
        <v/>
      </c>
      <c r="F119" s="13" t="str">
        <f t="shared" si="35"/>
        <v/>
      </c>
      <c r="G119" s="13" t="str">
        <f t="shared" si="33"/>
        <v/>
      </c>
      <c r="H119" s="13" t="str">
        <f t="shared" si="34"/>
        <v/>
      </c>
      <c r="I119" s="14" t="str">
        <f t="array" ref="I119">IF(getRGB1(Weekly!C121)="FFFF00","초방","재방")</f>
        <v>재방</v>
      </c>
      <c r="K119" s="30">
        <f t="shared" si="23"/>
        <v>45918.888888888891</v>
      </c>
      <c r="L119" s="31">
        <f t="shared" si="24"/>
        <v>45918</v>
      </c>
      <c r="M119" s="32">
        <f t="shared" si="25"/>
        <v>0.88888888888888895</v>
      </c>
      <c r="N119" s="32">
        <f t="shared" si="26"/>
        <v>2.7777777773735579E-2</v>
      </c>
      <c r="O119" s="13" t="str">
        <f t="shared" si="27"/>
        <v>낭만살롱</v>
      </c>
      <c r="P119" s="33">
        <f t="shared" si="28"/>
        <v>4</v>
      </c>
      <c r="Q119" s="14" t="str">
        <f t="shared" si="29"/>
        <v/>
      </c>
      <c r="R119" s="14" t="str">
        <f t="shared" si="30"/>
        <v>재방</v>
      </c>
      <c r="S119" s="14" t="str">
        <f>IF(O119&lt;&gt;"",VLOOKUP(O119,P.Info!$A$2:$B$150,2,0),"")</f>
        <v>주편성</v>
      </c>
    </row>
    <row r="120" spans="1:19" ht="11.25" customHeight="1" x14ac:dyDescent="0.3">
      <c r="A120" s="10" t="str">
        <f t="shared" si="31"/>
        <v/>
      </c>
      <c r="B120" s="11">
        <f>Weekly!$C$3</f>
        <v>45915</v>
      </c>
      <c r="C120" s="12">
        <v>0.40972222222222199</v>
      </c>
      <c r="D120" s="13">
        <f>Weekly!C122</f>
        <v>0</v>
      </c>
      <c r="E120" s="13" t="str">
        <f t="shared" si="32"/>
        <v/>
      </c>
      <c r="F120" s="13" t="str">
        <f t="shared" si="35"/>
        <v/>
      </c>
      <c r="G120" s="13" t="str">
        <f t="shared" si="33"/>
        <v/>
      </c>
      <c r="H120" s="13" t="str">
        <f t="shared" si="34"/>
        <v/>
      </c>
      <c r="I120" s="14" t="str">
        <f t="array" ref="I120">IF(getRGB1(Weekly!C122)="FFFF00","초방","재방")</f>
        <v>재방</v>
      </c>
      <c r="K120" s="30">
        <f t="shared" si="23"/>
        <v>45918.916666666664</v>
      </c>
      <c r="L120" s="31">
        <f t="shared" si="24"/>
        <v>45918</v>
      </c>
      <c r="M120" s="32">
        <f t="shared" si="25"/>
        <v>0.91666666666666696</v>
      </c>
      <c r="N120" s="32">
        <f t="shared" si="26"/>
        <v>4.1666666671517305E-2</v>
      </c>
      <c r="O120" s="13" t="str">
        <f t="shared" si="27"/>
        <v>특집 2026 지방선거_서울특별시의회 생생중계_본회의</v>
      </c>
      <c r="P120" s="33">
        <f t="shared" si="28"/>
        <v>5</v>
      </c>
      <c r="Q120" s="14" t="str">
        <f t="shared" si="29"/>
        <v/>
      </c>
      <c r="R120" s="14" t="str">
        <f t="shared" si="30"/>
        <v>재방</v>
      </c>
      <c r="S120" s="14" t="str">
        <f>IF(O120&lt;&gt;"",VLOOKUP(O120,P.Info!$A$2:$B$150,2,0),"")</f>
        <v>주편성</v>
      </c>
    </row>
    <row r="121" spans="1:19" ht="11.25" customHeight="1" x14ac:dyDescent="0.3">
      <c r="A121" s="10" t="str">
        <f t="shared" si="31"/>
        <v/>
      </c>
      <c r="B121" s="11">
        <f>Weekly!$C$3</f>
        <v>45915</v>
      </c>
      <c r="C121" s="12">
        <v>0.41319444444444398</v>
      </c>
      <c r="D121" s="13">
        <f>Weekly!C123</f>
        <v>0</v>
      </c>
      <c r="E121" s="13" t="str">
        <f t="shared" si="32"/>
        <v/>
      </c>
      <c r="F121" s="13" t="str">
        <f t="shared" si="35"/>
        <v/>
      </c>
      <c r="G121" s="13" t="str">
        <f t="shared" si="33"/>
        <v/>
      </c>
      <c r="H121" s="13" t="str">
        <f t="shared" si="34"/>
        <v/>
      </c>
      <c r="I121" s="14" t="str">
        <f t="array" ref="I121">IF(getRGB1(Weekly!C123)="FFFF00","초방","재방")</f>
        <v>재방</v>
      </c>
      <c r="K121" s="30">
        <f t="shared" si="23"/>
        <v>45918.958333333336</v>
      </c>
      <c r="L121" s="31">
        <f t="shared" si="24"/>
        <v>45918</v>
      </c>
      <c r="M121" s="32">
        <f t="shared" si="25"/>
        <v>0.95833333333333304</v>
      </c>
      <c r="N121" s="32">
        <f t="shared" si="26"/>
        <v>4.1666666664241347E-2</v>
      </c>
      <c r="O121" s="13" t="str">
        <f t="shared" si="27"/>
        <v>특집 2026 지방선거_서울특별시의회 생생중계_상임위</v>
      </c>
      <c r="P121" s="33">
        <f t="shared" si="28"/>
        <v>18</v>
      </c>
      <c r="Q121" s="14" t="str">
        <f t="shared" si="29"/>
        <v/>
      </c>
      <c r="R121" s="14" t="str">
        <f t="shared" si="30"/>
        <v>재방</v>
      </c>
      <c r="S121" s="14" t="str">
        <f>IF(O121&lt;&gt;"",VLOOKUP(O121,P.Info!$A$2:$B$150,2,0),"")</f>
        <v>주편성</v>
      </c>
    </row>
    <row r="122" spans="1:19" ht="11.25" customHeight="1" x14ac:dyDescent="0.3">
      <c r="A122" s="10">
        <f t="shared" si="31"/>
        <v>45915.416666666664</v>
      </c>
      <c r="B122" s="11">
        <f>Weekly!$C$3</f>
        <v>45915</v>
      </c>
      <c r="C122" s="12">
        <v>0.41666666666666702</v>
      </c>
      <c r="D122" s="13" t="str">
        <f>Weekly!C124</f>
        <v>특집 2026 지방선거_서울특별시의회 생생중계_본회의
&lt;15</v>
      </c>
      <c r="E122" s="13" t="str">
        <f t="shared" si="32"/>
        <v>특집 2026 지방선거_서울특별시의회 생생중계_본회의</v>
      </c>
      <c r="F122" s="13">
        <f t="shared" si="35"/>
        <v>15</v>
      </c>
      <c r="G122" s="13" t="str">
        <f t="shared" si="33"/>
        <v/>
      </c>
      <c r="H122" s="13" t="str">
        <f t="shared" si="34"/>
        <v/>
      </c>
      <c r="I122" s="14" t="str">
        <f t="array" ref="I122">IF(getRGB1(Weekly!C124)="FFFF00","초방","재방")</f>
        <v>초방</v>
      </c>
      <c r="K122" s="30">
        <f t="shared" si="23"/>
        <v>45919</v>
      </c>
      <c r="L122" s="31">
        <f t="shared" si="24"/>
        <v>45919</v>
      </c>
      <c r="M122" s="32">
        <f t="shared" si="25"/>
        <v>0</v>
      </c>
      <c r="N122" s="32">
        <f t="shared" si="26"/>
        <v>4.1666666664241347E-2</v>
      </c>
      <c r="O122" s="13" t="str">
        <f t="shared" si="27"/>
        <v>특집 2026 지방선거_경기도의회 생생중계_본회의</v>
      </c>
      <c r="P122" s="33">
        <f t="shared" si="28"/>
        <v>17</v>
      </c>
      <c r="Q122" s="14" t="str">
        <f t="shared" si="29"/>
        <v/>
      </c>
      <c r="R122" s="14" t="e">
        <f t="shared" ca="1" si="30"/>
        <v>#NAME?</v>
      </c>
      <c r="S122" s="14" t="str">
        <f>IF(O122&lt;&gt;"",VLOOKUP(O122,P.Info!$A$2:$B$150,2,0),"")</f>
        <v>주편성</v>
      </c>
    </row>
    <row r="123" spans="1:19" ht="11.25" customHeight="1" x14ac:dyDescent="0.3">
      <c r="A123" s="10" t="str">
        <f t="shared" si="31"/>
        <v/>
      </c>
      <c r="B123" s="11">
        <f>Weekly!$C$3</f>
        <v>45915</v>
      </c>
      <c r="C123" s="12">
        <v>0.42013888888888901</v>
      </c>
      <c r="D123" s="13">
        <f>Weekly!C125</f>
        <v>0</v>
      </c>
      <c r="E123" s="13" t="str">
        <f t="shared" si="32"/>
        <v/>
      </c>
      <c r="F123" s="13" t="str">
        <f t="shared" si="35"/>
        <v/>
      </c>
      <c r="G123" s="13" t="str">
        <f t="shared" si="33"/>
        <v/>
      </c>
      <c r="H123" s="13" t="str">
        <f t="shared" si="34"/>
        <v/>
      </c>
      <c r="I123" s="14" t="str">
        <f t="array" ref="I123">IF(getRGB1(Weekly!C125)="FFFF00","초방","재방")</f>
        <v>초방</v>
      </c>
      <c r="K123" s="30">
        <f t="shared" si="23"/>
        <v>45919.041666666664</v>
      </c>
      <c r="L123" s="31">
        <f t="shared" si="24"/>
        <v>45919</v>
      </c>
      <c r="M123" s="32">
        <f t="shared" si="25"/>
        <v>4.1666666666666699E-2</v>
      </c>
      <c r="N123" s="32">
        <f t="shared" si="26"/>
        <v>4.1666666671517305E-2</v>
      </c>
      <c r="O123" s="13" t="str">
        <f t="shared" si="27"/>
        <v>특집 2026 지방선거_경기도의회 생생중계_상임위</v>
      </c>
      <c r="P123" s="33">
        <f t="shared" si="28"/>
        <v>17</v>
      </c>
      <c r="Q123" s="14" t="str">
        <f t="shared" si="29"/>
        <v/>
      </c>
      <c r="R123" s="14" t="e">
        <f t="shared" ca="1" si="30"/>
        <v>#NAME?</v>
      </c>
      <c r="S123" s="14" t="str">
        <f>IF(O123&lt;&gt;"",VLOOKUP(O123,P.Info!$A$2:$B$150,2,0),"")</f>
        <v>주편성</v>
      </c>
    </row>
    <row r="124" spans="1:19" ht="11.25" customHeight="1" x14ac:dyDescent="0.3">
      <c r="A124" s="10" t="str">
        <f t="shared" si="31"/>
        <v/>
      </c>
      <c r="B124" s="11">
        <f>Weekly!$C$3</f>
        <v>45915</v>
      </c>
      <c r="C124" s="12">
        <v>0.42361111111111099</v>
      </c>
      <c r="D124" s="13">
        <f>Weekly!C126</f>
        <v>0</v>
      </c>
      <c r="E124" s="13" t="str">
        <f t="shared" si="32"/>
        <v/>
      </c>
      <c r="F124" s="13" t="str">
        <f t="shared" si="35"/>
        <v/>
      </c>
      <c r="G124" s="13" t="str">
        <f t="shared" si="33"/>
        <v/>
      </c>
      <c r="H124" s="13" t="str">
        <f t="shared" si="34"/>
        <v/>
      </c>
      <c r="I124" s="14" t="str">
        <f t="array" ref="I124">IF(getRGB1(Weekly!C126)="FFFF00","초방","재방")</f>
        <v>초방</v>
      </c>
      <c r="K124" s="30">
        <f t="shared" si="23"/>
        <v>45919.083333333336</v>
      </c>
      <c r="L124" s="31">
        <f t="shared" si="24"/>
        <v>45919</v>
      </c>
      <c r="M124" s="32">
        <f t="shared" si="25"/>
        <v>8.3333333333333301E-2</v>
      </c>
      <c r="N124" s="32">
        <f t="shared" si="26"/>
        <v>2.7777777773735579E-2</v>
      </c>
      <c r="O124" s="13" t="str">
        <f t="shared" si="27"/>
        <v>휴먼다큐 시장사람들</v>
      </c>
      <c r="P124" s="33">
        <f t="shared" si="28"/>
        <v>19</v>
      </c>
      <c r="Q124" s="14" t="str">
        <f t="shared" si="29"/>
        <v/>
      </c>
      <c r="R124" s="14" t="str">
        <f t="shared" si="30"/>
        <v>재방</v>
      </c>
      <c r="S124" s="14" t="str">
        <f>IF(O124&lt;&gt;"",VLOOKUP(O124,P.Info!$A$2:$B$150,2,0),"")</f>
        <v>주편성</v>
      </c>
    </row>
    <row r="125" spans="1:19" ht="11.25" customHeight="1" x14ac:dyDescent="0.3">
      <c r="A125" s="10" t="str">
        <f t="shared" si="31"/>
        <v/>
      </c>
      <c r="B125" s="11">
        <f>Weekly!$C$3</f>
        <v>45915</v>
      </c>
      <c r="C125" s="12">
        <v>0.42708333333333298</v>
      </c>
      <c r="D125" s="13">
        <f>Weekly!C127</f>
        <v>0</v>
      </c>
      <c r="E125" s="13" t="str">
        <f t="shared" si="32"/>
        <v/>
      </c>
      <c r="F125" s="13" t="str">
        <f t="shared" si="35"/>
        <v/>
      </c>
      <c r="G125" s="13" t="str">
        <f t="shared" si="33"/>
        <v/>
      </c>
      <c r="H125" s="13" t="str">
        <f t="shared" si="34"/>
        <v/>
      </c>
      <c r="I125" s="14" t="str">
        <f t="array" ref="I125">IF(getRGB1(Weekly!C127)="FFFF00","초방","재방")</f>
        <v>초방</v>
      </c>
      <c r="K125" s="30">
        <f t="shared" si="23"/>
        <v>45919.111111111109</v>
      </c>
      <c r="L125" s="31">
        <f t="shared" si="24"/>
        <v>45919</v>
      </c>
      <c r="M125" s="32">
        <f t="shared" si="25"/>
        <v>0.11111111111111099</v>
      </c>
      <c r="N125" s="32">
        <f t="shared" si="26"/>
        <v>4.1666666671517305E-2</v>
      </c>
      <c r="O125" s="13" t="str">
        <f t="shared" si="27"/>
        <v>최선규의 이제는 지방시대 시즌2</v>
      </c>
      <c r="P125" s="33">
        <f t="shared" si="28"/>
        <v>8</v>
      </c>
      <c r="Q125" s="14" t="str">
        <f t="shared" si="29"/>
        <v/>
      </c>
      <c r="R125" s="14" t="str">
        <f t="shared" si="30"/>
        <v>재방</v>
      </c>
      <c r="S125" s="14" t="str">
        <f>IF(O125&lt;&gt;"",VLOOKUP(O125,P.Info!$A$2:$B$150,2,0),"")</f>
        <v>주편성</v>
      </c>
    </row>
    <row r="126" spans="1:19" ht="11.25" customHeight="1" x14ac:dyDescent="0.3">
      <c r="A126" s="10" t="str">
        <f t="shared" si="31"/>
        <v/>
      </c>
      <c r="B126" s="11">
        <f>Weekly!$C$3</f>
        <v>45915</v>
      </c>
      <c r="C126" s="12">
        <v>0.43055555555555602</v>
      </c>
      <c r="D126" s="13">
        <f>Weekly!C128</f>
        <v>0</v>
      </c>
      <c r="E126" s="13" t="str">
        <f t="shared" si="32"/>
        <v/>
      </c>
      <c r="F126" s="13" t="str">
        <f t="shared" si="35"/>
        <v/>
      </c>
      <c r="G126" s="13" t="str">
        <f t="shared" si="33"/>
        <v/>
      </c>
      <c r="H126" s="13" t="str">
        <f t="shared" si="34"/>
        <v/>
      </c>
      <c r="I126" s="14" t="str">
        <f t="array" ref="I126">IF(getRGB1(Weekly!C128)="FFFF00","초방","재방")</f>
        <v>초방</v>
      </c>
      <c r="K126" s="30">
        <f t="shared" si="23"/>
        <v>45919.152777777781</v>
      </c>
      <c r="L126" s="31">
        <f t="shared" si="24"/>
        <v>45919</v>
      </c>
      <c r="M126" s="32">
        <f t="shared" si="25"/>
        <v>0.15277777777777801</v>
      </c>
      <c r="N126" s="32">
        <f t="shared" si="26"/>
        <v>4.1666666664241347E-2</v>
      </c>
      <c r="O126" s="13" t="str">
        <f t="shared" si="27"/>
        <v>태군노래자랑</v>
      </c>
      <c r="P126" s="33">
        <f t="shared" si="28"/>
        <v>12</v>
      </c>
      <c r="Q126" s="14" t="str">
        <f t="shared" si="29"/>
        <v/>
      </c>
      <c r="R126" s="14" t="str">
        <f t="shared" si="30"/>
        <v>재방</v>
      </c>
      <c r="S126" s="14" t="str">
        <f>IF(O126&lt;&gt;"",VLOOKUP(O126,P.Info!$A$2:$B$150,2,0),"")</f>
        <v>주편성</v>
      </c>
    </row>
    <row r="127" spans="1:19" ht="11.25" customHeight="1" x14ac:dyDescent="0.3">
      <c r="A127" s="10" t="str">
        <f t="shared" si="31"/>
        <v/>
      </c>
      <c r="B127" s="11">
        <f>Weekly!$C$3</f>
        <v>45915</v>
      </c>
      <c r="C127" s="12">
        <v>0.43402777777777801</v>
      </c>
      <c r="D127" s="13">
        <f>Weekly!C129</f>
        <v>0</v>
      </c>
      <c r="E127" s="13" t="str">
        <f t="shared" si="32"/>
        <v/>
      </c>
      <c r="F127" s="13" t="str">
        <f t="shared" si="35"/>
        <v/>
      </c>
      <c r="G127" s="13" t="str">
        <f t="shared" si="33"/>
        <v/>
      </c>
      <c r="H127" s="13" t="str">
        <f t="shared" si="34"/>
        <v/>
      </c>
      <c r="I127" s="14" t="str">
        <f t="array" ref="I127">IF(getRGB1(Weekly!C129)="FFFF00","초방","재방")</f>
        <v>초방</v>
      </c>
      <c r="K127" s="30">
        <f t="shared" si="23"/>
        <v>45919.194444444445</v>
      </c>
      <c r="L127" s="31">
        <f t="shared" si="24"/>
        <v>45919</v>
      </c>
      <c r="M127" s="32">
        <f t="shared" si="25"/>
        <v>0.194444444444444</v>
      </c>
      <c r="N127" s="32">
        <f t="shared" si="26"/>
        <v>2.0833333335758653E-2</v>
      </c>
      <c r="O127" s="13" t="str">
        <f t="shared" si="27"/>
        <v>NEWS4</v>
      </c>
      <c r="P127" s="33">
        <f t="shared" si="28"/>
        <v>64</v>
      </c>
      <c r="Q127" s="14" t="str">
        <f t="shared" si="29"/>
        <v/>
      </c>
      <c r="R127" s="14" t="str">
        <f t="shared" si="30"/>
        <v>재방</v>
      </c>
      <c r="S127" s="14" t="str">
        <f>IF(O127&lt;&gt;"",VLOOKUP(O127,P.Info!$A$2:$B$150,2,0),"")</f>
        <v>주편성</v>
      </c>
    </row>
    <row r="128" spans="1:19" ht="11.25" customHeight="1" x14ac:dyDescent="0.3">
      <c r="A128" s="10" t="str">
        <f t="shared" si="31"/>
        <v/>
      </c>
      <c r="B128" s="11">
        <f>Weekly!$C$3</f>
        <v>45915</v>
      </c>
      <c r="C128" s="12">
        <v>0.4375</v>
      </c>
      <c r="D128" s="13">
        <f>Weekly!C130</f>
        <v>0</v>
      </c>
      <c r="E128" s="13" t="str">
        <f t="shared" si="32"/>
        <v/>
      </c>
      <c r="F128" s="13" t="str">
        <f t="shared" si="35"/>
        <v/>
      </c>
      <c r="G128" s="13" t="str">
        <f t="shared" si="33"/>
        <v/>
      </c>
      <c r="H128" s="13" t="str">
        <f t="shared" si="34"/>
        <v/>
      </c>
      <c r="I128" s="14" t="str">
        <f t="array" ref="I128">IF(getRGB1(Weekly!C130)="FFFF00","초방","재방")</f>
        <v>초방</v>
      </c>
      <c r="K128" s="30">
        <f t="shared" si="23"/>
        <v>45919.215277777781</v>
      </c>
      <c r="L128" s="31">
        <f t="shared" si="24"/>
        <v>45919</v>
      </c>
      <c r="M128" s="32">
        <f t="shared" si="25"/>
        <v>0.21527777777777801</v>
      </c>
      <c r="N128" s="32">
        <f t="shared" si="26"/>
        <v>4.1666666664241347E-2</v>
      </c>
      <c r="O128" s="13" t="str">
        <f t="shared" si="27"/>
        <v>내삶을바꾸는정책</v>
      </c>
      <c r="P128" s="33">
        <f t="shared" si="28"/>
        <v>2193</v>
      </c>
      <c r="Q128" s="14" t="str">
        <f t="shared" si="29"/>
        <v/>
      </c>
      <c r="R128" s="14" t="str">
        <f t="shared" si="30"/>
        <v>초방</v>
      </c>
      <c r="S128" s="14" t="str">
        <f>IF(O128&lt;&gt;"",VLOOKUP(O128,P.Info!$A$2:$B$150,2,0),"")</f>
        <v>주편성</v>
      </c>
    </row>
    <row r="129" spans="1:19" ht="11.25" customHeight="1" x14ac:dyDescent="0.3">
      <c r="A129" s="10" t="str">
        <f t="shared" si="31"/>
        <v/>
      </c>
      <c r="B129" s="11">
        <f>Weekly!$C$3</f>
        <v>45915</v>
      </c>
      <c r="C129" s="12">
        <v>0.44097222222222199</v>
      </c>
      <c r="D129" s="13">
        <f>Weekly!C131</f>
        <v>0</v>
      </c>
      <c r="E129" s="13" t="str">
        <f t="shared" si="32"/>
        <v/>
      </c>
      <c r="F129" s="13" t="str">
        <f t="shared" si="35"/>
        <v/>
      </c>
      <c r="G129" s="13" t="str">
        <f t="shared" si="33"/>
        <v/>
      </c>
      <c r="H129" s="13" t="str">
        <f t="shared" si="34"/>
        <v/>
      </c>
      <c r="I129" s="14" t="str">
        <f t="array" ref="I129">IF(getRGB1(Weekly!C131)="FFFF00","초방","재방")</f>
        <v>초방</v>
      </c>
      <c r="K129" s="30">
        <f t="shared" ref="K129:K135" si="36">IFERROR(SMALL(A:A,ROW(A128)),"")</f>
        <v>45919.256944444445</v>
      </c>
      <c r="L129" s="31">
        <f t="shared" ref="L129:L135" si="37">IF(K129&lt;&gt;"",VLOOKUP(K129,$A$2:$H$2017,2,0),"")</f>
        <v>45919</v>
      </c>
      <c r="M129" s="32">
        <f t="shared" ref="M129:M135" si="38">IF(K129&lt;&gt;"",VLOOKUP(K129,$A$2:$H$2017,3,0),"")</f>
        <v>0.25694444444444398</v>
      </c>
      <c r="N129" s="32">
        <f t="shared" ref="N129:N135" si="39">IFERROR(IF(L130&lt;&gt;"",(L130+M130)-(L129+M129),(LARGE(L:L,1)+1)-(L129+M129)),"")</f>
        <v>3.4722222218988463E-2</v>
      </c>
      <c r="O129" s="13" t="str">
        <f t="shared" ref="O129:O135" si="40">VLOOKUP(K129,$A$2:$H$2017,5,0)</f>
        <v>내고향 전파</v>
      </c>
      <c r="P129" s="33">
        <f t="shared" ref="P129:P135" si="41">VLOOKUP(K129,$A$2:$H$2017,6,0)</f>
        <v>7</v>
      </c>
      <c r="Q129" s="14" t="str">
        <f t="shared" ref="Q129:Q135" si="42">IFERROR(IF(FIND("⑮",O129)&gt;1,"15세",""),"")</f>
        <v/>
      </c>
      <c r="R129" s="14" t="str">
        <f t="shared" ref="R129:R135" si="43">IF(K129&lt;&gt;"",VLOOKUP(K129,$A$2:$I$2017,9,0),"")</f>
        <v>재방</v>
      </c>
      <c r="S129" s="14" t="str">
        <f>IF(O129&lt;&gt;"",VLOOKUP(O129,P.Info!$A$2:$B$150,2,0),"")</f>
        <v>주편성</v>
      </c>
    </row>
    <row r="130" spans="1:19" ht="11.25" customHeight="1" x14ac:dyDescent="0.3">
      <c r="A130" s="10" t="str">
        <f t="shared" si="31"/>
        <v/>
      </c>
      <c r="B130" s="11">
        <f>Weekly!$C$3</f>
        <v>45915</v>
      </c>
      <c r="C130" s="12">
        <v>0.44444444444444398</v>
      </c>
      <c r="D130" s="13">
        <f>Weekly!C132</f>
        <v>0</v>
      </c>
      <c r="E130" s="13" t="str">
        <f t="shared" si="32"/>
        <v/>
      </c>
      <c r="F130" s="13" t="str">
        <f t="shared" si="35"/>
        <v/>
      </c>
      <c r="G130" s="13" t="str">
        <f t="shared" si="33"/>
        <v/>
      </c>
      <c r="H130" s="13" t="str">
        <f t="shared" si="34"/>
        <v/>
      </c>
      <c r="I130" s="14" t="str">
        <f t="array" ref="I130">IF(getRGB1(Weekly!C132)="FFFF00","초방","재방")</f>
        <v>초방</v>
      </c>
      <c r="K130" s="30">
        <f t="shared" si="36"/>
        <v>45919.291666666664</v>
      </c>
      <c r="L130" s="31">
        <f t="shared" si="37"/>
        <v>45919</v>
      </c>
      <c r="M130" s="32">
        <f t="shared" si="38"/>
        <v>0.29166666666666702</v>
      </c>
      <c r="N130" s="32">
        <f t="shared" si="39"/>
        <v>4.1666666671517305E-2</v>
      </c>
      <c r="O130" s="13" t="str">
        <f t="shared" si="40"/>
        <v>최선규의 이제는 지방시대</v>
      </c>
      <c r="P130" s="33">
        <f t="shared" si="41"/>
        <v>2</v>
      </c>
      <c r="Q130" s="14" t="str">
        <f t="shared" si="42"/>
        <v/>
      </c>
      <c r="R130" s="14" t="str">
        <f t="shared" si="43"/>
        <v>재방</v>
      </c>
      <c r="S130" s="14" t="str">
        <f>IF(O130&lt;&gt;"",VLOOKUP(O130,P.Info!$A$2:$B$150,2,0),"")</f>
        <v>주편성</v>
      </c>
    </row>
    <row r="131" spans="1:19" ht="11.25" customHeight="1" x14ac:dyDescent="0.3">
      <c r="A131" s="10" t="str">
        <f t="shared" si="31"/>
        <v/>
      </c>
      <c r="B131" s="11">
        <f>Weekly!$C$3</f>
        <v>45915</v>
      </c>
      <c r="C131" s="12">
        <v>0.44791666666666702</v>
      </c>
      <c r="D131" s="13">
        <f>Weekly!C133</f>
        <v>0</v>
      </c>
      <c r="E131" s="13" t="str">
        <f t="shared" si="32"/>
        <v/>
      </c>
      <c r="F131" s="13" t="str">
        <f t="shared" si="35"/>
        <v/>
      </c>
      <c r="G131" s="13" t="str">
        <f t="shared" si="33"/>
        <v/>
      </c>
      <c r="H131" s="13" t="str">
        <f t="shared" si="34"/>
        <v/>
      </c>
      <c r="I131" s="14" t="str">
        <f t="array" ref="I131">IF(getRGB1(Weekly!C133)="FFFF00","초방","재방")</f>
        <v>초방</v>
      </c>
      <c r="K131" s="30">
        <f t="shared" si="36"/>
        <v>45919.333333333336</v>
      </c>
      <c r="L131" s="31">
        <f t="shared" si="37"/>
        <v>45919</v>
      </c>
      <c r="M131" s="32">
        <f t="shared" si="38"/>
        <v>0.33333333333333298</v>
      </c>
      <c r="N131" s="32">
        <f t="shared" si="39"/>
        <v>2.0833333328482695E-2</v>
      </c>
      <c r="O131" s="13" t="str">
        <f t="shared" si="40"/>
        <v>NEWSPLUS</v>
      </c>
      <c r="P131" s="33">
        <f t="shared" si="41"/>
        <v>64</v>
      </c>
      <c r="Q131" s="14" t="str">
        <f t="shared" si="42"/>
        <v/>
      </c>
      <c r="R131" s="14" t="str">
        <f t="shared" si="43"/>
        <v>재방</v>
      </c>
      <c r="S131" s="14" t="str">
        <f>IF(O131&lt;&gt;"",VLOOKUP(O131,P.Info!$A$2:$B$150,2,0),"")</f>
        <v>주편성</v>
      </c>
    </row>
    <row r="132" spans="1:19" ht="11.25" customHeight="1" x14ac:dyDescent="0.3">
      <c r="A132" s="10" t="str">
        <f t="shared" si="31"/>
        <v/>
      </c>
      <c r="B132" s="11">
        <f>Weekly!$C$3</f>
        <v>45915</v>
      </c>
      <c r="C132" s="12">
        <v>0.45138888888888901</v>
      </c>
      <c r="D132" s="13">
        <f>Weekly!C134</f>
        <v>0</v>
      </c>
      <c r="E132" s="13" t="str">
        <f t="shared" si="32"/>
        <v/>
      </c>
      <c r="F132" s="13" t="str">
        <f t="shared" si="35"/>
        <v/>
      </c>
      <c r="G132" s="13" t="str">
        <f t="shared" si="33"/>
        <v/>
      </c>
      <c r="H132" s="13" t="str">
        <f t="shared" si="34"/>
        <v/>
      </c>
      <c r="I132" s="14" t="str">
        <f t="array" ref="I132">IF(getRGB1(Weekly!C134)="FFFF00","초방","재방")</f>
        <v>초방</v>
      </c>
      <c r="K132" s="30">
        <f t="shared" si="36"/>
        <v>45919.354166666664</v>
      </c>
      <c r="L132" s="31">
        <f t="shared" si="37"/>
        <v>45919</v>
      </c>
      <c r="M132" s="32">
        <f t="shared" si="38"/>
        <v>0.35416666666666702</v>
      </c>
      <c r="N132" s="32">
        <f t="shared" si="39"/>
        <v>3.4722222226264421E-2</v>
      </c>
      <c r="O132" s="13" t="str">
        <f t="shared" si="40"/>
        <v>남도스럽게</v>
      </c>
      <c r="P132" s="33">
        <f t="shared" si="41"/>
        <v>4</v>
      </c>
      <c r="Q132" s="14" t="str">
        <f t="shared" si="42"/>
        <v/>
      </c>
      <c r="R132" s="14" t="str">
        <f t="shared" si="43"/>
        <v>재방</v>
      </c>
      <c r="S132" s="14" t="str">
        <f>IF(O132&lt;&gt;"",VLOOKUP(O132,P.Info!$A$2:$B$150,2,0),"")</f>
        <v>주편성</v>
      </c>
    </row>
    <row r="133" spans="1:19" ht="11.25" customHeight="1" x14ac:dyDescent="0.3">
      <c r="A133" s="10" t="str">
        <f t="shared" si="31"/>
        <v/>
      </c>
      <c r="B133" s="11">
        <f>Weekly!$C$3</f>
        <v>45915</v>
      </c>
      <c r="C133" s="12">
        <v>0.45486111111111099</v>
      </c>
      <c r="D133" s="13">
        <f>Weekly!C135</f>
        <v>0</v>
      </c>
      <c r="E133" s="13" t="str">
        <f t="shared" si="32"/>
        <v/>
      </c>
      <c r="F133" s="13" t="str">
        <f t="shared" si="35"/>
        <v/>
      </c>
      <c r="G133" s="13" t="str">
        <f t="shared" si="33"/>
        <v/>
      </c>
      <c r="H133" s="13" t="str">
        <f t="shared" si="34"/>
        <v/>
      </c>
      <c r="I133" s="14" t="str">
        <f t="array" ref="I133">IF(getRGB1(Weekly!C135)="FFFF00","초방","재방")</f>
        <v>초방</v>
      </c>
      <c r="K133" s="30">
        <f t="shared" si="36"/>
        <v>45919.388888888891</v>
      </c>
      <c r="L133" s="31">
        <f t="shared" si="37"/>
        <v>45919</v>
      </c>
      <c r="M133" s="32">
        <f t="shared" si="38"/>
        <v>0.38888888888888901</v>
      </c>
      <c r="N133" s="32">
        <f t="shared" si="39"/>
        <v>2.7777777773735579E-2</v>
      </c>
      <c r="O133" s="13" t="str">
        <f t="shared" si="40"/>
        <v>눈에 띄는 그녀들 시즌5</v>
      </c>
      <c r="P133" s="33">
        <f t="shared" si="41"/>
        <v>1</v>
      </c>
      <c r="Q133" s="14" t="str">
        <f t="shared" si="42"/>
        <v/>
      </c>
      <c r="R133" s="14" t="str">
        <f t="shared" si="43"/>
        <v>재방</v>
      </c>
      <c r="S133" s="14" t="str">
        <f>IF(O133&lt;&gt;"",VLOOKUP(O133,P.Info!$A$2:$B$150,2,0),"")</f>
        <v>주편성</v>
      </c>
    </row>
    <row r="134" spans="1:19" ht="11.25" customHeight="1" x14ac:dyDescent="0.3">
      <c r="A134" s="10">
        <f t="shared" si="31"/>
        <v>45915.458333333336</v>
      </c>
      <c r="B134" s="11">
        <f>Weekly!$C$3</f>
        <v>45915</v>
      </c>
      <c r="C134" s="12">
        <v>0.45833333333333298</v>
      </c>
      <c r="D134" s="13" t="str">
        <f>Weekly!C136</f>
        <v>특집 2026 지방선거_경기도의회 생생중계_본회의
&lt;14</v>
      </c>
      <c r="E134" s="13" t="str">
        <f t="shared" si="32"/>
        <v>특집 2026 지방선거_경기도의회 생생중계_본회의</v>
      </c>
      <c r="F134" s="13">
        <f t="shared" si="35"/>
        <v>14</v>
      </c>
      <c r="G134" s="13" t="str">
        <f t="shared" si="33"/>
        <v/>
      </c>
      <c r="H134" s="13" t="str">
        <f t="shared" si="34"/>
        <v/>
      </c>
      <c r="I134" s="14" t="str">
        <f t="array" ref="I134">IF(getRGB1(Weekly!C136)="FFFF00","초방","재방")</f>
        <v>초방</v>
      </c>
      <c r="K134" s="30">
        <f t="shared" si="36"/>
        <v>45919.416666666664</v>
      </c>
      <c r="L134" s="31">
        <f t="shared" si="37"/>
        <v>45919</v>
      </c>
      <c r="M134" s="32">
        <f t="shared" si="38"/>
        <v>0.41666666666666702</v>
      </c>
      <c r="N134" s="32">
        <f t="shared" si="39"/>
        <v>4.1666666671517305E-2</v>
      </c>
      <c r="O134" s="13" t="str">
        <f t="shared" si="40"/>
        <v>특집 2026 지방선거_서울특별시의회 생생중계_본회의</v>
      </c>
      <c r="P134" s="33">
        <f t="shared" si="41"/>
        <v>6</v>
      </c>
      <c r="Q134" s="14" t="str">
        <f t="shared" si="42"/>
        <v/>
      </c>
      <c r="R134" s="14" t="str">
        <f t="shared" si="43"/>
        <v>재방</v>
      </c>
      <c r="S134" s="14" t="str">
        <f>IF(O134&lt;&gt;"",VLOOKUP(O134,P.Info!$A$2:$B$150,2,0),"")</f>
        <v>주편성</v>
      </c>
    </row>
    <row r="135" spans="1:19" ht="11.25" customHeight="1" x14ac:dyDescent="0.3">
      <c r="A135" s="10" t="str">
        <f t="shared" si="31"/>
        <v/>
      </c>
      <c r="B135" s="11">
        <f>Weekly!$C$3</f>
        <v>45915</v>
      </c>
      <c r="C135" s="12">
        <v>0.46180555555555602</v>
      </c>
      <c r="D135" s="13">
        <f>Weekly!C137</f>
        <v>0</v>
      </c>
      <c r="E135" s="13" t="str">
        <f t="shared" si="32"/>
        <v/>
      </c>
      <c r="F135" s="13" t="str">
        <f t="shared" si="35"/>
        <v/>
      </c>
      <c r="G135" s="13" t="str">
        <f t="shared" si="33"/>
        <v/>
      </c>
      <c r="H135" s="13" t="str">
        <f t="shared" si="34"/>
        <v/>
      </c>
      <c r="I135" s="14" t="str">
        <f t="array" ref="I135">IF(getRGB1(Weekly!C137)="FFFF00","초방","재방")</f>
        <v>초방</v>
      </c>
      <c r="K135" s="30">
        <f t="shared" si="36"/>
        <v>45919.458333333336</v>
      </c>
      <c r="L135" s="31">
        <f t="shared" si="37"/>
        <v>45919</v>
      </c>
      <c r="M135" s="32">
        <f t="shared" si="38"/>
        <v>0.45833333333333298</v>
      </c>
      <c r="N135" s="32">
        <f t="shared" si="39"/>
        <v>4.1666666664241347E-2</v>
      </c>
      <c r="O135" s="13" t="str">
        <f t="shared" si="40"/>
        <v>특집 2026 지방선거_경기도의회 생생중계_본회의</v>
      </c>
      <c r="P135" s="33">
        <f t="shared" si="41"/>
        <v>18</v>
      </c>
      <c r="Q135" s="14" t="str">
        <f t="shared" si="42"/>
        <v/>
      </c>
      <c r="R135" s="14" t="str">
        <f t="shared" si="43"/>
        <v>초방</v>
      </c>
      <c r="S135" s="14" t="str">
        <f>IF(O135&lt;&gt;"",VLOOKUP(O135,P.Info!$A$2:$B$150,2,0),"")</f>
        <v>주편성</v>
      </c>
    </row>
    <row r="136" spans="1:19" ht="11.25" customHeight="1" x14ac:dyDescent="0.3">
      <c r="A136" s="10" t="str">
        <f t="shared" si="31"/>
        <v/>
      </c>
      <c r="B136" s="11">
        <f>Weekly!$C$3</f>
        <v>45915</v>
      </c>
      <c r="C136" s="12">
        <v>0.46527777777777801</v>
      </c>
      <c r="D136" s="13">
        <f>Weekly!C138</f>
        <v>0</v>
      </c>
      <c r="E136" s="13" t="str">
        <f t="shared" si="32"/>
        <v/>
      </c>
      <c r="F136" s="13" t="str">
        <f t="shared" si="35"/>
        <v/>
      </c>
      <c r="G136" s="13" t="str">
        <f t="shared" si="33"/>
        <v/>
      </c>
      <c r="H136" s="13" t="str">
        <f t="shared" si="34"/>
        <v/>
      </c>
      <c r="I136" s="14" t="str">
        <f t="array" ref="I136">IF(getRGB1(Weekly!C138)="FFFF00","초방","재방")</f>
        <v>초방</v>
      </c>
      <c r="K136" s="30">
        <f t="shared" ref="K136:K194" si="44">IFERROR(SMALL(A:A,ROW(A135)),"")</f>
        <v>45919.5</v>
      </c>
      <c r="L136" s="31">
        <f t="shared" ref="L136:L194" si="45">IF(K136&lt;&gt;"",VLOOKUP(K136,$A$2:$H$2017,2,0),"")</f>
        <v>45919</v>
      </c>
      <c r="M136" s="32">
        <f t="shared" ref="M136:M194" si="46">IF(K136&lt;&gt;"",VLOOKUP(K136,$A$2:$H$2017,3,0),"")</f>
        <v>0.5</v>
      </c>
      <c r="N136" s="32">
        <f t="shared" ref="N136:N194" si="47">IFERROR(IF(L137&lt;&gt;"",(L137+M137)-(L136+M136),(LARGE(L:L,1)+1)-(L136+M136)),"")</f>
        <v>4.1666666664241347E-2</v>
      </c>
      <c r="O136" s="13" t="str">
        <f t="shared" ref="O136:O194" si="48">VLOOKUP(K136,$A$2:$H$2017,5,0)</f>
        <v>행복무지개</v>
      </c>
      <c r="P136" s="33">
        <f t="shared" ref="P136:P194" si="49">VLOOKUP(K136,$A$2:$H$2017,6,0)</f>
        <v>31</v>
      </c>
      <c r="Q136" s="14" t="str">
        <f t="shared" ref="Q136:Q194" si="50">IFERROR(IF(FIND("⑮",O136)&gt;1,"15세",""),"")</f>
        <v/>
      </c>
      <c r="R136" s="14" t="str">
        <f t="shared" ref="R136:R194" si="51">IF(K136&lt;&gt;"",VLOOKUP(K136,$A$2:$I$2017,9,0),"")</f>
        <v>재방</v>
      </c>
      <c r="S136" s="14" t="str">
        <f>IF(O136&lt;&gt;"",VLOOKUP(O136,P.Info!$A$2:$B$150,2,0),"")</f>
        <v>주편성</v>
      </c>
    </row>
    <row r="137" spans="1:19" ht="11.25" customHeight="1" x14ac:dyDescent="0.3">
      <c r="A137" s="10" t="str">
        <f t="shared" si="31"/>
        <v/>
      </c>
      <c r="B137" s="11">
        <f>Weekly!$C$3</f>
        <v>45915</v>
      </c>
      <c r="C137" s="12">
        <v>0.46875</v>
      </c>
      <c r="D137" s="13">
        <f>Weekly!C139</f>
        <v>0</v>
      </c>
      <c r="E137" s="13" t="str">
        <f t="shared" si="32"/>
        <v/>
      </c>
      <c r="F137" s="13" t="str">
        <f t="shared" si="35"/>
        <v/>
      </c>
      <c r="G137" s="13" t="str">
        <f t="shared" si="33"/>
        <v/>
      </c>
      <c r="H137" s="13" t="str">
        <f t="shared" si="34"/>
        <v/>
      </c>
      <c r="I137" s="14" t="str">
        <f t="array" ref="I137">IF(getRGB1(Weekly!C139)="FFFF00","초방","재방")</f>
        <v>초방</v>
      </c>
      <c r="K137" s="30">
        <f t="shared" si="44"/>
        <v>45919.541666666664</v>
      </c>
      <c r="L137" s="31">
        <f t="shared" si="45"/>
        <v>45919</v>
      </c>
      <c r="M137" s="32">
        <f t="shared" si="46"/>
        <v>0.54166666666666696</v>
      </c>
      <c r="N137" s="32">
        <f t="shared" si="47"/>
        <v>2.0833333335758653E-2</v>
      </c>
      <c r="O137" s="13" t="str">
        <f t="shared" si="48"/>
        <v>NEWSJ</v>
      </c>
      <c r="P137" s="33">
        <f t="shared" si="49"/>
        <v>66</v>
      </c>
      <c r="Q137" s="14" t="str">
        <f t="shared" si="50"/>
        <v/>
      </c>
      <c r="R137" s="14" t="str">
        <f t="shared" si="51"/>
        <v>재방</v>
      </c>
      <c r="S137" s="14" t="str">
        <f>IF(O137&lt;&gt;"",VLOOKUP(O137,P.Info!$A$2:$B$150,2,0),"")</f>
        <v>주편성</v>
      </c>
    </row>
    <row r="138" spans="1:19" ht="11.25" customHeight="1" x14ac:dyDescent="0.3">
      <c r="A138" s="10" t="str">
        <f t="shared" si="31"/>
        <v/>
      </c>
      <c r="B138" s="11">
        <f>Weekly!$C$3</f>
        <v>45915</v>
      </c>
      <c r="C138" s="12">
        <v>0.47222222222222199</v>
      </c>
      <c r="D138" s="13">
        <f>Weekly!C140</f>
        <v>0</v>
      </c>
      <c r="E138" s="13" t="str">
        <f t="shared" si="32"/>
        <v/>
      </c>
      <c r="F138" s="13" t="str">
        <f t="shared" si="35"/>
        <v/>
      </c>
      <c r="G138" s="13" t="str">
        <f t="shared" si="33"/>
        <v/>
      </c>
      <c r="H138" s="13" t="str">
        <f t="shared" si="34"/>
        <v/>
      </c>
      <c r="I138" s="14" t="str">
        <f t="array" ref="I138">IF(getRGB1(Weekly!C140)="FFFF00","초방","재방")</f>
        <v>초방</v>
      </c>
      <c r="K138" s="30">
        <f t="shared" si="44"/>
        <v>45919.5625</v>
      </c>
      <c r="L138" s="31">
        <f t="shared" si="45"/>
        <v>45919</v>
      </c>
      <c r="M138" s="32">
        <f t="shared" si="46"/>
        <v>0.5625</v>
      </c>
      <c r="N138" s="32">
        <f t="shared" si="47"/>
        <v>2.0833333335758653E-2</v>
      </c>
      <c r="O138" s="13" t="str">
        <f t="shared" si="48"/>
        <v>더 人터뷰</v>
      </c>
      <c r="P138" s="33">
        <f t="shared" si="49"/>
        <v>54</v>
      </c>
      <c r="Q138" s="14" t="str">
        <f t="shared" si="50"/>
        <v/>
      </c>
      <c r="R138" s="14" t="str">
        <f t="shared" si="51"/>
        <v>초방</v>
      </c>
      <c r="S138" s="14" t="str">
        <f>IF(O138&lt;&gt;"",VLOOKUP(O138,P.Info!$A$2:$B$150,2,0),"")</f>
        <v>주편성</v>
      </c>
    </row>
    <row r="139" spans="1:19" ht="11.25" customHeight="1" x14ac:dyDescent="0.3">
      <c r="A139" s="10" t="str">
        <f t="shared" si="31"/>
        <v/>
      </c>
      <c r="B139" s="11">
        <f>Weekly!$C$3</f>
        <v>45915</v>
      </c>
      <c r="C139" s="12">
        <v>0.47569444444444398</v>
      </c>
      <c r="D139" s="13">
        <f>Weekly!C141</f>
        <v>0</v>
      </c>
      <c r="E139" s="13" t="str">
        <f t="shared" si="32"/>
        <v/>
      </c>
      <c r="F139" s="13" t="str">
        <f t="shared" si="35"/>
        <v/>
      </c>
      <c r="G139" s="13" t="str">
        <f t="shared" si="33"/>
        <v/>
      </c>
      <c r="H139" s="13" t="str">
        <f t="shared" si="34"/>
        <v/>
      </c>
      <c r="I139" s="14" t="str">
        <f t="array" ref="I139">IF(getRGB1(Weekly!C141)="FFFF00","초방","재방")</f>
        <v>초방</v>
      </c>
      <c r="K139" s="30">
        <f t="shared" si="44"/>
        <v>45919.583333333336</v>
      </c>
      <c r="L139" s="31">
        <f t="shared" si="45"/>
        <v>45919</v>
      </c>
      <c r="M139" s="32">
        <f t="shared" si="46"/>
        <v>0.58333333333333304</v>
      </c>
      <c r="N139" s="32">
        <f t="shared" si="47"/>
        <v>8.3333333328482695E-2</v>
      </c>
      <c r="O139" s="13" t="str">
        <f t="shared" si="48"/>
        <v>특집 2026 지방선거_서울특별시의회 생생중계_상임위</v>
      </c>
      <c r="P139" s="33">
        <f t="shared" si="49"/>
        <v>19</v>
      </c>
      <c r="Q139" s="14" t="str">
        <f t="shared" si="50"/>
        <v/>
      </c>
      <c r="R139" s="14" t="str">
        <f t="shared" si="51"/>
        <v>초방</v>
      </c>
      <c r="S139" s="14" t="str">
        <f>IF(O139&lt;&gt;"",VLOOKUP(O139,P.Info!$A$2:$B$150,2,0),"")</f>
        <v>주편성</v>
      </c>
    </row>
    <row r="140" spans="1:19" ht="11.25" customHeight="1" x14ac:dyDescent="0.3">
      <c r="A140" s="10" t="str">
        <f t="shared" si="31"/>
        <v/>
      </c>
      <c r="B140" s="11">
        <f>Weekly!$C$3</f>
        <v>45915</v>
      </c>
      <c r="C140" s="12">
        <v>0.47916666666666702</v>
      </c>
      <c r="D140" s="13">
        <f>Weekly!C142</f>
        <v>0</v>
      </c>
      <c r="E140" s="13" t="str">
        <f t="shared" si="32"/>
        <v/>
      </c>
      <c r="F140" s="13" t="str">
        <f t="shared" si="35"/>
        <v/>
      </c>
      <c r="G140" s="13" t="str">
        <f t="shared" si="33"/>
        <v/>
      </c>
      <c r="H140" s="13" t="str">
        <f t="shared" si="34"/>
        <v/>
      </c>
      <c r="I140" s="14" t="str">
        <f t="array" ref="I140">IF(getRGB1(Weekly!C142)="FFFF00","초방","재방")</f>
        <v>초방</v>
      </c>
      <c r="K140" s="30">
        <f t="shared" si="44"/>
        <v>45919.666666666664</v>
      </c>
      <c r="L140" s="31">
        <f t="shared" si="45"/>
        <v>45919</v>
      </c>
      <c r="M140" s="32">
        <f t="shared" si="46"/>
        <v>0.66666666666666696</v>
      </c>
      <c r="N140" s="32">
        <f t="shared" si="47"/>
        <v>2.0833333335758653E-2</v>
      </c>
      <c r="O140" s="13" t="str">
        <f t="shared" si="48"/>
        <v>NEWS4</v>
      </c>
      <c r="P140" s="33">
        <f t="shared" si="49"/>
        <v>64</v>
      </c>
      <c r="Q140" s="14" t="str">
        <f t="shared" si="50"/>
        <v/>
      </c>
      <c r="R140" s="14" t="str">
        <f t="shared" si="51"/>
        <v>재방</v>
      </c>
      <c r="S140" s="14" t="str">
        <f>IF(O140&lt;&gt;"",VLOOKUP(O140,P.Info!$A$2:$B$150,2,0),"")</f>
        <v>주편성</v>
      </c>
    </row>
    <row r="141" spans="1:19" ht="11.25" customHeight="1" x14ac:dyDescent="0.3">
      <c r="A141" s="10" t="str">
        <f t="shared" si="31"/>
        <v/>
      </c>
      <c r="B141" s="11">
        <f>Weekly!$C$3</f>
        <v>45915</v>
      </c>
      <c r="C141" s="12">
        <v>0.48263888888888901</v>
      </c>
      <c r="D141" s="13">
        <f>Weekly!C143</f>
        <v>0</v>
      </c>
      <c r="E141" s="13" t="str">
        <f t="shared" si="32"/>
        <v/>
      </c>
      <c r="F141" s="13" t="str">
        <f t="shared" si="35"/>
        <v/>
      </c>
      <c r="G141" s="13" t="str">
        <f t="shared" si="33"/>
        <v/>
      </c>
      <c r="H141" s="13" t="str">
        <f t="shared" si="34"/>
        <v/>
      </c>
      <c r="I141" s="14" t="str">
        <f t="array" ref="I141">IF(getRGB1(Weekly!C143)="FFFF00","초방","재방")</f>
        <v>초방</v>
      </c>
      <c r="K141" s="30">
        <f t="shared" si="44"/>
        <v>45919.6875</v>
      </c>
      <c r="L141" s="31">
        <f t="shared" si="45"/>
        <v>45919</v>
      </c>
      <c r="M141" s="32">
        <f t="shared" si="46"/>
        <v>0.6875</v>
      </c>
      <c r="N141" s="32">
        <f t="shared" si="47"/>
        <v>2.0833333335758653E-2</v>
      </c>
      <c r="O141" s="13" t="str">
        <f t="shared" si="48"/>
        <v>호남, 호남人</v>
      </c>
      <c r="P141" s="33">
        <f t="shared" si="49"/>
        <v>133</v>
      </c>
      <c r="Q141" s="14" t="str">
        <f t="shared" si="50"/>
        <v/>
      </c>
      <c r="R141" s="14" t="str">
        <f t="shared" si="51"/>
        <v>재방</v>
      </c>
      <c r="S141" s="14" t="str">
        <f>IF(O141&lt;&gt;"",VLOOKUP(O141,P.Info!$A$2:$B$150,2,0),"")</f>
        <v>주편성</v>
      </c>
    </row>
    <row r="142" spans="1:19" ht="11.25" customHeight="1" x14ac:dyDescent="0.3">
      <c r="A142" s="10" t="str">
        <f t="shared" si="31"/>
        <v/>
      </c>
      <c r="B142" s="11">
        <f>Weekly!$C$3</f>
        <v>45915</v>
      </c>
      <c r="C142" s="12">
        <v>0.48611111111111099</v>
      </c>
      <c r="D142" s="13">
        <f>Weekly!C144</f>
        <v>0</v>
      </c>
      <c r="E142" s="13" t="str">
        <f t="shared" si="32"/>
        <v/>
      </c>
      <c r="F142" s="13" t="str">
        <f t="shared" si="35"/>
        <v/>
      </c>
      <c r="G142" s="13" t="str">
        <f t="shared" si="33"/>
        <v/>
      </c>
      <c r="H142" s="13" t="str">
        <f t="shared" si="34"/>
        <v/>
      </c>
      <c r="I142" s="14" t="str">
        <f t="array" ref="I142">IF(getRGB1(Weekly!C144)="FFFF00","초방","재방")</f>
        <v>초방</v>
      </c>
      <c r="K142" s="30">
        <f t="shared" si="44"/>
        <v>45919.708333333336</v>
      </c>
      <c r="L142" s="31">
        <f t="shared" si="45"/>
        <v>45919</v>
      </c>
      <c r="M142" s="32">
        <f t="shared" si="46"/>
        <v>0.70833333333333304</v>
      </c>
      <c r="N142" s="32">
        <f t="shared" si="47"/>
        <v>4.1666666664241347E-2</v>
      </c>
      <c r="O142" s="13" t="str">
        <f t="shared" si="48"/>
        <v>특집 2026 지방선거_경기도의회 생생중계_상임위</v>
      </c>
      <c r="P142" s="33">
        <f t="shared" si="49"/>
        <v>18</v>
      </c>
      <c r="Q142" s="14" t="str">
        <f t="shared" si="50"/>
        <v/>
      </c>
      <c r="R142" s="14" t="str">
        <f t="shared" si="51"/>
        <v>초방</v>
      </c>
      <c r="S142" s="14" t="str">
        <f>IF(O142&lt;&gt;"",VLOOKUP(O142,P.Info!$A$2:$B$150,2,0),"")</f>
        <v>주편성</v>
      </c>
    </row>
    <row r="143" spans="1:19" ht="11.25" customHeight="1" x14ac:dyDescent="0.3">
      <c r="A143" s="10" t="str">
        <f t="shared" si="31"/>
        <v/>
      </c>
      <c r="B143" s="11">
        <f>Weekly!$C$3</f>
        <v>45915</v>
      </c>
      <c r="C143" s="12">
        <v>0.48958333333333298</v>
      </c>
      <c r="D143" s="13">
        <f>Weekly!C145</f>
        <v>0</v>
      </c>
      <c r="E143" s="13" t="str">
        <f t="shared" si="32"/>
        <v/>
      </c>
      <c r="F143" s="13" t="str">
        <f t="shared" si="35"/>
        <v/>
      </c>
      <c r="G143" s="13" t="str">
        <f t="shared" si="33"/>
        <v/>
      </c>
      <c r="H143" s="13" t="str">
        <f t="shared" si="34"/>
        <v/>
      </c>
      <c r="I143" s="14" t="str">
        <f t="array" ref="I143">IF(getRGB1(Weekly!C145)="FFFF00","초방","재방")</f>
        <v>초방</v>
      </c>
      <c r="K143" s="30">
        <f t="shared" si="44"/>
        <v>45919.75</v>
      </c>
      <c r="L143" s="31">
        <f t="shared" si="45"/>
        <v>45919</v>
      </c>
      <c r="M143" s="32">
        <f t="shared" si="46"/>
        <v>0.75</v>
      </c>
      <c r="N143" s="32">
        <f t="shared" si="47"/>
        <v>2.0833333335758653E-2</v>
      </c>
      <c r="O143" s="13" t="str">
        <f t="shared" si="48"/>
        <v>지방자치단체장 인터뷰</v>
      </c>
      <c r="P143" s="33">
        <f t="shared" si="49"/>
        <v>47</v>
      </c>
      <c r="Q143" s="14" t="str">
        <f t="shared" si="50"/>
        <v/>
      </c>
      <c r="R143" s="14" t="str">
        <f t="shared" si="51"/>
        <v>초방</v>
      </c>
      <c r="S143" s="14" t="str">
        <f>IF(O143&lt;&gt;"",VLOOKUP(O143,P.Info!$A$2:$B$150,2,0),"")</f>
        <v>주편성</v>
      </c>
    </row>
    <row r="144" spans="1:19" ht="11.25" customHeight="1" x14ac:dyDescent="0.3">
      <c r="A144" s="10" t="str">
        <f t="shared" si="31"/>
        <v/>
      </c>
      <c r="B144" s="11">
        <f>Weekly!$C$3</f>
        <v>45915</v>
      </c>
      <c r="C144" s="12">
        <v>0.49305555555555602</v>
      </c>
      <c r="D144" s="13">
        <f>Weekly!C146</f>
        <v>0</v>
      </c>
      <c r="E144" s="13" t="str">
        <f t="shared" si="32"/>
        <v/>
      </c>
      <c r="F144" s="13" t="str">
        <f t="shared" si="35"/>
        <v/>
      </c>
      <c r="G144" s="13" t="str">
        <f t="shared" si="33"/>
        <v/>
      </c>
      <c r="H144" s="13" t="str">
        <f t="shared" si="34"/>
        <v/>
      </c>
      <c r="I144" s="14" t="str">
        <f t="array" ref="I144">IF(getRGB1(Weekly!C146)="FFFF00","초방","재방")</f>
        <v>초방</v>
      </c>
      <c r="K144" s="30">
        <f t="shared" si="44"/>
        <v>45919.770833333336</v>
      </c>
      <c r="L144" s="31">
        <f t="shared" si="45"/>
        <v>45919</v>
      </c>
      <c r="M144" s="32">
        <f t="shared" si="46"/>
        <v>0.77083333333333304</v>
      </c>
      <c r="N144" s="32">
        <f t="shared" si="47"/>
        <v>2.0833333328482695E-2</v>
      </c>
      <c r="O144" s="13" t="str">
        <f t="shared" si="48"/>
        <v>더 人터뷰</v>
      </c>
      <c r="P144" s="33">
        <f t="shared" si="49"/>
        <v>54</v>
      </c>
      <c r="Q144" s="14" t="str">
        <f t="shared" si="50"/>
        <v/>
      </c>
      <c r="R144" s="14" t="str">
        <f t="shared" si="51"/>
        <v>재방</v>
      </c>
      <c r="S144" s="14" t="str">
        <f>IF(O144&lt;&gt;"",VLOOKUP(O144,P.Info!$A$2:$B$150,2,0),"")</f>
        <v>주편성</v>
      </c>
    </row>
    <row r="145" spans="1:19" ht="11.25" customHeight="1" x14ac:dyDescent="0.3">
      <c r="A145" s="10" t="str">
        <f t="shared" si="31"/>
        <v/>
      </c>
      <c r="B145" s="11">
        <f>Weekly!$C$3</f>
        <v>45915</v>
      </c>
      <c r="C145" s="12">
        <v>0.49652777777777801</v>
      </c>
      <c r="D145" s="13">
        <f>Weekly!C147</f>
        <v>0</v>
      </c>
      <c r="E145" s="13" t="str">
        <f t="shared" si="32"/>
        <v/>
      </c>
      <c r="F145" s="13" t="str">
        <f t="shared" si="35"/>
        <v/>
      </c>
      <c r="G145" s="13" t="str">
        <f t="shared" si="33"/>
        <v/>
      </c>
      <c r="H145" s="13" t="str">
        <f t="shared" si="34"/>
        <v/>
      </c>
      <c r="I145" s="14" t="str">
        <f t="array" ref="I145">IF(getRGB1(Weekly!C147)="FFFF00","초방","재방")</f>
        <v>초방</v>
      </c>
      <c r="K145" s="30">
        <f t="shared" si="44"/>
        <v>45919.791666666664</v>
      </c>
      <c r="L145" s="31">
        <f t="shared" si="45"/>
        <v>45919</v>
      </c>
      <c r="M145" s="32">
        <f t="shared" si="46"/>
        <v>0.79166666666666696</v>
      </c>
      <c r="N145" s="32">
        <f t="shared" si="47"/>
        <v>4.1666666671517305E-2</v>
      </c>
      <c r="O145" s="13" t="str">
        <f t="shared" si="48"/>
        <v>뉴스와이드</v>
      </c>
      <c r="P145" s="33">
        <f t="shared" si="49"/>
        <v>436</v>
      </c>
      <c r="Q145" s="14" t="str">
        <f t="shared" si="50"/>
        <v/>
      </c>
      <c r="R145" s="14" t="str">
        <f t="shared" si="51"/>
        <v>초방</v>
      </c>
      <c r="S145" s="14" t="str">
        <f>IF(O145&lt;&gt;"",VLOOKUP(O145,P.Info!$A$2:$B$150,2,0),"")</f>
        <v>주편성</v>
      </c>
    </row>
    <row r="146" spans="1:19" ht="11.25" customHeight="1" x14ac:dyDescent="0.3">
      <c r="A146" s="10">
        <f t="shared" si="31"/>
        <v>45915.5</v>
      </c>
      <c r="B146" s="11">
        <f>Weekly!$C$3</f>
        <v>45915</v>
      </c>
      <c r="C146" s="12">
        <v>0.5</v>
      </c>
      <c r="D146" s="13" t="str">
        <f>Weekly!C148</f>
        <v>행복무지개
&lt;31</v>
      </c>
      <c r="E146" s="13" t="str">
        <f t="shared" si="32"/>
        <v>행복무지개</v>
      </c>
      <c r="F146" s="13">
        <f t="shared" si="35"/>
        <v>31</v>
      </c>
      <c r="G146" s="13" t="str">
        <f t="shared" si="33"/>
        <v/>
      </c>
      <c r="H146" s="13" t="str">
        <f t="shared" si="34"/>
        <v/>
      </c>
      <c r="I146" s="14" t="str">
        <f t="array" ref="I146">IF(getRGB1(Weekly!C148)="FFFF00","초방","재방")</f>
        <v>재방</v>
      </c>
      <c r="K146" s="30">
        <f t="shared" si="44"/>
        <v>45919.833333333336</v>
      </c>
      <c r="L146" s="31">
        <f t="shared" si="45"/>
        <v>45919</v>
      </c>
      <c r="M146" s="32">
        <f t="shared" si="46"/>
        <v>0.83333333333333304</v>
      </c>
      <c r="N146" s="32">
        <f t="shared" si="47"/>
        <v>2.0833333328482695E-2</v>
      </c>
      <c r="O146" s="13" t="str">
        <f t="shared" si="48"/>
        <v>NEWSON</v>
      </c>
      <c r="P146" s="33">
        <f t="shared" si="49"/>
        <v>66</v>
      </c>
      <c r="Q146" s="14" t="str">
        <f t="shared" si="50"/>
        <v/>
      </c>
      <c r="R146" s="14" t="str">
        <f t="shared" si="51"/>
        <v>재방</v>
      </c>
      <c r="S146" s="14" t="str">
        <f>IF(O146&lt;&gt;"",VLOOKUP(O146,P.Info!$A$2:$B$150,2,0),"")</f>
        <v>주편성</v>
      </c>
    </row>
    <row r="147" spans="1:19" ht="11.25" customHeight="1" x14ac:dyDescent="0.3">
      <c r="A147" s="10" t="str">
        <f t="shared" si="31"/>
        <v/>
      </c>
      <c r="B147" s="11">
        <f>Weekly!$C$3</f>
        <v>45915</v>
      </c>
      <c r="C147" s="12">
        <v>0.50347222222222199</v>
      </c>
      <c r="D147" s="13">
        <f>Weekly!C149</f>
        <v>0</v>
      </c>
      <c r="E147" s="13" t="str">
        <f t="shared" si="32"/>
        <v/>
      </c>
      <c r="F147" s="13" t="str">
        <f t="shared" si="35"/>
        <v/>
      </c>
      <c r="G147" s="13" t="str">
        <f t="shared" si="33"/>
        <v/>
      </c>
      <c r="H147" s="13" t="str">
        <f t="shared" si="34"/>
        <v/>
      </c>
      <c r="I147" s="14" t="str">
        <f t="array" ref="I147">IF(getRGB1(Weekly!C149)="FFFF00","초방","재방")</f>
        <v>재방</v>
      </c>
      <c r="K147" s="30">
        <f t="shared" si="44"/>
        <v>45919.854166666664</v>
      </c>
      <c r="L147" s="31">
        <f t="shared" si="45"/>
        <v>45919</v>
      </c>
      <c r="M147" s="32">
        <f t="shared" si="46"/>
        <v>0.85416666666666696</v>
      </c>
      <c r="N147" s="32">
        <f t="shared" si="47"/>
        <v>3.4722222226264421E-2</v>
      </c>
      <c r="O147" s="13" t="str">
        <f t="shared" si="48"/>
        <v>우리동네 너튜브</v>
      </c>
      <c r="P147" s="33">
        <f t="shared" si="49"/>
        <v>8</v>
      </c>
      <c r="Q147" s="14" t="str">
        <f t="shared" si="50"/>
        <v/>
      </c>
      <c r="R147" s="14" t="str">
        <f t="shared" si="51"/>
        <v>재방</v>
      </c>
      <c r="S147" s="14" t="str">
        <f>IF(O147&lt;&gt;"",VLOOKUP(O147,P.Info!$A$2:$B$150,2,0),"")</f>
        <v>주편성</v>
      </c>
    </row>
    <row r="148" spans="1:19" ht="11.25" customHeight="1" x14ac:dyDescent="0.3">
      <c r="A148" s="10" t="str">
        <f t="shared" si="31"/>
        <v/>
      </c>
      <c r="B148" s="11">
        <f>Weekly!$C$3</f>
        <v>45915</v>
      </c>
      <c r="C148" s="12">
        <v>0.50694444444444398</v>
      </c>
      <c r="D148" s="13">
        <f>Weekly!C150</f>
        <v>0</v>
      </c>
      <c r="E148" s="13" t="str">
        <f t="shared" si="32"/>
        <v/>
      </c>
      <c r="F148" s="13" t="str">
        <f t="shared" si="35"/>
        <v/>
      </c>
      <c r="G148" s="13" t="str">
        <f t="shared" si="33"/>
        <v/>
      </c>
      <c r="H148" s="13" t="str">
        <f t="shared" si="34"/>
        <v/>
      </c>
      <c r="I148" s="14" t="str">
        <f t="array" ref="I148">IF(getRGB1(Weekly!C150)="FFFF00","초방","재방")</f>
        <v>재방</v>
      </c>
      <c r="K148" s="30">
        <f t="shared" si="44"/>
        <v>45919.888888888891</v>
      </c>
      <c r="L148" s="31">
        <f t="shared" si="45"/>
        <v>45919</v>
      </c>
      <c r="M148" s="32">
        <f t="shared" si="46"/>
        <v>0.88888888888888895</v>
      </c>
      <c r="N148" s="32">
        <f t="shared" si="47"/>
        <v>2.7777777773735579E-2</v>
      </c>
      <c r="O148" s="13" t="str">
        <f t="shared" si="48"/>
        <v>낭만살롱</v>
      </c>
      <c r="P148" s="33">
        <f t="shared" si="49"/>
        <v>5</v>
      </c>
      <c r="Q148" s="14" t="str">
        <f t="shared" si="50"/>
        <v/>
      </c>
      <c r="R148" s="14" t="str">
        <f t="shared" si="51"/>
        <v>재방</v>
      </c>
      <c r="S148" s="14" t="str">
        <f>IF(O148&lt;&gt;"",VLOOKUP(O148,P.Info!$A$2:$B$150,2,0),"")</f>
        <v>주편성</v>
      </c>
    </row>
    <row r="149" spans="1:19" ht="11.25" customHeight="1" x14ac:dyDescent="0.3">
      <c r="A149" s="10" t="str">
        <f t="shared" si="31"/>
        <v/>
      </c>
      <c r="B149" s="11">
        <f>Weekly!$C$3</f>
        <v>45915</v>
      </c>
      <c r="C149" s="12">
        <v>0.51041666666666696</v>
      </c>
      <c r="D149" s="13">
        <f>Weekly!C151</f>
        <v>0</v>
      </c>
      <c r="E149" s="13" t="str">
        <f t="shared" si="32"/>
        <v/>
      </c>
      <c r="F149" s="13" t="str">
        <f t="shared" si="35"/>
        <v/>
      </c>
      <c r="G149" s="13" t="str">
        <f t="shared" si="33"/>
        <v/>
      </c>
      <c r="H149" s="13" t="str">
        <f t="shared" si="34"/>
        <v/>
      </c>
      <c r="I149" s="14" t="str">
        <f t="array" ref="I149">IF(getRGB1(Weekly!C151)="FFFF00","초방","재방")</f>
        <v>재방</v>
      </c>
      <c r="K149" s="30">
        <f t="shared" si="44"/>
        <v>45919.916666666664</v>
      </c>
      <c r="L149" s="31">
        <f t="shared" si="45"/>
        <v>45919</v>
      </c>
      <c r="M149" s="32">
        <f t="shared" si="46"/>
        <v>0.91666666666666696</v>
      </c>
      <c r="N149" s="32">
        <f t="shared" si="47"/>
        <v>4.1666666671517305E-2</v>
      </c>
      <c r="O149" s="13" t="str">
        <f t="shared" si="48"/>
        <v>특집 2026 지방선거_서울특별시의회 생생중계_본회의</v>
      </c>
      <c r="P149" s="33">
        <f t="shared" si="49"/>
        <v>6</v>
      </c>
      <c r="Q149" s="14" t="str">
        <f t="shared" si="50"/>
        <v/>
      </c>
      <c r="R149" s="14" t="str">
        <f t="shared" si="51"/>
        <v>재방</v>
      </c>
      <c r="S149" s="14" t="str">
        <f>IF(O149&lt;&gt;"",VLOOKUP(O149,P.Info!$A$2:$B$150,2,0),"")</f>
        <v>주편성</v>
      </c>
    </row>
    <row r="150" spans="1:19" ht="11.25" customHeight="1" x14ac:dyDescent="0.3">
      <c r="A150" s="10" t="str">
        <f t="shared" si="31"/>
        <v/>
      </c>
      <c r="B150" s="11">
        <f>Weekly!$C$3</f>
        <v>45915</v>
      </c>
      <c r="C150" s="12">
        <v>0.51388888888888895</v>
      </c>
      <c r="D150" s="13">
        <f>Weekly!C152</f>
        <v>0</v>
      </c>
      <c r="E150" s="13" t="str">
        <f t="shared" si="32"/>
        <v/>
      </c>
      <c r="F150" s="13" t="str">
        <f t="shared" si="35"/>
        <v/>
      </c>
      <c r="G150" s="13" t="str">
        <f t="shared" si="33"/>
        <v/>
      </c>
      <c r="H150" s="13" t="str">
        <f t="shared" si="34"/>
        <v/>
      </c>
      <c r="I150" s="14" t="str">
        <f t="array" ref="I150">IF(getRGB1(Weekly!C152)="FFFF00","초방","재방")</f>
        <v>재방</v>
      </c>
      <c r="K150" s="30">
        <f t="shared" si="44"/>
        <v>45919.958333333336</v>
      </c>
      <c r="L150" s="31">
        <f t="shared" si="45"/>
        <v>45919</v>
      </c>
      <c r="M150" s="32">
        <f t="shared" si="46"/>
        <v>0.95833333333333304</v>
      </c>
      <c r="N150" s="32">
        <f t="shared" si="47"/>
        <v>4.1666666664241347E-2</v>
      </c>
      <c r="O150" s="13" t="str">
        <f t="shared" si="48"/>
        <v>특집 2026 지방선거_서울특별시의회 생생중계_상임위</v>
      </c>
      <c r="P150" s="33">
        <f t="shared" si="49"/>
        <v>19</v>
      </c>
      <c r="Q150" s="14" t="str">
        <f t="shared" si="50"/>
        <v/>
      </c>
      <c r="R150" s="14" t="str">
        <f t="shared" si="51"/>
        <v>재방</v>
      </c>
      <c r="S150" s="14" t="str">
        <f>IF(O150&lt;&gt;"",VLOOKUP(O150,P.Info!$A$2:$B$150,2,0),"")</f>
        <v>주편성</v>
      </c>
    </row>
    <row r="151" spans="1:19" ht="11.25" customHeight="1" x14ac:dyDescent="0.3">
      <c r="A151" s="10" t="str">
        <f t="shared" si="31"/>
        <v/>
      </c>
      <c r="B151" s="11">
        <f>Weekly!$C$3</f>
        <v>45915</v>
      </c>
      <c r="C151" s="12">
        <v>0.51736111111111105</v>
      </c>
      <c r="D151" s="13">
        <f>Weekly!C153</f>
        <v>0</v>
      </c>
      <c r="E151" s="13" t="str">
        <f t="shared" si="32"/>
        <v/>
      </c>
      <c r="F151" s="13" t="str">
        <f t="shared" si="35"/>
        <v/>
      </c>
      <c r="G151" s="13" t="str">
        <f t="shared" si="33"/>
        <v/>
      </c>
      <c r="H151" s="13" t="str">
        <f t="shared" si="34"/>
        <v/>
      </c>
      <c r="I151" s="14" t="str">
        <f t="array" ref="I151">IF(getRGB1(Weekly!C153)="FFFF00","초방","재방")</f>
        <v>재방</v>
      </c>
      <c r="K151" s="30">
        <f t="shared" si="44"/>
        <v>45920</v>
      </c>
      <c r="L151" s="31">
        <f t="shared" si="45"/>
        <v>45920</v>
      </c>
      <c r="M151" s="32">
        <f t="shared" si="46"/>
        <v>0</v>
      </c>
      <c r="N151" s="32">
        <f t="shared" si="47"/>
        <v>4.1666666664241347E-2</v>
      </c>
      <c r="O151" s="13" t="str">
        <f t="shared" si="48"/>
        <v>특집 2026 지방선거_경기도의회 생생중계_본회의</v>
      </c>
      <c r="P151" s="33">
        <f t="shared" si="49"/>
        <v>18</v>
      </c>
      <c r="Q151" s="14" t="str">
        <f t="shared" si="50"/>
        <v/>
      </c>
      <c r="R151" s="14" t="e">
        <f t="shared" ca="1" si="51"/>
        <v>#NAME?</v>
      </c>
      <c r="S151" s="14" t="str">
        <f>IF(O151&lt;&gt;"",VLOOKUP(O151,P.Info!$A$2:$B$150,2,0),"")</f>
        <v>주편성</v>
      </c>
    </row>
    <row r="152" spans="1:19" ht="11.25" customHeight="1" x14ac:dyDescent="0.3">
      <c r="A152" s="10" t="str">
        <f t="shared" si="31"/>
        <v/>
      </c>
      <c r="B152" s="11">
        <f>Weekly!$C$3</f>
        <v>45915</v>
      </c>
      <c r="C152" s="12">
        <v>0.52083333333333304</v>
      </c>
      <c r="D152" s="13">
        <f>Weekly!C154</f>
        <v>0</v>
      </c>
      <c r="E152" s="13" t="str">
        <f t="shared" si="32"/>
        <v/>
      </c>
      <c r="F152" s="13" t="str">
        <f t="shared" si="35"/>
        <v/>
      </c>
      <c r="G152" s="13" t="str">
        <f t="shared" si="33"/>
        <v/>
      </c>
      <c r="H152" s="13" t="str">
        <f t="shared" si="34"/>
        <v/>
      </c>
      <c r="I152" s="14" t="str">
        <f t="array" ref="I152">IF(getRGB1(Weekly!C154)="FFFF00","초방","재방")</f>
        <v>재방</v>
      </c>
      <c r="K152" s="30">
        <f t="shared" si="44"/>
        <v>45920.041666666664</v>
      </c>
      <c r="L152" s="31">
        <f t="shared" si="45"/>
        <v>45920</v>
      </c>
      <c r="M152" s="32">
        <f t="shared" si="46"/>
        <v>4.1666666666666699E-2</v>
      </c>
      <c r="N152" s="32">
        <f t="shared" si="47"/>
        <v>4.1666666671517305E-2</v>
      </c>
      <c r="O152" s="13" t="str">
        <f t="shared" si="48"/>
        <v>특집 2026 지방선거_경기도의회 생생중계_상임위</v>
      </c>
      <c r="P152" s="33">
        <f t="shared" si="49"/>
        <v>18</v>
      </c>
      <c r="Q152" s="14" t="str">
        <f t="shared" si="50"/>
        <v/>
      </c>
      <c r="R152" s="14" t="e">
        <f t="shared" ca="1" si="51"/>
        <v>#NAME?</v>
      </c>
      <c r="S152" s="14" t="str">
        <f>IF(O152&lt;&gt;"",VLOOKUP(O152,P.Info!$A$2:$B$150,2,0),"")</f>
        <v>주편성</v>
      </c>
    </row>
    <row r="153" spans="1:19" ht="11.25" customHeight="1" x14ac:dyDescent="0.3">
      <c r="A153" s="10" t="str">
        <f t="shared" si="31"/>
        <v/>
      </c>
      <c r="B153" s="11">
        <f>Weekly!$C$3</f>
        <v>45915</v>
      </c>
      <c r="C153" s="12">
        <v>0.52430555555555602</v>
      </c>
      <c r="D153" s="13">
        <f>Weekly!C155</f>
        <v>0</v>
      </c>
      <c r="E153" s="13" t="str">
        <f t="shared" si="32"/>
        <v/>
      </c>
      <c r="F153" s="13" t="str">
        <f t="shared" si="35"/>
        <v/>
      </c>
      <c r="G153" s="13" t="str">
        <f t="shared" si="33"/>
        <v/>
      </c>
      <c r="H153" s="13" t="str">
        <f t="shared" si="34"/>
        <v/>
      </c>
      <c r="I153" s="14" t="str">
        <f t="array" ref="I153">IF(getRGB1(Weekly!C155)="FFFF00","초방","재방")</f>
        <v>재방</v>
      </c>
      <c r="K153" s="30">
        <f t="shared" si="44"/>
        <v>45920.083333333336</v>
      </c>
      <c r="L153" s="31">
        <f t="shared" si="45"/>
        <v>45919</v>
      </c>
      <c r="M153" s="32">
        <f t="shared" si="46"/>
        <v>1.0833333333333299</v>
      </c>
      <c r="N153" s="32">
        <f t="shared" si="47"/>
        <v>0</v>
      </c>
      <c r="O153" s="13" t="str">
        <f t="shared" si="48"/>
        <v>행복무지개</v>
      </c>
      <c r="P153" s="33">
        <f t="shared" si="49"/>
        <v>32</v>
      </c>
      <c r="Q153" s="14" t="str">
        <f t="shared" si="50"/>
        <v/>
      </c>
      <c r="R153" s="14" t="str">
        <f t="shared" si="51"/>
        <v>재방</v>
      </c>
      <c r="S153" s="14" t="str">
        <f>IF(O153&lt;&gt;"",VLOOKUP(O153,P.Info!$A$2:$B$150,2,0),"")</f>
        <v>주편성</v>
      </c>
    </row>
    <row r="154" spans="1:19" ht="11.25" customHeight="1" x14ac:dyDescent="0.3">
      <c r="A154" s="10" t="str">
        <f t="shared" si="31"/>
        <v/>
      </c>
      <c r="B154" s="11">
        <f>Weekly!$C$3</f>
        <v>45915</v>
      </c>
      <c r="C154" s="12">
        <v>0.52777777777777801</v>
      </c>
      <c r="D154" s="13">
        <f>Weekly!C156</f>
        <v>0</v>
      </c>
      <c r="E154" s="13" t="str">
        <f t="shared" si="32"/>
        <v/>
      </c>
      <c r="F154" s="13" t="str">
        <f t="shared" si="35"/>
        <v/>
      </c>
      <c r="G154" s="13" t="str">
        <f t="shared" si="33"/>
        <v/>
      </c>
      <c r="H154" s="13" t="str">
        <f t="shared" si="34"/>
        <v/>
      </c>
      <c r="I154" s="14" t="str">
        <f t="array" ref="I154">IF(getRGB1(Weekly!C156)="FFFF00","초방","재방")</f>
        <v>재방</v>
      </c>
      <c r="K154" s="30">
        <f t="shared" si="44"/>
        <v>45920.083333333336</v>
      </c>
      <c r="L154" s="31">
        <f t="shared" si="45"/>
        <v>45919</v>
      </c>
      <c r="M154" s="32">
        <f t="shared" si="46"/>
        <v>1.0833333333333299</v>
      </c>
      <c r="N154" s="32">
        <f t="shared" si="47"/>
        <v>2.7777777773735579E-2</v>
      </c>
      <c r="O154" s="13" t="str">
        <f t="shared" si="48"/>
        <v>행복무지개</v>
      </c>
      <c r="P154" s="33">
        <f t="shared" si="49"/>
        <v>32</v>
      </c>
      <c r="Q154" s="14" t="str">
        <f t="shared" si="50"/>
        <v/>
      </c>
      <c r="R154" s="14" t="str">
        <f t="shared" si="51"/>
        <v>재방</v>
      </c>
      <c r="S154" s="14" t="str">
        <f>IF(O154&lt;&gt;"",VLOOKUP(O154,P.Info!$A$2:$B$150,2,0),"")</f>
        <v>주편성</v>
      </c>
    </row>
    <row r="155" spans="1:19" ht="11.25" customHeight="1" x14ac:dyDescent="0.3">
      <c r="A155" s="10" t="str">
        <f t="shared" si="31"/>
        <v/>
      </c>
      <c r="B155" s="11">
        <f>Weekly!$C$3</f>
        <v>45915</v>
      </c>
      <c r="C155" s="12">
        <v>0.53125</v>
      </c>
      <c r="D155" s="13">
        <f>Weekly!C157</f>
        <v>0</v>
      </c>
      <c r="E155" s="13" t="str">
        <f t="shared" si="32"/>
        <v/>
      </c>
      <c r="F155" s="13" t="str">
        <f t="shared" si="35"/>
        <v/>
      </c>
      <c r="G155" s="13" t="str">
        <f t="shared" si="33"/>
        <v/>
      </c>
      <c r="H155" s="13" t="str">
        <f t="shared" si="34"/>
        <v/>
      </c>
      <c r="I155" s="14" t="str">
        <f t="array" ref="I155">IF(getRGB1(Weekly!C157)="FFFF00","초방","재방")</f>
        <v>재방</v>
      </c>
      <c r="K155" s="30">
        <f t="shared" si="44"/>
        <v>45920.111111111109</v>
      </c>
      <c r="L155" s="31">
        <f t="shared" si="45"/>
        <v>45920</v>
      </c>
      <c r="M155" s="32">
        <f t="shared" si="46"/>
        <v>0.11111111111111099</v>
      </c>
      <c r="N155" s="32">
        <f t="shared" si="47"/>
        <v>4.1666666671517305E-2</v>
      </c>
      <c r="O155" s="13" t="str">
        <f t="shared" si="48"/>
        <v>최선규의 이제는 지방시대 시즌2</v>
      </c>
      <c r="P155" s="33">
        <f t="shared" si="49"/>
        <v>9</v>
      </c>
      <c r="Q155" s="14" t="str">
        <f t="shared" si="50"/>
        <v/>
      </c>
      <c r="R155" s="14" t="str">
        <f t="shared" si="51"/>
        <v>재방</v>
      </c>
      <c r="S155" s="14" t="str">
        <f>IF(O155&lt;&gt;"",VLOOKUP(O155,P.Info!$A$2:$B$150,2,0),"")</f>
        <v>주편성</v>
      </c>
    </row>
    <row r="156" spans="1:19" ht="11.25" customHeight="1" x14ac:dyDescent="0.3">
      <c r="A156" s="10" t="str">
        <f t="shared" si="31"/>
        <v/>
      </c>
      <c r="B156" s="11">
        <f>Weekly!$C$3</f>
        <v>45915</v>
      </c>
      <c r="C156" s="12">
        <v>0.53472222222222199</v>
      </c>
      <c r="D156" s="13">
        <f>Weekly!C158</f>
        <v>0</v>
      </c>
      <c r="E156" s="13" t="str">
        <f t="shared" si="32"/>
        <v/>
      </c>
      <c r="F156" s="13" t="str">
        <f t="shared" si="35"/>
        <v/>
      </c>
      <c r="G156" s="13" t="str">
        <f t="shared" si="33"/>
        <v/>
      </c>
      <c r="H156" s="13" t="str">
        <f t="shared" si="34"/>
        <v/>
      </c>
      <c r="I156" s="14" t="str">
        <f t="array" ref="I156">IF(getRGB1(Weekly!C158)="FFFF00","초방","재방")</f>
        <v>재방</v>
      </c>
      <c r="K156" s="30">
        <f t="shared" si="44"/>
        <v>45920.152777777781</v>
      </c>
      <c r="L156" s="31">
        <f t="shared" si="45"/>
        <v>45920</v>
      </c>
      <c r="M156" s="32">
        <f t="shared" si="46"/>
        <v>0.15277777777777801</v>
      </c>
      <c r="N156" s="32">
        <f t="shared" si="47"/>
        <v>4.1666666664241347E-2</v>
      </c>
      <c r="O156" s="13" t="str">
        <f t="shared" si="48"/>
        <v>태군노래자랑</v>
      </c>
      <c r="P156" s="33">
        <f t="shared" si="49"/>
        <v>13</v>
      </c>
      <c r="Q156" s="14" t="str">
        <f t="shared" si="50"/>
        <v/>
      </c>
      <c r="R156" s="14" t="str">
        <f t="shared" si="51"/>
        <v>재방</v>
      </c>
      <c r="S156" s="14" t="str">
        <f>IF(O156&lt;&gt;"",VLOOKUP(O156,P.Info!$A$2:$B$150,2,0),"")</f>
        <v>주편성</v>
      </c>
    </row>
    <row r="157" spans="1:19" ht="11.25" customHeight="1" x14ac:dyDescent="0.3">
      <c r="A157" s="10" t="str">
        <f t="shared" si="31"/>
        <v/>
      </c>
      <c r="B157" s="11">
        <f>Weekly!$C$3</f>
        <v>45915</v>
      </c>
      <c r="C157" s="12">
        <v>0.53819444444444398</v>
      </c>
      <c r="D157" s="13">
        <f>Weekly!C159</f>
        <v>0</v>
      </c>
      <c r="E157" s="13" t="str">
        <f t="shared" si="32"/>
        <v/>
      </c>
      <c r="F157" s="13" t="str">
        <f t="shared" si="35"/>
        <v/>
      </c>
      <c r="G157" s="13" t="str">
        <f t="shared" si="33"/>
        <v/>
      </c>
      <c r="H157" s="13" t="str">
        <f t="shared" si="34"/>
        <v/>
      </c>
      <c r="I157" s="14" t="str">
        <f t="array" ref="I157">IF(getRGB1(Weekly!C159)="FFFF00","초방","재방")</f>
        <v>재방</v>
      </c>
      <c r="K157" s="30">
        <f t="shared" si="44"/>
        <v>45920.194444444445</v>
      </c>
      <c r="L157" s="31">
        <f t="shared" si="45"/>
        <v>45920</v>
      </c>
      <c r="M157" s="32">
        <f t="shared" si="46"/>
        <v>0.194444444444444</v>
      </c>
      <c r="N157" s="32">
        <f t="shared" si="47"/>
        <v>2.0833333335758653E-2</v>
      </c>
      <c r="O157" s="13" t="str">
        <f t="shared" si="48"/>
        <v>NEWS4</v>
      </c>
      <c r="P157" s="33">
        <f t="shared" si="49"/>
        <v>64</v>
      </c>
      <c r="Q157" s="14" t="str">
        <f t="shared" si="50"/>
        <v/>
      </c>
      <c r="R157" s="14" t="str">
        <f t="shared" si="51"/>
        <v>재방</v>
      </c>
      <c r="S157" s="14" t="str">
        <f>IF(O157&lt;&gt;"",VLOOKUP(O157,P.Info!$A$2:$B$150,2,0),"")</f>
        <v>주편성</v>
      </c>
    </row>
    <row r="158" spans="1:19" ht="11.25" customHeight="1" x14ac:dyDescent="0.3">
      <c r="A158" s="10">
        <f t="shared" si="31"/>
        <v>45915.541666666664</v>
      </c>
      <c r="B158" s="11">
        <f>Weekly!$C$3</f>
        <v>45915</v>
      </c>
      <c r="C158" s="12">
        <v>0.54166666666666696</v>
      </c>
      <c r="D158" s="13" t="str">
        <f>Weekly!C160</f>
        <v xml:space="preserve"> NEWSJ
&lt;66</v>
      </c>
      <c r="E158" s="13" t="str">
        <f t="shared" si="32"/>
        <v>NEWSJ</v>
      </c>
      <c r="F158" s="13">
        <f t="shared" si="35"/>
        <v>66</v>
      </c>
      <c r="G158" s="13" t="str">
        <f t="shared" si="33"/>
        <v/>
      </c>
      <c r="H158" s="13" t="str">
        <f t="shared" si="34"/>
        <v/>
      </c>
      <c r="I158" s="14" t="str">
        <f t="array" ref="I158">IF(getRGB1(Weekly!C160)="FFFF00","초방","재방")</f>
        <v>재방</v>
      </c>
      <c r="K158" s="30">
        <f t="shared" si="44"/>
        <v>45920.215277777781</v>
      </c>
      <c r="L158" s="31">
        <f t="shared" si="45"/>
        <v>45920</v>
      </c>
      <c r="M158" s="32">
        <f t="shared" si="46"/>
        <v>0.21527777777777801</v>
      </c>
      <c r="N158" s="32">
        <f t="shared" si="47"/>
        <v>4.1666666664241347E-2</v>
      </c>
      <c r="O158" s="13" t="str">
        <f t="shared" si="48"/>
        <v>내삶을바꾸는정책</v>
      </c>
      <c r="P158" s="33">
        <f t="shared" si="49"/>
        <v>2194</v>
      </c>
      <c r="Q158" s="14" t="str">
        <f t="shared" si="50"/>
        <v/>
      </c>
      <c r="R158" s="14" t="str">
        <f t="shared" si="51"/>
        <v>초방</v>
      </c>
      <c r="S158" s="14" t="str">
        <f>IF(O158&lt;&gt;"",VLOOKUP(O158,P.Info!$A$2:$B$150,2,0),"")</f>
        <v>주편성</v>
      </c>
    </row>
    <row r="159" spans="1:19" ht="11.25" customHeight="1" x14ac:dyDescent="0.3">
      <c r="A159" s="10" t="str">
        <f t="shared" si="31"/>
        <v/>
      </c>
      <c r="B159" s="11">
        <f>Weekly!$C$3</f>
        <v>45915</v>
      </c>
      <c r="C159" s="12">
        <v>0.54513888888888895</v>
      </c>
      <c r="D159" s="13">
        <f>Weekly!C161</f>
        <v>0</v>
      </c>
      <c r="E159" s="13" t="str">
        <f t="shared" si="32"/>
        <v/>
      </c>
      <c r="F159" s="13" t="str">
        <f t="shared" si="35"/>
        <v/>
      </c>
      <c r="G159" s="13" t="str">
        <f t="shared" si="33"/>
        <v/>
      </c>
      <c r="H159" s="13" t="str">
        <f t="shared" si="34"/>
        <v/>
      </c>
      <c r="I159" s="14" t="str">
        <f t="array" ref="I159">IF(getRGB1(Weekly!C161)="FFFF00","초방","재방")</f>
        <v>재방</v>
      </c>
      <c r="K159" s="30">
        <f t="shared" si="44"/>
        <v>45920.256944444445</v>
      </c>
      <c r="L159" s="31">
        <f t="shared" si="45"/>
        <v>45920</v>
      </c>
      <c r="M159" s="32">
        <f t="shared" si="46"/>
        <v>0.25694444444444398</v>
      </c>
      <c r="N159" s="32">
        <f t="shared" si="47"/>
        <v>3.4722222218988463E-2</v>
      </c>
      <c r="O159" s="13" t="str">
        <f t="shared" si="48"/>
        <v>지금은 지방시대</v>
      </c>
      <c r="P159" s="33">
        <f t="shared" si="49"/>
        <v>190</v>
      </c>
      <c r="Q159" s="14" t="str">
        <f t="shared" si="50"/>
        <v/>
      </c>
      <c r="R159" s="14" t="str">
        <f t="shared" si="51"/>
        <v>초방</v>
      </c>
      <c r="S159" s="14" t="str">
        <f>IF(O159&lt;&gt;"",VLOOKUP(O159,P.Info!$A$2:$B$150,2,0),"")</f>
        <v>주편성</v>
      </c>
    </row>
    <row r="160" spans="1:19" ht="11.25" customHeight="1" x14ac:dyDescent="0.3">
      <c r="A160" s="10" t="str">
        <f t="shared" si="31"/>
        <v/>
      </c>
      <c r="B160" s="11">
        <f>Weekly!$C$3</f>
        <v>45915</v>
      </c>
      <c r="C160" s="12">
        <v>0.54861111111111105</v>
      </c>
      <c r="D160" s="13">
        <f>Weekly!C162</f>
        <v>0</v>
      </c>
      <c r="E160" s="13" t="str">
        <f t="shared" si="32"/>
        <v/>
      </c>
      <c r="F160" s="13" t="str">
        <f t="shared" si="35"/>
        <v/>
      </c>
      <c r="G160" s="13" t="str">
        <f t="shared" si="33"/>
        <v/>
      </c>
      <c r="H160" s="13" t="str">
        <f t="shared" si="34"/>
        <v/>
      </c>
      <c r="I160" s="14" t="str">
        <f t="array" ref="I160">IF(getRGB1(Weekly!C162)="FFFF00","초방","재방")</f>
        <v>재방</v>
      </c>
      <c r="K160" s="30">
        <f t="shared" si="44"/>
        <v>45920.291666666664</v>
      </c>
      <c r="L160" s="31">
        <f t="shared" si="45"/>
        <v>45920</v>
      </c>
      <c r="M160" s="32">
        <f t="shared" si="46"/>
        <v>0.29166666666666702</v>
      </c>
      <c r="N160" s="32">
        <f t="shared" si="47"/>
        <v>4.1666666671517305E-2</v>
      </c>
      <c r="O160" s="13" t="str">
        <f t="shared" si="48"/>
        <v>최선규의 이제는 지방시대</v>
      </c>
      <c r="P160" s="33">
        <f t="shared" si="49"/>
        <v>3</v>
      </c>
      <c r="Q160" s="14" t="str">
        <f t="shared" si="50"/>
        <v/>
      </c>
      <c r="R160" s="14" t="str">
        <f t="shared" si="51"/>
        <v>재방</v>
      </c>
      <c r="S160" s="14" t="str">
        <f>IF(O160&lt;&gt;"",VLOOKUP(O160,P.Info!$A$2:$B$150,2,0),"")</f>
        <v>주편성</v>
      </c>
    </row>
    <row r="161" spans="1:19" ht="11.25" customHeight="1" x14ac:dyDescent="0.3">
      <c r="A161" s="10" t="str">
        <f t="shared" si="31"/>
        <v/>
      </c>
      <c r="B161" s="11">
        <f>Weekly!$C$3</f>
        <v>45915</v>
      </c>
      <c r="C161" s="12">
        <v>0.55208333333333304</v>
      </c>
      <c r="D161" s="13">
        <f>Weekly!C163</f>
        <v>0</v>
      </c>
      <c r="E161" s="13" t="str">
        <f t="shared" si="32"/>
        <v/>
      </c>
      <c r="F161" s="13" t="str">
        <f t="shared" si="35"/>
        <v/>
      </c>
      <c r="G161" s="13" t="str">
        <f t="shared" si="33"/>
        <v/>
      </c>
      <c r="H161" s="13" t="str">
        <f t="shared" si="34"/>
        <v/>
      </c>
      <c r="I161" s="14" t="str">
        <f t="array" ref="I161">IF(getRGB1(Weekly!C163)="FFFF00","초방","재방")</f>
        <v>재방</v>
      </c>
      <c r="K161" s="30">
        <f t="shared" si="44"/>
        <v>45920.333333333336</v>
      </c>
      <c r="L161" s="31">
        <f t="shared" si="45"/>
        <v>45920</v>
      </c>
      <c r="M161" s="32">
        <f t="shared" si="46"/>
        <v>0.33333333333333298</v>
      </c>
      <c r="N161" s="32">
        <f t="shared" si="47"/>
        <v>2.0833333328482695E-2</v>
      </c>
      <c r="O161" s="13" t="str">
        <f t="shared" si="48"/>
        <v>NEWSPLUS</v>
      </c>
      <c r="P161" s="33">
        <f t="shared" si="49"/>
        <v>64</v>
      </c>
      <c r="Q161" s="14" t="str">
        <f t="shared" si="50"/>
        <v/>
      </c>
      <c r="R161" s="14" t="str">
        <f t="shared" si="51"/>
        <v>재방</v>
      </c>
      <c r="S161" s="14" t="str">
        <f>IF(O161&lt;&gt;"",VLOOKUP(O161,P.Info!$A$2:$B$150,2,0),"")</f>
        <v>주편성</v>
      </c>
    </row>
    <row r="162" spans="1:19" ht="11.25" customHeight="1" x14ac:dyDescent="0.3">
      <c r="A162" s="10" t="str">
        <f t="shared" si="31"/>
        <v/>
      </c>
      <c r="B162" s="11">
        <f>Weekly!$C$3</f>
        <v>45915</v>
      </c>
      <c r="C162" s="12">
        <v>0.55555555555555602</v>
      </c>
      <c r="D162" s="13">
        <f>Weekly!C164</f>
        <v>0</v>
      </c>
      <c r="E162" s="13" t="str">
        <f t="shared" si="32"/>
        <v/>
      </c>
      <c r="F162" s="13" t="str">
        <f t="shared" si="35"/>
        <v/>
      </c>
      <c r="G162" s="13" t="str">
        <f t="shared" si="33"/>
        <v/>
      </c>
      <c r="H162" s="13" t="str">
        <f t="shared" si="34"/>
        <v/>
      </c>
      <c r="I162" s="14" t="str">
        <f t="array" ref="I162">IF(getRGB1(Weekly!C164)="FFFF00","초방","재방")</f>
        <v>재방</v>
      </c>
      <c r="K162" s="30">
        <f t="shared" si="44"/>
        <v>45920.354166666664</v>
      </c>
      <c r="L162" s="31">
        <f t="shared" si="45"/>
        <v>45920</v>
      </c>
      <c r="M162" s="32">
        <f t="shared" si="46"/>
        <v>0.35416666666666702</v>
      </c>
      <c r="N162" s="32">
        <f t="shared" si="47"/>
        <v>3.4722222226264421E-2</v>
      </c>
      <c r="O162" s="13" t="str">
        <f t="shared" si="48"/>
        <v>남도스럽게</v>
      </c>
      <c r="P162" s="33">
        <f t="shared" si="49"/>
        <v>5</v>
      </c>
      <c r="Q162" s="14" t="str">
        <f t="shared" si="50"/>
        <v/>
      </c>
      <c r="R162" s="14" t="str">
        <f t="shared" si="51"/>
        <v>재방</v>
      </c>
      <c r="S162" s="14" t="str">
        <f>IF(O162&lt;&gt;"",VLOOKUP(O162,P.Info!$A$2:$B$150,2,0),"")</f>
        <v>주편성</v>
      </c>
    </row>
    <row r="163" spans="1:19" ht="11.25" customHeight="1" x14ac:dyDescent="0.3">
      <c r="A163" s="10" t="str">
        <f t="shared" si="31"/>
        <v/>
      </c>
      <c r="B163" s="11">
        <f>Weekly!$C$3</f>
        <v>45915</v>
      </c>
      <c r="C163" s="12">
        <v>0.55902777777777801</v>
      </c>
      <c r="D163" s="13">
        <f>Weekly!C165</f>
        <v>0</v>
      </c>
      <c r="E163" s="13" t="str">
        <f t="shared" si="32"/>
        <v/>
      </c>
      <c r="F163" s="13" t="str">
        <f t="shared" si="35"/>
        <v/>
      </c>
      <c r="G163" s="13" t="str">
        <f t="shared" si="33"/>
        <v/>
      </c>
      <c r="H163" s="13" t="str">
        <f t="shared" si="34"/>
        <v/>
      </c>
      <c r="I163" s="14" t="str">
        <f t="array" ref="I163">IF(getRGB1(Weekly!C165)="FFFF00","초방","재방")</f>
        <v>재방</v>
      </c>
      <c r="K163" s="30">
        <f t="shared" si="44"/>
        <v>45920.388888888891</v>
      </c>
      <c r="L163" s="31">
        <f t="shared" si="45"/>
        <v>45920</v>
      </c>
      <c r="M163" s="32">
        <f t="shared" si="46"/>
        <v>0.38888888888888901</v>
      </c>
      <c r="N163" s="32">
        <f t="shared" si="47"/>
        <v>2.7777777773735579E-2</v>
      </c>
      <c r="O163" s="13" t="str">
        <f t="shared" si="48"/>
        <v>눈에 띄는 그녀들 시즌5</v>
      </c>
      <c r="P163" s="33">
        <f t="shared" si="49"/>
        <v>2</v>
      </c>
      <c r="Q163" s="14" t="str">
        <f t="shared" si="50"/>
        <v/>
      </c>
      <c r="R163" s="14" t="str">
        <f t="shared" si="51"/>
        <v>재방</v>
      </c>
      <c r="S163" s="14" t="str">
        <f>IF(O163&lt;&gt;"",VLOOKUP(O163,P.Info!$A$2:$B$150,2,0),"")</f>
        <v>주편성</v>
      </c>
    </row>
    <row r="164" spans="1:19" ht="11.25" customHeight="1" x14ac:dyDescent="0.3">
      <c r="A164" s="10">
        <f t="shared" si="31"/>
        <v>45915.5625</v>
      </c>
      <c r="B164" s="11">
        <f>Weekly!$C$3</f>
        <v>45915</v>
      </c>
      <c r="C164" s="12">
        <v>0.5625</v>
      </c>
      <c r="D164" s="13" t="str">
        <f>Weekly!C166</f>
        <v>더 人터뷰
&lt;51</v>
      </c>
      <c r="E164" s="13" t="str">
        <f t="shared" si="32"/>
        <v>더 人터뷰</v>
      </c>
      <c r="F164" s="13">
        <f t="shared" si="35"/>
        <v>51</v>
      </c>
      <c r="G164" s="13" t="str">
        <f t="shared" si="33"/>
        <v/>
      </c>
      <c r="H164" s="13" t="str">
        <f t="shared" si="34"/>
        <v/>
      </c>
      <c r="I164" s="14" t="str">
        <f t="array" ref="I164">IF(getRGB1(Weekly!C166)="FFFF00","초방","재방")</f>
        <v>재방</v>
      </c>
      <c r="K164" s="30">
        <f t="shared" si="44"/>
        <v>45920.416666666664</v>
      </c>
      <c r="L164" s="31">
        <f t="shared" si="45"/>
        <v>45920</v>
      </c>
      <c r="M164" s="32">
        <f t="shared" si="46"/>
        <v>0.41666666666666702</v>
      </c>
      <c r="N164" s="32">
        <f t="shared" si="47"/>
        <v>4.1666666671517305E-2</v>
      </c>
      <c r="O164" s="13" t="str">
        <f t="shared" si="48"/>
        <v>지방자치TV 스페셜</v>
      </c>
      <c r="P164" s="33">
        <f t="shared" si="49"/>
        <v>21</v>
      </c>
      <c r="Q164" s="14" t="str">
        <f t="shared" si="50"/>
        <v/>
      </c>
      <c r="R164" s="14" t="str">
        <f t="shared" si="51"/>
        <v>초방</v>
      </c>
      <c r="S164" s="14" t="str">
        <f>IF(O164&lt;&gt;"",VLOOKUP(O164,P.Info!$A$2:$B$150,2,0),"")</f>
        <v>주편성</v>
      </c>
    </row>
    <row r="165" spans="1:19" ht="11.25" customHeight="1" x14ac:dyDescent="0.3">
      <c r="A165" s="10" t="str">
        <f t="shared" ref="A165:A228" si="52">IF(D165&lt;&gt;0,B165+C165,"")</f>
        <v/>
      </c>
      <c r="B165" s="11">
        <f>Weekly!$C$3</f>
        <v>45915</v>
      </c>
      <c r="C165" s="12">
        <v>0.56597222222222199</v>
      </c>
      <c r="D165" s="13">
        <f>Weekly!C167</f>
        <v>0</v>
      </c>
      <c r="E165" s="13" t="str">
        <f t="shared" ref="E165:E228" si="53">IFERROR(SUBSTITUTE(SUBSTITUTE(TRIM(LEFT(D165,FIND("&lt;",D165)-1)),CHAR(10),""),"⑮ ",""),"")</f>
        <v/>
      </c>
      <c r="F165" s="13" t="str">
        <f t="shared" si="35"/>
        <v/>
      </c>
      <c r="G165" s="13" t="str">
        <f t="shared" ref="G165:G228" si="54">IFERROR(MID(D165,FIND("&gt;",D165)+1,10),"")</f>
        <v/>
      </c>
      <c r="H165" s="13" t="str">
        <f t="shared" ref="H165:H228" si="55">IFERROR(VLOOKUP(LEFT(D165,2),$W$1:$X$6,2,0),"")</f>
        <v/>
      </c>
      <c r="I165" s="14" t="str">
        <f t="array" ref="I165">IF(getRGB1(Weekly!C167)="FFFF00","초방","재방")</f>
        <v>재방</v>
      </c>
      <c r="K165" s="30">
        <f t="shared" si="44"/>
        <v>45920.458333333336</v>
      </c>
      <c r="L165" s="31">
        <f t="shared" si="45"/>
        <v>45920</v>
      </c>
      <c r="M165" s="32">
        <f t="shared" si="46"/>
        <v>0.45833333333333298</v>
      </c>
      <c r="N165" s="32">
        <f t="shared" si="47"/>
        <v>4.1666666664241347E-2</v>
      </c>
      <c r="O165" s="13" t="str">
        <f t="shared" si="48"/>
        <v>지방자치TV 스페셜</v>
      </c>
      <c r="P165" s="33">
        <f t="shared" si="49"/>
        <v>22</v>
      </c>
      <c r="Q165" s="14" t="str">
        <f t="shared" si="50"/>
        <v/>
      </c>
      <c r="R165" s="14" t="str">
        <f t="shared" si="51"/>
        <v>초방</v>
      </c>
      <c r="S165" s="14" t="str">
        <f>IF(O165&lt;&gt;"",VLOOKUP(O165,P.Info!$A$2:$B$150,2,0),"")</f>
        <v>주편성</v>
      </c>
    </row>
    <row r="166" spans="1:19" ht="11.25" customHeight="1" x14ac:dyDescent="0.3">
      <c r="A166" s="10" t="str">
        <f t="shared" si="52"/>
        <v/>
      </c>
      <c r="B166" s="11">
        <f>Weekly!$C$3</f>
        <v>45915</v>
      </c>
      <c r="C166" s="12">
        <v>0.56944444444444398</v>
      </c>
      <c r="D166" s="13">
        <f>Weekly!C168</f>
        <v>0</v>
      </c>
      <c r="E166" s="13" t="str">
        <f t="shared" si="53"/>
        <v/>
      </c>
      <c r="F166" s="13" t="str">
        <f t="shared" ref="F166:F229" si="56">IFERROR((MID(D166,FIND("&lt;",D166)+1,4))*1,"")</f>
        <v/>
      </c>
      <c r="G166" s="13" t="str">
        <f t="shared" si="54"/>
        <v/>
      </c>
      <c r="H166" s="13" t="str">
        <f t="shared" si="55"/>
        <v/>
      </c>
      <c r="I166" s="14" t="str">
        <f t="array" ref="I166">IF(getRGB1(Weekly!C168)="FFFF00","초방","재방")</f>
        <v>재방</v>
      </c>
      <c r="K166" s="30">
        <f t="shared" si="44"/>
        <v>45920.5</v>
      </c>
      <c r="L166" s="31">
        <f t="shared" si="45"/>
        <v>45920</v>
      </c>
      <c r="M166" s="32">
        <f t="shared" si="46"/>
        <v>0.5</v>
      </c>
      <c r="N166" s="32">
        <f t="shared" si="47"/>
        <v>4.1666666664241347E-2</v>
      </c>
      <c r="O166" s="13" t="str">
        <f t="shared" si="48"/>
        <v>행복무지개</v>
      </c>
      <c r="P166" s="33">
        <f t="shared" si="49"/>
        <v>32</v>
      </c>
      <c r="Q166" s="14" t="str">
        <f t="shared" si="50"/>
        <v/>
      </c>
      <c r="R166" s="14" t="str">
        <f t="shared" si="51"/>
        <v>재방</v>
      </c>
      <c r="S166" s="14" t="str">
        <f>IF(O166&lt;&gt;"",VLOOKUP(O166,P.Info!$A$2:$B$150,2,0),"")</f>
        <v>주편성</v>
      </c>
    </row>
    <row r="167" spans="1:19" ht="11.25" customHeight="1" x14ac:dyDescent="0.3">
      <c r="A167" s="10" t="str">
        <f t="shared" si="52"/>
        <v/>
      </c>
      <c r="B167" s="11">
        <f>Weekly!$C$3</f>
        <v>45915</v>
      </c>
      <c r="C167" s="12">
        <v>0.57291666666666696</v>
      </c>
      <c r="D167" s="13">
        <f>Weekly!C169</f>
        <v>0</v>
      </c>
      <c r="E167" s="13" t="str">
        <f t="shared" si="53"/>
        <v/>
      </c>
      <c r="F167" s="13" t="str">
        <f t="shared" si="56"/>
        <v/>
      </c>
      <c r="G167" s="13" t="str">
        <f t="shared" si="54"/>
        <v/>
      </c>
      <c r="H167" s="13" t="str">
        <f t="shared" si="55"/>
        <v/>
      </c>
      <c r="I167" s="14" t="str">
        <f t="array" ref="I167">IF(getRGB1(Weekly!C169)="FFFF00","초방","재방")</f>
        <v>재방</v>
      </c>
      <c r="K167" s="30">
        <f t="shared" si="44"/>
        <v>45920.541666666664</v>
      </c>
      <c r="L167" s="31">
        <f t="shared" si="45"/>
        <v>45920</v>
      </c>
      <c r="M167" s="32">
        <f t="shared" si="46"/>
        <v>0.54166666666666696</v>
      </c>
      <c r="N167" s="32">
        <f t="shared" si="47"/>
        <v>2.0833333335758653E-2</v>
      </c>
      <c r="O167" s="13" t="str">
        <f t="shared" si="48"/>
        <v>NEWSJ</v>
      </c>
      <c r="P167" s="33">
        <f t="shared" si="49"/>
        <v>67</v>
      </c>
      <c r="Q167" s="14" t="str">
        <f t="shared" si="50"/>
        <v/>
      </c>
      <c r="R167" s="14" t="str">
        <f t="shared" si="51"/>
        <v>초방</v>
      </c>
      <c r="S167" s="14" t="str">
        <f>IF(O167&lt;&gt;"",VLOOKUP(O167,P.Info!$A$2:$B$150,2,0),"")</f>
        <v>주편성</v>
      </c>
    </row>
    <row r="168" spans="1:19" ht="11.25" customHeight="1" x14ac:dyDescent="0.3">
      <c r="A168" s="10" t="str">
        <f t="shared" si="52"/>
        <v/>
      </c>
      <c r="B168" s="11">
        <f>Weekly!$C$3</f>
        <v>45915</v>
      </c>
      <c r="C168" s="12">
        <v>0.57638888888888895</v>
      </c>
      <c r="D168" s="13">
        <f>Weekly!C170</f>
        <v>0</v>
      </c>
      <c r="E168" s="13" t="str">
        <f t="shared" si="53"/>
        <v/>
      </c>
      <c r="F168" s="13" t="str">
        <f t="shared" si="56"/>
        <v/>
      </c>
      <c r="G168" s="13" t="str">
        <f t="shared" si="54"/>
        <v/>
      </c>
      <c r="H168" s="13" t="str">
        <f t="shared" si="55"/>
        <v/>
      </c>
      <c r="I168" s="14" t="str">
        <f t="array" ref="I168">IF(getRGB1(Weekly!C170)="FFFF00","초방","재방")</f>
        <v>재방</v>
      </c>
      <c r="K168" s="30">
        <f t="shared" si="44"/>
        <v>45920.5625</v>
      </c>
      <c r="L168" s="31">
        <f t="shared" si="45"/>
        <v>45920</v>
      </c>
      <c r="M168" s="32">
        <f t="shared" si="46"/>
        <v>0.5625</v>
      </c>
      <c r="N168" s="32">
        <f t="shared" si="47"/>
        <v>2.0833333335758653E-2</v>
      </c>
      <c r="O168" s="13" t="str">
        <f t="shared" si="48"/>
        <v>더 人터뷰</v>
      </c>
      <c r="P168" s="33">
        <f t="shared" si="49"/>
        <v>54</v>
      </c>
      <c r="Q168" s="14" t="str">
        <f t="shared" si="50"/>
        <v/>
      </c>
      <c r="R168" s="14" t="str">
        <f t="shared" si="51"/>
        <v>재방</v>
      </c>
      <c r="S168" s="14" t="str">
        <f>IF(O168&lt;&gt;"",VLOOKUP(O168,P.Info!$A$2:$B$150,2,0),"")</f>
        <v>주편성</v>
      </c>
    </row>
    <row r="169" spans="1:19" ht="11.25" customHeight="1" x14ac:dyDescent="0.3">
      <c r="A169" s="10" t="str">
        <f t="shared" si="52"/>
        <v/>
      </c>
      <c r="B169" s="11">
        <f>Weekly!$C$3</f>
        <v>45915</v>
      </c>
      <c r="C169" s="12">
        <v>0.57986111111111105</v>
      </c>
      <c r="D169" s="13">
        <f>Weekly!C171</f>
        <v>0</v>
      </c>
      <c r="E169" s="13" t="str">
        <f t="shared" si="53"/>
        <v/>
      </c>
      <c r="F169" s="13" t="str">
        <f t="shared" si="56"/>
        <v/>
      </c>
      <c r="G169" s="13" t="str">
        <f t="shared" si="54"/>
        <v/>
      </c>
      <c r="H169" s="13" t="str">
        <f t="shared" si="55"/>
        <v/>
      </c>
      <c r="I169" s="14" t="str">
        <f t="array" ref="I169">IF(getRGB1(Weekly!C171)="FFFF00","초방","재방")</f>
        <v>재방</v>
      </c>
      <c r="K169" s="30">
        <f t="shared" si="44"/>
        <v>45920.583333333336</v>
      </c>
      <c r="L169" s="31">
        <f t="shared" si="45"/>
        <v>45920</v>
      </c>
      <c r="M169" s="32">
        <f t="shared" si="46"/>
        <v>0.58333333333333304</v>
      </c>
      <c r="N169" s="32">
        <f t="shared" si="47"/>
        <v>4.1666666664241347E-2</v>
      </c>
      <c r="O169" s="13" t="str">
        <f t="shared" si="48"/>
        <v>지방자치TV 스페셜</v>
      </c>
      <c r="P169" s="33">
        <f t="shared" si="49"/>
        <v>23</v>
      </c>
      <c r="Q169" s="14" t="str">
        <f t="shared" si="50"/>
        <v/>
      </c>
      <c r="R169" s="14" t="str">
        <f t="shared" si="51"/>
        <v>초방</v>
      </c>
      <c r="S169" s="14" t="str">
        <f>IF(O169&lt;&gt;"",VLOOKUP(O169,P.Info!$A$2:$B$150,2,0),"")</f>
        <v>주편성</v>
      </c>
    </row>
    <row r="170" spans="1:19" ht="11.25" customHeight="1" x14ac:dyDescent="0.3">
      <c r="A170" s="10">
        <f t="shared" si="52"/>
        <v>45915.583333333336</v>
      </c>
      <c r="B170" s="11">
        <f>Weekly!$C$3</f>
        <v>45915</v>
      </c>
      <c r="C170" s="12">
        <v>0.58333333333333304</v>
      </c>
      <c r="D170" s="13" t="str">
        <f>Weekly!C172</f>
        <v>특집 2026 지방선거_서울특별시의회 생생중계_상임위
&lt;15</v>
      </c>
      <c r="E170" s="13" t="str">
        <f t="shared" si="53"/>
        <v>특집 2026 지방선거_서울특별시의회 생생중계_상임위</v>
      </c>
      <c r="F170" s="13">
        <f t="shared" si="56"/>
        <v>15</v>
      </c>
      <c r="G170" s="13" t="str">
        <f t="shared" si="54"/>
        <v/>
      </c>
      <c r="H170" s="13" t="str">
        <f t="shared" si="55"/>
        <v/>
      </c>
      <c r="I170" s="14" t="str">
        <f t="array" ref="I170">IF(getRGB1(Weekly!C172)="FFFF00","초방","재방")</f>
        <v>초방</v>
      </c>
      <c r="K170" s="30">
        <f t="shared" si="44"/>
        <v>45920.625</v>
      </c>
      <c r="L170" s="31">
        <f t="shared" si="45"/>
        <v>45920</v>
      </c>
      <c r="M170" s="32">
        <f t="shared" si="46"/>
        <v>0.625</v>
      </c>
      <c r="N170" s="32">
        <f t="shared" si="47"/>
        <v>4.1666666664241347E-2</v>
      </c>
      <c r="O170" s="13" t="str">
        <f t="shared" si="48"/>
        <v>행복무지개</v>
      </c>
      <c r="P170" s="33">
        <f t="shared" si="49"/>
        <v>31</v>
      </c>
      <c r="Q170" s="14" t="str">
        <f t="shared" si="50"/>
        <v/>
      </c>
      <c r="R170" s="14" t="str">
        <f t="shared" si="51"/>
        <v>재방</v>
      </c>
      <c r="S170" s="14" t="str">
        <f>IF(O170&lt;&gt;"",VLOOKUP(O170,P.Info!$A$2:$B$150,2,0),"")</f>
        <v>주편성</v>
      </c>
    </row>
    <row r="171" spans="1:19" ht="11.25" customHeight="1" x14ac:dyDescent="0.3">
      <c r="A171" s="10" t="str">
        <f t="shared" si="52"/>
        <v/>
      </c>
      <c r="B171" s="11">
        <f>Weekly!$C$3</f>
        <v>45915</v>
      </c>
      <c r="C171" s="12">
        <v>0.58680555555555503</v>
      </c>
      <c r="D171" s="13">
        <f>Weekly!C173</f>
        <v>0</v>
      </c>
      <c r="E171" s="13" t="str">
        <f t="shared" si="53"/>
        <v/>
      </c>
      <c r="F171" s="13" t="str">
        <f t="shared" si="56"/>
        <v/>
      </c>
      <c r="G171" s="13" t="str">
        <f t="shared" si="54"/>
        <v/>
      </c>
      <c r="H171" s="13" t="str">
        <f t="shared" si="55"/>
        <v/>
      </c>
      <c r="I171" s="14" t="str">
        <f t="array" ref="I171">IF(getRGB1(Weekly!C173)="FFFF00","초방","재방")</f>
        <v>초방</v>
      </c>
      <c r="K171" s="30">
        <f t="shared" si="44"/>
        <v>45920.666666666664</v>
      </c>
      <c r="L171" s="31">
        <f t="shared" si="45"/>
        <v>45920</v>
      </c>
      <c r="M171" s="32">
        <f t="shared" si="46"/>
        <v>0.66666666666666696</v>
      </c>
      <c r="N171" s="32">
        <f t="shared" si="47"/>
        <v>2.0833333335758653E-2</v>
      </c>
      <c r="O171" s="13" t="str">
        <f t="shared" si="48"/>
        <v>NEWS4</v>
      </c>
      <c r="P171" s="33">
        <f t="shared" si="49"/>
        <v>64</v>
      </c>
      <c r="Q171" s="14" t="str">
        <f t="shared" si="50"/>
        <v/>
      </c>
      <c r="R171" s="14" t="str">
        <f t="shared" si="51"/>
        <v>재방</v>
      </c>
      <c r="S171" s="14" t="str">
        <f>IF(O171&lt;&gt;"",VLOOKUP(O171,P.Info!$A$2:$B$150,2,0),"")</f>
        <v>주편성</v>
      </c>
    </row>
    <row r="172" spans="1:19" ht="11.25" customHeight="1" x14ac:dyDescent="0.3">
      <c r="A172" s="10" t="str">
        <f t="shared" si="52"/>
        <v/>
      </c>
      <c r="B172" s="11">
        <f>Weekly!$C$3</f>
        <v>45915</v>
      </c>
      <c r="C172" s="12">
        <v>0.59027777777777801</v>
      </c>
      <c r="D172" s="13">
        <f>Weekly!C174</f>
        <v>0</v>
      </c>
      <c r="E172" s="13" t="str">
        <f t="shared" si="53"/>
        <v/>
      </c>
      <c r="F172" s="13" t="str">
        <f t="shared" si="56"/>
        <v/>
      </c>
      <c r="G172" s="13" t="str">
        <f t="shared" si="54"/>
        <v/>
      </c>
      <c r="H172" s="13" t="str">
        <f t="shared" si="55"/>
        <v/>
      </c>
      <c r="I172" s="14" t="str">
        <f t="array" ref="I172">IF(getRGB1(Weekly!C174)="FFFF00","초방","재방")</f>
        <v>초방</v>
      </c>
      <c r="K172" s="30">
        <f t="shared" si="44"/>
        <v>45920.6875</v>
      </c>
      <c r="L172" s="31">
        <f t="shared" si="45"/>
        <v>45920</v>
      </c>
      <c r="M172" s="32">
        <f t="shared" si="46"/>
        <v>0.6875</v>
      </c>
      <c r="N172" s="32">
        <f t="shared" si="47"/>
        <v>2.0833333335758653E-2</v>
      </c>
      <c r="O172" s="13" t="str">
        <f t="shared" si="48"/>
        <v>지금은 지방시대 강원</v>
      </c>
      <c r="P172" s="33">
        <f t="shared" si="49"/>
        <v>18</v>
      </c>
      <c r="Q172" s="14" t="str">
        <f t="shared" si="50"/>
        <v/>
      </c>
      <c r="R172" s="14" t="str">
        <f t="shared" si="51"/>
        <v>초방</v>
      </c>
      <c r="S172" s="14" t="str">
        <f>IF(O172&lt;&gt;"",VLOOKUP(O172,P.Info!$A$2:$B$150,2,0),"")</f>
        <v>주편성</v>
      </c>
    </row>
    <row r="173" spans="1:19" ht="11.25" customHeight="1" x14ac:dyDescent="0.3">
      <c r="A173" s="10" t="str">
        <f t="shared" si="52"/>
        <v/>
      </c>
      <c r="B173" s="11">
        <f>Weekly!$C$3</f>
        <v>45915</v>
      </c>
      <c r="C173" s="12">
        <v>0.59375</v>
      </c>
      <c r="D173" s="13">
        <f>Weekly!C175</f>
        <v>0</v>
      </c>
      <c r="E173" s="13" t="str">
        <f t="shared" si="53"/>
        <v/>
      </c>
      <c r="F173" s="13" t="str">
        <f t="shared" si="56"/>
        <v/>
      </c>
      <c r="G173" s="13" t="str">
        <f t="shared" si="54"/>
        <v/>
      </c>
      <c r="H173" s="13" t="str">
        <f t="shared" si="55"/>
        <v/>
      </c>
      <c r="I173" s="14" t="str">
        <f t="array" ref="I173">IF(getRGB1(Weekly!C175)="FFFF00","초방","재방")</f>
        <v>초방</v>
      </c>
      <c r="K173" s="30">
        <f t="shared" si="44"/>
        <v>45920.708333333336</v>
      </c>
      <c r="L173" s="31">
        <f t="shared" si="45"/>
        <v>45920</v>
      </c>
      <c r="M173" s="32">
        <f t="shared" si="46"/>
        <v>0.70833333333333304</v>
      </c>
      <c r="N173" s="32">
        <f t="shared" si="47"/>
        <v>4.1666666664241347E-2</v>
      </c>
      <c r="O173" s="13" t="str">
        <f t="shared" si="48"/>
        <v>최선규의 이제는 지방시대</v>
      </c>
      <c r="P173" s="33">
        <f t="shared" si="49"/>
        <v>3</v>
      </c>
      <c r="Q173" s="14" t="str">
        <f t="shared" si="50"/>
        <v/>
      </c>
      <c r="R173" s="14" t="str">
        <f t="shared" si="51"/>
        <v>재방</v>
      </c>
      <c r="S173" s="14" t="str">
        <f>IF(O173&lt;&gt;"",VLOOKUP(O173,P.Info!$A$2:$B$150,2,0),"")</f>
        <v>주편성</v>
      </c>
    </row>
    <row r="174" spans="1:19" ht="11.25" customHeight="1" x14ac:dyDescent="0.3">
      <c r="A174" s="10" t="str">
        <f t="shared" si="52"/>
        <v/>
      </c>
      <c r="B174" s="11">
        <f>Weekly!$C$3</f>
        <v>45915</v>
      </c>
      <c r="C174" s="12">
        <v>0.59722222222222199</v>
      </c>
      <c r="D174" s="13">
        <f>Weekly!C176</f>
        <v>0</v>
      </c>
      <c r="E174" s="13" t="str">
        <f t="shared" si="53"/>
        <v/>
      </c>
      <c r="F174" s="13" t="str">
        <f t="shared" si="56"/>
        <v/>
      </c>
      <c r="G174" s="13" t="str">
        <f t="shared" si="54"/>
        <v/>
      </c>
      <c r="H174" s="13" t="str">
        <f t="shared" si="55"/>
        <v/>
      </c>
      <c r="I174" s="14" t="str">
        <f t="array" ref="I174">IF(getRGB1(Weekly!C176)="FFFF00","초방","재방")</f>
        <v>초방</v>
      </c>
      <c r="K174" s="30">
        <f t="shared" si="44"/>
        <v>45920.75</v>
      </c>
      <c r="L174" s="31">
        <f t="shared" si="45"/>
        <v>45920</v>
      </c>
      <c r="M174" s="32">
        <f t="shared" si="46"/>
        <v>0.75</v>
      </c>
      <c r="N174" s="32">
        <f t="shared" si="47"/>
        <v>2.0833333335758653E-2</v>
      </c>
      <c r="O174" s="13" t="str">
        <f t="shared" si="48"/>
        <v>지방자치단체장 인터뷰</v>
      </c>
      <c r="P174" s="33">
        <f t="shared" si="49"/>
        <v>47</v>
      </c>
      <c r="Q174" s="14" t="str">
        <f t="shared" si="50"/>
        <v/>
      </c>
      <c r="R174" s="14" t="str">
        <f t="shared" si="51"/>
        <v>재방</v>
      </c>
      <c r="S174" s="14" t="str">
        <f>IF(O174&lt;&gt;"",VLOOKUP(O174,P.Info!$A$2:$B$150,2,0),"")</f>
        <v>주편성</v>
      </c>
    </row>
    <row r="175" spans="1:19" ht="11.25" customHeight="1" x14ac:dyDescent="0.3">
      <c r="A175" s="10" t="str">
        <f t="shared" si="52"/>
        <v/>
      </c>
      <c r="B175" s="11">
        <f>Weekly!$C$3</f>
        <v>45915</v>
      </c>
      <c r="C175" s="12">
        <v>0.60069444444444398</v>
      </c>
      <c r="D175" s="13">
        <f>Weekly!C177</f>
        <v>0</v>
      </c>
      <c r="E175" s="13" t="str">
        <f t="shared" si="53"/>
        <v/>
      </c>
      <c r="F175" s="13" t="str">
        <f t="shared" si="56"/>
        <v/>
      </c>
      <c r="G175" s="13" t="str">
        <f t="shared" si="54"/>
        <v/>
      </c>
      <c r="H175" s="13" t="str">
        <f t="shared" si="55"/>
        <v/>
      </c>
      <c r="I175" s="14" t="str">
        <f t="array" ref="I175">IF(getRGB1(Weekly!C177)="FFFF00","초방","재방")</f>
        <v>초방</v>
      </c>
      <c r="K175" s="30">
        <f t="shared" si="44"/>
        <v>45920.770833333336</v>
      </c>
      <c r="L175" s="31">
        <f t="shared" si="45"/>
        <v>45920</v>
      </c>
      <c r="M175" s="32">
        <f t="shared" si="46"/>
        <v>0.77083333333333304</v>
      </c>
      <c r="N175" s="32">
        <f t="shared" si="47"/>
        <v>2.0833333328482695E-2</v>
      </c>
      <c r="O175" s="13" t="str">
        <f t="shared" si="48"/>
        <v>더 人터뷰</v>
      </c>
      <c r="P175" s="33">
        <f t="shared" si="49"/>
        <v>54</v>
      </c>
      <c r="Q175" s="14" t="str">
        <f t="shared" si="50"/>
        <v/>
      </c>
      <c r="R175" s="14" t="str">
        <f t="shared" si="51"/>
        <v>재방</v>
      </c>
      <c r="S175" s="14" t="str">
        <f>IF(O175&lt;&gt;"",VLOOKUP(O175,P.Info!$A$2:$B$150,2,0),"")</f>
        <v>주편성</v>
      </c>
    </row>
    <row r="176" spans="1:19" ht="11.25" customHeight="1" x14ac:dyDescent="0.3">
      <c r="A176" s="10" t="str">
        <f t="shared" si="52"/>
        <v/>
      </c>
      <c r="B176" s="11">
        <f>Weekly!$C$3</f>
        <v>45915</v>
      </c>
      <c r="C176" s="12">
        <v>0.60416666666666696</v>
      </c>
      <c r="D176" s="13">
        <f>Weekly!C178</f>
        <v>0</v>
      </c>
      <c r="E176" s="13" t="str">
        <f t="shared" si="53"/>
        <v/>
      </c>
      <c r="F176" s="13" t="str">
        <f t="shared" si="56"/>
        <v/>
      </c>
      <c r="G176" s="13" t="str">
        <f t="shared" si="54"/>
        <v/>
      </c>
      <c r="H176" s="13" t="str">
        <f t="shared" si="55"/>
        <v/>
      </c>
      <c r="I176" s="14" t="str">
        <f t="array" ref="I176">IF(getRGB1(Weekly!C178)="FFFF00","초방","재방")</f>
        <v>초방</v>
      </c>
      <c r="K176" s="30">
        <f t="shared" si="44"/>
        <v>45920.791666666664</v>
      </c>
      <c r="L176" s="31">
        <f t="shared" si="45"/>
        <v>45920</v>
      </c>
      <c r="M176" s="32">
        <f t="shared" si="46"/>
        <v>0.79166666666666696</v>
      </c>
      <c r="N176" s="32">
        <f t="shared" si="47"/>
        <v>4.1666666671517305E-2</v>
      </c>
      <c r="O176" s="13" t="str">
        <f t="shared" si="48"/>
        <v>더 人터뷰</v>
      </c>
      <c r="P176" s="33">
        <f t="shared" si="49"/>
        <v>3</v>
      </c>
      <c r="Q176" s="14" t="str">
        <f t="shared" si="50"/>
        <v/>
      </c>
      <c r="R176" s="14" t="str">
        <f t="shared" si="51"/>
        <v>재방</v>
      </c>
      <c r="S176" s="14" t="str">
        <f>IF(O176&lt;&gt;"",VLOOKUP(O176,P.Info!$A$2:$B$150,2,0),"")</f>
        <v>주편성</v>
      </c>
    </row>
    <row r="177" spans="1:19" ht="11.25" customHeight="1" x14ac:dyDescent="0.3">
      <c r="A177" s="10" t="str">
        <f t="shared" si="52"/>
        <v/>
      </c>
      <c r="B177" s="11">
        <f>Weekly!$C$3</f>
        <v>45915</v>
      </c>
      <c r="C177" s="12">
        <v>0.60763888888888895</v>
      </c>
      <c r="D177" s="13">
        <f>Weekly!C179</f>
        <v>0</v>
      </c>
      <c r="E177" s="13" t="str">
        <f t="shared" si="53"/>
        <v/>
      </c>
      <c r="F177" s="13" t="str">
        <f t="shared" si="56"/>
        <v/>
      </c>
      <c r="G177" s="13" t="str">
        <f t="shared" si="54"/>
        <v/>
      </c>
      <c r="H177" s="13" t="str">
        <f t="shared" si="55"/>
        <v/>
      </c>
      <c r="I177" s="14" t="str">
        <f t="array" ref="I177">IF(getRGB1(Weekly!C179)="FFFF00","초방","재방")</f>
        <v>초방</v>
      </c>
      <c r="K177" s="30">
        <f t="shared" si="44"/>
        <v>45920.833333333336</v>
      </c>
      <c r="L177" s="31">
        <f t="shared" si="45"/>
        <v>45920</v>
      </c>
      <c r="M177" s="32">
        <f t="shared" si="46"/>
        <v>0.83333333333333304</v>
      </c>
      <c r="N177" s="32">
        <f t="shared" si="47"/>
        <v>2.0833333328482695E-2</v>
      </c>
      <c r="O177" s="13" t="str">
        <f t="shared" si="48"/>
        <v>NEWSON</v>
      </c>
      <c r="P177" s="33">
        <f t="shared" si="49"/>
        <v>67</v>
      </c>
      <c r="Q177" s="14" t="str">
        <f t="shared" si="50"/>
        <v/>
      </c>
      <c r="R177" s="14" t="str">
        <f t="shared" si="51"/>
        <v>초방</v>
      </c>
      <c r="S177" s="14" t="str">
        <f>IF(O177&lt;&gt;"",VLOOKUP(O177,P.Info!$A$2:$B$150,2,0),"")</f>
        <v>주편성</v>
      </c>
    </row>
    <row r="178" spans="1:19" ht="11.25" customHeight="1" x14ac:dyDescent="0.3">
      <c r="A178" s="10" t="str">
        <f t="shared" si="52"/>
        <v/>
      </c>
      <c r="B178" s="11">
        <f>Weekly!$C$3</f>
        <v>45915</v>
      </c>
      <c r="C178" s="12">
        <v>0.61111111111111105</v>
      </c>
      <c r="D178" s="13">
        <f>Weekly!C180</f>
        <v>0</v>
      </c>
      <c r="E178" s="13" t="str">
        <f t="shared" si="53"/>
        <v/>
      </c>
      <c r="F178" s="13" t="str">
        <f t="shared" si="56"/>
        <v/>
      </c>
      <c r="G178" s="13" t="str">
        <f t="shared" si="54"/>
        <v/>
      </c>
      <c r="H178" s="13" t="str">
        <f t="shared" si="55"/>
        <v/>
      </c>
      <c r="I178" s="14" t="str">
        <f t="array" ref="I178">IF(getRGB1(Weekly!C180)="FFFF00","초방","재방")</f>
        <v>초방</v>
      </c>
      <c r="K178" s="30">
        <f t="shared" si="44"/>
        <v>45920.854166666664</v>
      </c>
      <c r="L178" s="31">
        <f t="shared" si="45"/>
        <v>45920</v>
      </c>
      <c r="M178" s="32">
        <f t="shared" si="46"/>
        <v>0.85416666666666696</v>
      </c>
      <c r="N178" s="32">
        <f t="shared" si="47"/>
        <v>3.4722222226264421E-2</v>
      </c>
      <c r="O178" s="13" t="str">
        <f t="shared" si="48"/>
        <v>우리동네 너튜브</v>
      </c>
      <c r="P178" s="33">
        <f t="shared" si="49"/>
        <v>9</v>
      </c>
      <c r="Q178" s="14" t="str">
        <f t="shared" si="50"/>
        <v/>
      </c>
      <c r="R178" s="14" t="str">
        <f t="shared" si="51"/>
        <v>재방</v>
      </c>
      <c r="S178" s="14" t="str">
        <f>IF(O178&lt;&gt;"",VLOOKUP(O178,P.Info!$A$2:$B$150,2,0),"")</f>
        <v>주편성</v>
      </c>
    </row>
    <row r="179" spans="1:19" ht="11.25" customHeight="1" x14ac:dyDescent="0.3">
      <c r="A179" s="10" t="str">
        <f t="shared" si="52"/>
        <v/>
      </c>
      <c r="B179" s="11">
        <f>Weekly!$C$3</f>
        <v>45915</v>
      </c>
      <c r="C179" s="12">
        <v>0.61458333333333304</v>
      </c>
      <c r="D179" s="13">
        <f>Weekly!C181</f>
        <v>0</v>
      </c>
      <c r="E179" s="13" t="str">
        <f t="shared" si="53"/>
        <v/>
      </c>
      <c r="F179" s="13" t="str">
        <f t="shared" si="56"/>
        <v/>
      </c>
      <c r="G179" s="13" t="str">
        <f t="shared" si="54"/>
        <v/>
      </c>
      <c r="H179" s="13" t="str">
        <f t="shared" si="55"/>
        <v/>
      </c>
      <c r="I179" s="14" t="str">
        <f t="array" ref="I179">IF(getRGB1(Weekly!C181)="FFFF00","초방","재방")</f>
        <v>초방</v>
      </c>
      <c r="K179" s="30">
        <f t="shared" si="44"/>
        <v>45920.888888888891</v>
      </c>
      <c r="L179" s="31">
        <f t="shared" si="45"/>
        <v>45920</v>
      </c>
      <c r="M179" s="32">
        <f t="shared" si="46"/>
        <v>0.88888888888888895</v>
      </c>
      <c r="N179" s="32">
        <f t="shared" si="47"/>
        <v>2.7777777773735579E-2</v>
      </c>
      <c r="O179" s="13" t="str">
        <f t="shared" si="48"/>
        <v>낭만살롱</v>
      </c>
      <c r="P179" s="33">
        <f t="shared" si="49"/>
        <v>6</v>
      </c>
      <c r="Q179" s="14" t="str">
        <f t="shared" si="50"/>
        <v/>
      </c>
      <c r="R179" s="14" t="str">
        <f t="shared" si="51"/>
        <v>재방</v>
      </c>
      <c r="S179" s="14" t="str">
        <f>IF(O179&lt;&gt;"",VLOOKUP(O179,P.Info!$A$2:$B$150,2,0),"")</f>
        <v>주편성</v>
      </c>
    </row>
    <row r="180" spans="1:19" ht="11.25" customHeight="1" x14ac:dyDescent="0.3">
      <c r="A180" s="10" t="str">
        <f t="shared" si="52"/>
        <v/>
      </c>
      <c r="B180" s="11">
        <f>Weekly!$C$3</f>
        <v>45915</v>
      </c>
      <c r="C180" s="12">
        <v>0.61805555555555503</v>
      </c>
      <c r="D180" s="13">
        <f>Weekly!C182</f>
        <v>0</v>
      </c>
      <c r="E180" s="13" t="str">
        <f t="shared" si="53"/>
        <v/>
      </c>
      <c r="F180" s="13" t="str">
        <f t="shared" si="56"/>
        <v/>
      </c>
      <c r="G180" s="13" t="str">
        <f t="shared" si="54"/>
        <v/>
      </c>
      <c r="H180" s="13" t="str">
        <f t="shared" si="55"/>
        <v/>
      </c>
      <c r="I180" s="14" t="str">
        <f t="array" ref="I180">IF(getRGB1(Weekly!C182)="FFFF00","초방","재방")</f>
        <v>초방</v>
      </c>
      <c r="K180" s="30">
        <f t="shared" si="44"/>
        <v>45920.916666666664</v>
      </c>
      <c r="L180" s="31">
        <f t="shared" si="45"/>
        <v>45920</v>
      </c>
      <c r="M180" s="32">
        <f t="shared" si="46"/>
        <v>0.91666666666666696</v>
      </c>
      <c r="N180" s="32">
        <f t="shared" si="47"/>
        <v>2.4305555554747116E-2</v>
      </c>
      <c r="O180" s="13" t="str">
        <f t="shared" si="48"/>
        <v>지방차치TV 하이라이트</v>
      </c>
      <c r="P180" s="33">
        <f t="shared" si="49"/>
        <v>13</v>
      </c>
      <c r="Q180" s="14" t="str">
        <f t="shared" si="50"/>
        <v/>
      </c>
      <c r="R180" s="14" t="str">
        <f t="shared" si="51"/>
        <v>초방</v>
      </c>
      <c r="S180" s="14" t="str">
        <f>IF(O180&lt;&gt;"",VLOOKUP(O180,P.Info!$A$2:$B$150,2,0),"")</f>
        <v>주편성</v>
      </c>
    </row>
    <row r="181" spans="1:19" ht="11.25" customHeight="1" x14ac:dyDescent="0.3">
      <c r="A181" s="10" t="str">
        <f t="shared" si="52"/>
        <v/>
      </c>
      <c r="B181" s="11">
        <f>Weekly!$C$3</f>
        <v>45915</v>
      </c>
      <c r="C181" s="12">
        <v>0.62152777777777801</v>
      </c>
      <c r="D181" s="13">
        <f>Weekly!C183</f>
        <v>0</v>
      </c>
      <c r="E181" s="13" t="str">
        <f t="shared" si="53"/>
        <v/>
      </c>
      <c r="F181" s="13" t="str">
        <f t="shared" si="56"/>
        <v/>
      </c>
      <c r="G181" s="13" t="str">
        <f t="shared" si="54"/>
        <v/>
      </c>
      <c r="H181" s="13" t="str">
        <f t="shared" si="55"/>
        <v/>
      </c>
      <c r="I181" s="14" t="str">
        <f t="array" ref="I181">IF(getRGB1(Weekly!C183)="FFFF00","초방","재방")</f>
        <v>초방</v>
      </c>
      <c r="K181" s="30">
        <f t="shared" si="44"/>
        <v>45920.940972222219</v>
      </c>
      <c r="L181" s="31">
        <f t="shared" si="45"/>
        <v>45920</v>
      </c>
      <c r="M181" s="32">
        <f t="shared" si="46"/>
        <v>0.94097222222222199</v>
      </c>
      <c r="N181" s="32">
        <f t="shared" si="47"/>
        <v>5.9027777781011537E-2</v>
      </c>
      <c r="O181" s="13" t="str">
        <f t="shared" si="48"/>
        <v>지방자치TV 스페셜</v>
      </c>
      <c r="P181" s="33">
        <f t="shared" si="49"/>
        <v>24</v>
      </c>
      <c r="Q181" s="14" t="str">
        <f t="shared" si="50"/>
        <v/>
      </c>
      <c r="R181" s="14" t="str">
        <f t="shared" si="51"/>
        <v>초방</v>
      </c>
      <c r="S181" s="14" t="str">
        <f>IF(O181&lt;&gt;"",VLOOKUP(O181,P.Info!$A$2:$B$150,2,0),"")</f>
        <v>주편성</v>
      </c>
    </row>
    <row r="182" spans="1:19" ht="11.25" customHeight="1" x14ac:dyDescent="0.3">
      <c r="A182" s="10">
        <f t="shared" si="52"/>
        <v>45915.625</v>
      </c>
      <c r="B182" s="11">
        <f>Weekly!$C$3</f>
        <v>45915</v>
      </c>
      <c r="C182" s="12">
        <v>0.625</v>
      </c>
      <c r="D182" s="13" t="str">
        <f>Weekly!C184</f>
        <v>행복무지개
&lt;32</v>
      </c>
      <c r="E182" s="13" t="str">
        <f t="shared" si="53"/>
        <v>행복무지개</v>
      </c>
      <c r="F182" s="13">
        <f t="shared" si="56"/>
        <v>32</v>
      </c>
      <c r="G182" s="13" t="str">
        <f t="shared" si="54"/>
        <v/>
      </c>
      <c r="H182" s="13" t="str">
        <f t="shared" si="55"/>
        <v/>
      </c>
      <c r="I182" s="14" t="str">
        <f t="array" ref="I182">IF(getRGB1(Weekly!C184)="FFFF00","초방","재방")</f>
        <v>재방</v>
      </c>
      <c r="K182" s="30">
        <f t="shared" si="44"/>
        <v>45921</v>
      </c>
      <c r="L182" s="31">
        <f t="shared" si="45"/>
        <v>45921</v>
      </c>
      <c r="M182" s="32">
        <f t="shared" si="46"/>
        <v>0</v>
      </c>
      <c r="N182" s="32">
        <f t="shared" si="47"/>
        <v>4.1666666664241347E-2</v>
      </c>
      <c r="O182" s="13" t="str">
        <f t="shared" si="48"/>
        <v>특집 2026 지방선거_경기도의회 생생중계_본회의</v>
      </c>
      <c r="P182" s="33">
        <f t="shared" si="49"/>
        <v>4</v>
      </c>
      <c r="Q182" s="14" t="str">
        <f t="shared" si="50"/>
        <v/>
      </c>
      <c r="R182" s="14" t="e">
        <f t="shared" ca="1" si="51"/>
        <v>#NAME?</v>
      </c>
      <c r="S182" s="14" t="str">
        <f>IF(O182&lt;&gt;"",VLOOKUP(O182,P.Info!$A$2:$B$150,2,0),"")</f>
        <v>주편성</v>
      </c>
    </row>
    <row r="183" spans="1:19" ht="11.25" customHeight="1" x14ac:dyDescent="0.3">
      <c r="A183" s="10" t="str">
        <f t="shared" si="52"/>
        <v/>
      </c>
      <c r="B183" s="11">
        <f>Weekly!$C$3</f>
        <v>45915</v>
      </c>
      <c r="C183" s="12">
        <v>0.62847222222222199</v>
      </c>
      <c r="D183" s="13">
        <f>Weekly!C185</f>
        <v>0</v>
      </c>
      <c r="E183" s="13" t="str">
        <f t="shared" si="53"/>
        <v/>
      </c>
      <c r="F183" s="13" t="str">
        <f t="shared" si="56"/>
        <v/>
      </c>
      <c r="G183" s="13" t="str">
        <f t="shared" si="54"/>
        <v/>
      </c>
      <c r="H183" s="13" t="str">
        <f t="shared" si="55"/>
        <v/>
      </c>
      <c r="I183" s="14" t="str">
        <f t="array" ref="I183">IF(getRGB1(Weekly!C185)="FFFF00","초방","재방")</f>
        <v>재방</v>
      </c>
      <c r="K183" s="30">
        <f t="shared" si="44"/>
        <v>45921.041666666664</v>
      </c>
      <c r="L183" s="31">
        <f t="shared" si="45"/>
        <v>45921</v>
      </c>
      <c r="M183" s="32">
        <f t="shared" si="46"/>
        <v>4.1666666666666699E-2</v>
      </c>
      <c r="N183" s="32">
        <f t="shared" si="47"/>
        <v>4.1666666671517305E-2</v>
      </c>
      <c r="O183" s="13" t="str">
        <f t="shared" si="48"/>
        <v>특집 2026 지방선거_경기도의회 생생중계_상임위</v>
      </c>
      <c r="P183" s="33">
        <f t="shared" si="49"/>
        <v>4</v>
      </c>
      <c r="Q183" s="14" t="str">
        <f t="shared" si="50"/>
        <v/>
      </c>
      <c r="R183" s="14" t="e">
        <f t="shared" ca="1" si="51"/>
        <v>#NAME?</v>
      </c>
      <c r="S183" s="14" t="str">
        <f>IF(O183&lt;&gt;"",VLOOKUP(O183,P.Info!$A$2:$B$150,2,0),"")</f>
        <v>주편성</v>
      </c>
    </row>
    <row r="184" spans="1:19" ht="11.25" customHeight="1" x14ac:dyDescent="0.3">
      <c r="A184" s="10" t="str">
        <f t="shared" si="52"/>
        <v/>
      </c>
      <c r="B184" s="11">
        <f>Weekly!$C$3</f>
        <v>45915</v>
      </c>
      <c r="C184" s="12">
        <v>0.63194444444444398</v>
      </c>
      <c r="D184" s="13">
        <f>Weekly!C186</f>
        <v>0</v>
      </c>
      <c r="E184" s="13" t="str">
        <f t="shared" si="53"/>
        <v/>
      </c>
      <c r="F184" s="13" t="str">
        <f t="shared" si="56"/>
        <v/>
      </c>
      <c r="G184" s="13" t="str">
        <f t="shared" si="54"/>
        <v/>
      </c>
      <c r="H184" s="13" t="str">
        <f t="shared" si="55"/>
        <v/>
      </c>
      <c r="I184" s="14" t="str">
        <f t="array" ref="I184">IF(getRGB1(Weekly!C186)="FFFF00","초방","재방")</f>
        <v>재방</v>
      </c>
      <c r="K184" s="30">
        <f t="shared" si="44"/>
        <v>45921.083333333336</v>
      </c>
      <c r="L184" s="31">
        <f t="shared" si="45"/>
        <v>45921</v>
      </c>
      <c r="M184" s="32">
        <f t="shared" si="46"/>
        <v>8.3333333333333301E-2</v>
      </c>
      <c r="N184" s="32">
        <f t="shared" si="47"/>
        <v>2.7777777773735579E-2</v>
      </c>
      <c r="O184" s="13" t="str">
        <f t="shared" si="48"/>
        <v>휴먼다큐 시장사람들</v>
      </c>
      <c r="P184" s="33">
        <f t="shared" si="49"/>
        <v>21</v>
      </c>
      <c r="Q184" s="14" t="str">
        <f t="shared" si="50"/>
        <v/>
      </c>
      <c r="R184" s="14" t="str">
        <f t="shared" si="51"/>
        <v>재방</v>
      </c>
      <c r="S184" s="14" t="str">
        <f>IF(O184&lt;&gt;"",VLOOKUP(O184,P.Info!$A$2:$B$150,2,0),"")</f>
        <v>주편성</v>
      </c>
    </row>
    <row r="185" spans="1:19" ht="11.25" customHeight="1" x14ac:dyDescent="0.3">
      <c r="A185" s="10" t="str">
        <f t="shared" si="52"/>
        <v/>
      </c>
      <c r="B185" s="11">
        <f>Weekly!$C$3</f>
        <v>45915</v>
      </c>
      <c r="C185" s="12">
        <v>0.63541666666666696</v>
      </c>
      <c r="D185" s="13">
        <f>Weekly!C187</f>
        <v>0</v>
      </c>
      <c r="E185" s="13" t="str">
        <f t="shared" si="53"/>
        <v/>
      </c>
      <c r="F185" s="13" t="str">
        <f t="shared" si="56"/>
        <v/>
      </c>
      <c r="G185" s="13" t="str">
        <f t="shared" si="54"/>
        <v/>
      </c>
      <c r="H185" s="13" t="str">
        <f t="shared" si="55"/>
        <v/>
      </c>
      <c r="I185" s="14" t="str">
        <f t="array" ref="I185">IF(getRGB1(Weekly!C187)="FFFF00","초방","재방")</f>
        <v>재방</v>
      </c>
      <c r="K185" s="30">
        <f t="shared" si="44"/>
        <v>45921.111111111109</v>
      </c>
      <c r="L185" s="31">
        <f t="shared" si="45"/>
        <v>45921</v>
      </c>
      <c r="M185" s="32">
        <f t="shared" si="46"/>
        <v>0.11111111111111099</v>
      </c>
      <c r="N185" s="32">
        <f t="shared" si="47"/>
        <v>4.1666666671517305E-2</v>
      </c>
      <c r="O185" s="13" t="str">
        <f t="shared" si="48"/>
        <v>최선규의 이제는 지방시대 시즌2</v>
      </c>
      <c r="P185" s="33">
        <f t="shared" si="49"/>
        <v>10</v>
      </c>
      <c r="Q185" s="14" t="str">
        <f t="shared" si="50"/>
        <v/>
      </c>
      <c r="R185" s="14" t="str">
        <f t="shared" si="51"/>
        <v>재방</v>
      </c>
      <c r="S185" s="14" t="str">
        <f>IF(O185&lt;&gt;"",VLOOKUP(O185,P.Info!$A$2:$B$150,2,0),"")</f>
        <v>주편성</v>
      </c>
    </row>
    <row r="186" spans="1:19" ht="11.25" customHeight="1" x14ac:dyDescent="0.3">
      <c r="A186" s="10" t="str">
        <f t="shared" si="52"/>
        <v/>
      </c>
      <c r="B186" s="11">
        <f>Weekly!$C$3</f>
        <v>45915</v>
      </c>
      <c r="C186" s="12">
        <v>0.63888888888888895</v>
      </c>
      <c r="D186" s="13">
        <f>Weekly!C188</f>
        <v>0</v>
      </c>
      <c r="E186" s="13" t="str">
        <f t="shared" si="53"/>
        <v/>
      </c>
      <c r="F186" s="13" t="str">
        <f t="shared" si="56"/>
        <v/>
      </c>
      <c r="G186" s="13" t="str">
        <f t="shared" si="54"/>
        <v/>
      </c>
      <c r="H186" s="13" t="str">
        <f t="shared" si="55"/>
        <v/>
      </c>
      <c r="I186" s="14" t="str">
        <f t="array" ref="I186">IF(getRGB1(Weekly!C188)="FFFF00","초방","재방")</f>
        <v>재방</v>
      </c>
      <c r="K186" s="30">
        <f t="shared" si="44"/>
        <v>45921.152777777781</v>
      </c>
      <c r="L186" s="31">
        <f t="shared" si="45"/>
        <v>45921</v>
      </c>
      <c r="M186" s="32">
        <f t="shared" si="46"/>
        <v>0.15277777777777801</v>
      </c>
      <c r="N186" s="32">
        <f t="shared" si="47"/>
        <v>4.1666666664241347E-2</v>
      </c>
      <c r="O186" s="13" t="str">
        <f t="shared" si="48"/>
        <v>태군노래자랑</v>
      </c>
      <c r="P186" s="33">
        <f t="shared" si="49"/>
        <v>14</v>
      </c>
      <c r="Q186" s="14" t="str">
        <f t="shared" si="50"/>
        <v/>
      </c>
      <c r="R186" s="14" t="str">
        <f t="shared" si="51"/>
        <v>재방</v>
      </c>
      <c r="S186" s="14" t="str">
        <f>IF(O186&lt;&gt;"",VLOOKUP(O186,P.Info!$A$2:$B$150,2,0),"")</f>
        <v>주편성</v>
      </c>
    </row>
    <row r="187" spans="1:19" ht="11.25" customHeight="1" x14ac:dyDescent="0.3">
      <c r="A187" s="10" t="str">
        <f t="shared" si="52"/>
        <v/>
      </c>
      <c r="B187" s="11">
        <f>Weekly!$C$3</f>
        <v>45915</v>
      </c>
      <c r="C187" s="12">
        <v>0.64236111111111105</v>
      </c>
      <c r="D187" s="13">
        <f>Weekly!C189</f>
        <v>0</v>
      </c>
      <c r="E187" s="13" t="str">
        <f t="shared" si="53"/>
        <v/>
      </c>
      <c r="F187" s="13" t="str">
        <f t="shared" si="56"/>
        <v/>
      </c>
      <c r="G187" s="13" t="str">
        <f t="shared" si="54"/>
        <v/>
      </c>
      <c r="H187" s="13" t="str">
        <f t="shared" si="55"/>
        <v/>
      </c>
      <c r="I187" s="14" t="str">
        <f t="array" ref="I187">IF(getRGB1(Weekly!C189)="FFFF00","초방","재방")</f>
        <v>재방</v>
      </c>
      <c r="K187" s="30">
        <f t="shared" si="44"/>
        <v>45921.194444444445</v>
      </c>
      <c r="L187" s="31">
        <f t="shared" si="45"/>
        <v>45921</v>
      </c>
      <c r="M187" s="32">
        <f t="shared" si="46"/>
        <v>0.194444444444444</v>
      </c>
      <c r="N187" s="32">
        <f t="shared" si="47"/>
        <v>2.0833333335758653E-2</v>
      </c>
      <c r="O187" s="13" t="str">
        <f t="shared" si="48"/>
        <v>NEWS4</v>
      </c>
      <c r="P187" s="33">
        <f t="shared" si="49"/>
        <v>64</v>
      </c>
      <c r="Q187" s="14" t="str">
        <f t="shared" si="50"/>
        <v/>
      </c>
      <c r="R187" s="14" t="str">
        <f t="shared" si="51"/>
        <v>재방</v>
      </c>
      <c r="S187" s="14" t="str">
        <f>IF(O187&lt;&gt;"",VLOOKUP(O187,P.Info!$A$2:$B$150,2,0),"")</f>
        <v>주편성</v>
      </c>
    </row>
    <row r="188" spans="1:19" ht="11.25" customHeight="1" x14ac:dyDescent="0.3">
      <c r="A188" s="10" t="str">
        <f t="shared" si="52"/>
        <v/>
      </c>
      <c r="B188" s="11">
        <f>Weekly!$C$3</f>
        <v>45915</v>
      </c>
      <c r="C188" s="12">
        <v>0.64583333333333304</v>
      </c>
      <c r="D188" s="13">
        <f>Weekly!C190</f>
        <v>0</v>
      </c>
      <c r="E188" s="13" t="str">
        <f t="shared" si="53"/>
        <v/>
      </c>
      <c r="F188" s="13" t="str">
        <f t="shared" si="56"/>
        <v/>
      </c>
      <c r="G188" s="13" t="str">
        <f t="shared" si="54"/>
        <v/>
      </c>
      <c r="H188" s="13" t="str">
        <f t="shared" si="55"/>
        <v/>
      </c>
      <c r="I188" s="14" t="str">
        <f t="array" ref="I188">IF(getRGB1(Weekly!C190)="FFFF00","초방","재방")</f>
        <v>재방</v>
      </c>
      <c r="K188" s="30">
        <f t="shared" si="44"/>
        <v>45921.215277777781</v>
      </c>
      <c r="L188" s="31">
        <f t="shared" si="45"/>
        <v>45921</v>
      </c>
      <c r="M188" s="32">
        <f t="shared" si="46"/>
        <v>0.21527777777777801</v>
      </c>
      <c r="N188" s="32">
        <f t="shared" si="47"/>
        <v>4.1666666664241347E-2</v>
      </c>
      <c r="O188" s="13" t="str">
        <f t="shared" si="48"/>
        <v>내삶을바꾸는정책</v>
      </c>
      <c r="P188" s="33">
        <f t="shared" si="49"/>
        <v>2195</v>
      </c>
      <c r="Q188" s="14" t="str">
        <f t="shared" si="50"/>
        <v/>
      </c>
      <c r="R188" s="14" t="str">
        <f t="shared" si="51"/>
        <v>초방</v>
      </c>
      <c r="S188" s="14" t="str">
        <f>IF(O188&lt;&gt;"",VLOOKUP(O188,P.Info!$A$2:$B$150,2,0),"")</f>
        <v>주편성</v>
      </c>
    </row>
    <row r="189" spans="1:19" ht="11.25" customHeight="1" x14ac:dyDescent="0.3">
      <c r="A189" s="10" t="str">
        <f t="shared" si="52"/>
        <v/>
      </c>
      <c r="B189" s="11">
        <f>Weekly!$C$3</f>
        <v>45915</v>
      </c>
      <c r="C189" s="12">
        <v>0.64930555555555503</v>
      </c>
      <c r="D189" s="13">
        <f>Weekly!C191</f>
        <v>0</v>
      </c>
      <c r="E189" s="13" t="str">
        <f t="shared" si="53"/>
        <v/>
      </c>
      <c r="F189" s="13" t="str">
        <f t="shared" si="56"/>
        <v/>
      </c>
      <c r="G189" s="13" t="str">
        <f t="shared" si="54"/>
        <v/>
      </c>
      <c r="H189" s="13" t="str">
        <f t="shared" si="55"/>
        <v/>
      </c>
      <c r="I189" s="14" t="str">
        <f t="array" ref="I189">IF(getRGB1(Weekly!C191)="FFFF00","초방","재방")</f>
        <v>재방</v>
      </c>
      <c r="K189" s="30">
        <f t="shared" si="44"/>
        <v>45921.256944444445</v>
      </c>
      <c r="L189" s="31">
        <f t="shared" si="45"/>
        <v>45921</v>
      </c>
      <c r="M189" s="32">
        <f t="shared" si="46"/>
        <v>0.25694444444444398</v>
      </c>
      <c r="N189" s="32">
        <f t="shared" si="47"/>
        <v>3.4722222218988463E-2</v>
      </c>
      <c r="O189" s="13" t="str">
        <f t="shared" si="48"/>
        <v>지금은 지방시대</v>
      </c>
      <c r="P189" s="33">
        <f t="shared" si="49"/>
        <v>190</v>
      </c>
      <c r="Q189" s="14" t="str">
        <f t="shared" si="50"/>
        <v/>
      </c>
      <c r="R189" s="14" t="str">
        <f t="shared" si="51"/>
        <v>재방</v>
      </c>
      <c r="S189" s="14" t="str">
        <f>IF(O189&lt;&gt;"",VLOOKUP(O189,P.Info!$A$2:$B$150,2,0),"")</f>
        <v>주편성</v>
      </c>
    </row>
    <row r="190" spans="1:19" ht="11.25" customHeight="1" x14ac:dyDescent="0.3">
      <c r="A190" s="10" t="str">
        <f t="shared" si="52"/>
        <v/>
      </c>
      <c r="B190" s="11">
        <f>Weekly!$C$3</f>
        <v>45915</v>
      </c>
      <c r="C190" s="12">
        <v>0.65277777777777801</v>
      </c>
      <c r="D190" s="13">
        <f>Weekly!C192</f>
        <v>0</v>
      </c>
      <c r="E190" s="13" t="str">
        <f t="shared" si="53"/>
        <v/>
      </c>
      <c r="F190" s="13" t="str">
        <f t="shared" si="56"/>
        <v/>
      </c>
      <c r="G190" s="13" t="str">
        <f t="shared" si="54"/>
        <v/>
      </c>
      <c r="H190" s="13" t="str">
        <f t="shared" si="55"/>
        <v/>
      </c>
      <c r="I190" s="14" t="str">
        <f t="array" ref="I190">IF(getRGB1(Weekly!C192)="FFFF00","초방","재방")</f>
        <v>재방</v>
      </c>
      <c r="K190" s="30">
        <f t="shared" si="44"/>
        <v>45921.291666666664</v>
      </c>
      <c r="L190" s="31">
        <f t="shared" si="45"/>
        <v>45921</v>
      </c>
      <c r="M190" s="32">
        <f t="shared" si="46"/>
        <v>0.29166666666666702</v>
      </c>
      <c r="N190" s="32">
        <f t="shared" si="47"/>
        <v>4.1666666671517305E-2</v>
      </c>
      <c r="O190" s="13" t="str">
        <f t="shared" si="48"/>
        <v>최선규의 이제는 지방시대</v>
      </c>
      <c r="P190" s="33">
        <f t="shared" si="49"/>
        <v>4</v>
      </c>
      <c r="Q190" s="14" t="str">
        <f t="shared" si="50"/>
        <v/>
      </c>
      <c r="R190" s="14" t="str">
        <f t="shared" si="51"/>
        <v>재방</v>
      </c>
      <c r="S190" s="14" t="str">
        <f>IF(O190&lt;&gt;"",VLOOKUP(O190,P.Info!$A$2:$B$150,2,0),"")</f>
        <v>주편성</v>
      </c>
    </row>
    <row r="191" spans="1:19" ht="11.25" customHeight="1" x14ac:dyDescent="0.3">
      <c r="A191" s="10" t="str">
        <f t="shared" si="52"/>
        <v/>
      </c>
      <c r="B191" s="11">
        <f>Weekly!$C$3</f>
        <v>45915</v>
      </c>
      <c r="C191" s="12">
        <v>0.65625</v>
      </c>
      <c r="D191" s="13">
        <f>Weekly!C193</f>
        <v>0</v>
      </c>
      <c r="E191" s="13" t="str">
        <f t="shared" si="53"/>
        <v/>
      </c>
      <c r="F191" s="13" t="str">
        <f t="shared" si="56"/>
        <v/>
      </c>
      <c r="G191" s="13" t="str">
        <f t="shared" si="54"/>
        <v/>
      </c>
      <c r="H191" s="13" t="str">
        <f t="shared" si="55"/>
        <v/>
      </c>
      <c r="I191" s="14" t="str">
        <f t="array" ref="I191">IF(getRGB1(Weekly!C193)="FFFF00","초방","재방")</f>
        <v>재방</v>
      </c>
      <c r="K191" s="30">
        <f t="shared" si="44"/>
        <v>45921.333333333336</v>
      </c>
      <c r="L191" s="31">
        <f t="shared" si="45"/>
        <v>45921</v>
      </c>
      <c r="M191" s="32">
        <f t="shared" si="46"/>
        <v>0.33333333333333298</v>
      </c>
      <c r="N191" s="32">
        <f t="shared" si="47"/>
        <v>2.0833333328482695E-2</v>
      </c>
      <c r="O191" s="13" t="str">
        <f t="shared" si="48"/>
        <v>NEWSPLUS</v>
      </c>
      <c r="P191" s="33">
        <f t="shared" si="49"/>
        <v>64</v>
      </c>
      <c r="Q191" s="14" t="str">
        <f t="shared" si="50"/>
        <v/>
      </c>
      <c r="R191" s="14" t="str">
        <f t="shared" si="51"/>
        <v>재방</v>
      </c>
      <c r="S191" s="14" t="str">
        <f>IF(O191&lt;&gt;"",VLOOKUP(O191,P.Info!$A$2:$B$150,2,0),"")</f>
        <v>주편성</v>
      </c>
    </row>
    <row r="192" spans="1:19" ht="11.25" customHeight="1" x14ac:dyDescent="0.3">
      <c r="A192" s="10" t="str">
        <f t="shared" si="52"/>
        <v/>
      </c>
      <c r="B192" s="11">
        <f>Weekly!$C$3</f>
        <v>45915</v>
      </c>
      <c r="C192" s="12">
        <v>0.65972222222222199</v>
      </c>
      <c r="D192" s="13">
        <f>Weekly!C194</f>
        <v>0</v>
      </c>
      <c r="E192" s="13" t="str">
        <f t="shared" si="53"/>
        <v/>
      </c>
      <c r="F192" s="13" t="str">
        <f t="shared" si="56"/>
        <v/>
      </c>
      <c r="G192" s="13" t="str">
        <f t="shared" si="54"/>
        <v/>
      </c>
      <c r="H192" s="13" t="str">
        <f t="shared" si="55"/>
        <v/>
      </c>
      <c r="I192" s="14" t="str">
        <f t="array" ref="I192">IF(getRGB1(Weekly!C194)="FFFF00","초방","재방")</f>
        <v>재방</v>
      </c>
      <c r="K192" s="30">
        <f t="shared" si="44"/>
        <v>45921.354166666664</v>
      </c>
      <c r="L192" s="31">
        <f t="shared" si="45"/>
        <v>45921</v>
      </c>
      <c r="M192" s="32">
        <f t="shared" si="46"/>
        <v>0.35416666666666702</v>
      </c>
      <c r="N192" s="32">
        <f t="shared" si="47"/>
        <v>3.4722222226264421E-2</v>
      </c>
      <c r="O192" s="13" t="str">
        <f t="shared" si="48"/>
        <v>남도스럽게</v>
      </c>
      <c r="P192" s="33">
        <f t="shared" si="49"/>
        <v>3</v>
      </c>
      <c r="Q192" s="14" t="str">
        <f t="shared" si="50"/>
        <v/>
      </c>
      <c r="R192" s="14" t="str">
        <f t="shared" si="51"/>
        <v>재방</v>
      </c>
      <c r="S192" s="14" t="str">
        <f>IF(O192&lt;&gt;"",VLOOKUP(O192,P.Info!$A$2:$B$150,2,0),"")</f>
        <v>주편성</v>
      </c>
    </row>
    <row r="193" spans="1:19" ht="11.25" customHeight="1" x14ac:dyDescent="0.3">
      <c r="A193" s="10" t="str">
        <f t="shared" si="52"/>
        <v/>
      </c>
      <c r="B193" s="11">
        <f>Weekly!$C$3</f>
        <v>45915</v>
      </c>
      <c r="C193" s="12">
        <v>0.66319444444444398</v>
      </c>
      <c r="D193" s="13">
        <f>Weekly!C195</f>
        <v>0</v>
      </c>
      <c r="E193" s="13" t="str">
        <f t="shared" si="53"/>
        <v/>
      </c>
      <c r="F193" s="13" t="str">
        <f t="shared" si="56"/>
        <v/>
      </c>
      <c r="G193" s="13" t="str">
        <f t="shared" si="54"/>
        <v/>
      </c>
      <c r="H193" s="13" t="str">
        <f t="shared" si="55"/>
        <v/>
      </c>
      <c r="I193" s="14" t="str">
        <f t="array" ref="I193">IF(getRGB1(Weekly!C195)="FFFF00","초방","재방")</f>
        <v>재방</v>
      </c>
      <c r="K193" s="30">
        <f t="shared" si="44"/>
        <v>45921.388888888891</v>
      </c>
      <c r="L193" s="31">
        <f t="shared" si="45"/>
        <v>45921</v>
      </c>
      <c r="M193" s="32">
        <f t="shared" si="46"/>
        <v>0.38888888888888901</v>
      </c>
      <c r="N193" s="32">
        <f t="shared" si="47"/>
        <v>2.7777777773735579E-2</v>
      </c>
      <c r="O193" s="13" t="str">
        <f t="shared" si="48"/>
        <v>눈에 띄는 그녀들 시즌5</v>
      </c>
      <c r="P193" s="33">
        <f t="shared" si="49"/>
        <v>3</v>
      </c>
      <c r="Q193" s="14" t="str">
        <f t="shared" si="50"/>
        <v/>
      </c>
      <c r="R193" s="14" t="str">
        <f t="shared" si="51"/>
        <v>재방</v>
      </c>
      <c r="S193" s="14" t="str">
        <f>IF(O193&lt;&gt;"",VLOOKUP(O193,P.Info!$A$2:$B$150,2,0),"")</f>
        <v>주편성</v>
      </c>
    </row>
    <row r="194" spans="1:19" ht="11.25" customHeight="1" x14ac:dyDescent="0.3">
      <c r="A194" s="10">
        <f t="shared" si="52"/>
        <v>45915.666666666664</v>
      </c>
      <c r="B194" s="11">
        <f>Weekly!$C$3</f>
        <v>45915</v>
      </c>
      <c r="C194" s="12">
        <v>0.66666666666666696</v>
      </c>
      <c r="D194" s="13" t="str">
        <f>Weekly!C196</f>
        <v xml:space="preserve"> NEWS4
&lt;63</v>
      </c>
      <c r="E194" s="13" t="str">
        <f t="shared" si="53"/>
        <v>NEWS4</v>
      </c>
      <c r="F194" s="13">
        <f t="shared" si="56"/>
        <v>63</v>
      </c>
      <c r="G194" s="13" t="str">
        <f t="shared" si="54"/>
        <v/>
      </c>
      <c r="H194" s="13" t="str">
        <f t="shared" si="55"/>
        <v/>
      </c>
      <c r="I194" s="14" t="str">
        <f t="array" ref="I194">IF(getRGB1(Weekly!C196)="FFFF00","초방","재방")</f>
        <v>재방</v>
      </c>
      <c r="K194" s="30">
        <f t="shared" si="44"/>
        <v>45921.416666666664</v>
      </c>
      <c r="L194" s="31">
        <f t="shared" si="45"/>
        <v>45921</v>
      </c>
      <c r="M194" s="32">
        <f t="shared" si="46"/>
        <v>0.41666666666666702</v>
      </c>
      <c r="N194" s="32">
        <f t="shared" si="47"/>
        <v>4.1666666671517305E-2</v>
      </c>
      <c r="O194" s="13" t="str">
        <f t="shared" si="48"/>
        <v>지방자치TV 스페셜</v>
      </c>
      <c r="P194" s="33">
        <f t="shared" si="49"/>
        <v>21</v>
      </c>
      <c r="Q194" s="14" t="str">
        <f t="shared" si="50"/>
        <v/>
      </c>
      <c r="R194" s="14" t="str">
        <f t="shared" si="51"/>
        <v>재방</v>
      </c>
      <c r="S194" s="14" t="str">
        <f>IF(O194&lt;&gt;"",VLOOKUP(O194,P.Info!$A$2:$B$150,2,0),"")</f>
        <v>주편성</v>
      </c>
    </row>
    <row r="195" spans="1:19" ht="11.25" customHeight="1" x14ac:dyDescent="0.3">
      <c r="A195" s="10" t="str">
        <f t="shared" si="52"/>
        <v/>
      </c>
      <c r="B195" s="11">
        <f>Weekly!$C$3</f>
        <v>45915</v>
      </c>
      <c r="C195" s="12">
        <v>0.67013888888888895</v>
      </c>
      <c r="D195" s="13">
        <f>Weekly!C197</f>
        <v>0</v>
      </c>
      <c r="E195" s="13" t="str">
        <f t="shared" si="53"/>
        <v/>
      </c>
      <c r="F195" s="13" t="str">
        <f t="shared" si="56"/>
        <v/>
      </c>
      <c r="G195" s="13" t="str">
        <f t="shared" si="54"/>
        <v/>
      </c>
      <c r="H195" s="13" t="str">
        <f t="shared" si="55"/>
        <v/>
      </c>
      <c r="I195" s="14" t="str">
        <f t="array" ref="I195">IF(getRGB1(Weekly!C197)="FFFF00","초방","재방")</f>
        <v>재방</v>
      </c>
      <c r="K195" s="30">
        <f t="shared" ref="K195:K258" si="57">IFERROR(SMALL(A:A,ROW(A194)),"")</f>
        <v>45921.458333333336</v>
      </c>
      <c r="L195" s="31">
        <f t="shared" ref="L195:L258" si="58">IF(K195&lt;&gt;"",VLOOKUP(K195,$A$2:$H$2017,2,0),"")</f>
        <v>45921</v>
      </c>
      <c r="M195" s="32">
        <f t="shared" ref="M195:M258" si="59">IF(K195&lt;&gt;"",VLOOKUP(K195,$A$2:$H$2017,3,0),"")</f>
        <v>0.45833333333333298</v>
      </c>
      <c r="N195" s="32">
        <f t="shared" ref="N195:N258" si="60">IFERROR(IF(L196&lt;&gt;"",(L196+M196)-(L195+M195),(LARGE(L:L,1)+1)-(L195+M195)),"")</f>
        <v>4.1666666664241347E-2</v>
      </c>
      <c r="O195" s="13" t="str">
        <f t="shared" ref="O195:O258" si="61">VLOOKUP(K195,$A$2:$H$2017,5,0)</f>
        <v>지방자치TV 스페셜</v>
      </c>
      <c r="P195" s="33">
        <f t="shared" ref="P195:P258" si="62">VLOOKUP(K195,$A$2:$H$2017,6,0)</f>
        <v>22</v>
      </c>
      <c r="Q195" s="14" t="str">
        <f t="shared" ref="Q195:Q258" si="63">IFERROR(IF(FIND("⑮",O195)&gt;1,"15세",""),"")</f>
        <v/>
      </c>
      <c r="R195" s="14" t="str">
        <f t="shared" ref="R195:R258" si="64">IF(K195&lt;&gt;"",VLOOKUP(K195,$A$2:$I$2017,9,0),"")</f>
        <v>재방</v>
      </c>
      <c r="S195" s="14" t="str">
        <f>IF(O195&lt;&gt;"",VLOOKUP(O195,P.Info!$A$2:$B$150,2,0),"")</f>
        <v>주편성</v>
      </c>
    </row>
    <row r="196" spans="1:19" ht="11.25" customHeight="1" x14ac:dyDescent="0.3">
      <c r="A196" s="10" t="str">
        <f t="shared" si="52"/>
        <v/>
      </c>
      <c r="B196" s="11">
        <f>Weekly!$C$3</f>
        <v>45915</v>
      </c>
      <c r="C196" s="12">
        <v>0.67361111111111105</v>
      </c>
      <c r="D196" s="13">
        <f>Weekly!C198</f>
        <v>0</v>
      </c>
      <c r="E196" s="13" t="str">
        <f t="shared" si="53"/>
        <v/>
      </c>
      <c r="F196" s="13" t="str">
        <f t="shared" si="56"/>
        <v/>
      </c>
      <c r="G196" s="13" t="str">
        <f t="shared" si="54"/>
        <v/>
      </c>
      <c r="H196" s="13" t="str">
        <f t="shared" si="55"/>
        <v/>
      </c>
      <c r="I196" s="14" t="str">
        <f t="array" ref="I196">IF(getRGB1(Weekly!C198)="FFFF00","초방","재방")</f>
        <v>재방</v>
      </c>
      <c r="K196" s="30">
        <f t="shared" si="57"/>
        <v>45921.5</v>
      </c>
      <c r="L196" s="31">
        <f t="shared" si="58"/>
        <v>45921</v>
      </c>
      <c r="M196" s="32">
        <f t="shared" si="59"/>
        <v>0.5</v>
      </c>
      <c r="N196" s="32">
        <f t="shared" si="60"/>
        <v>4.1666666664241347E-2</v>
      </c>
      <c r="O196" s="13" t="str">
        <f t="shared" si="61"/>
        <v>행복무지개</v>
      </c>
      <c r="P196" s="33">
        <f t="shared" si="62"/>
        <v>31</v>
      </c>
      <c r="Q196" s="14" t="str">
        <f t="shared" si="63"/>
        <v/>
      </c>
      <c r="R196" s="14" t="str">
        <f t="shared" si="64"/>
        <v>재방</v>
      </c>
      <c r="S196" s="14" t="str">
        <f>IF(O196&lt;&gt;"",VLOOKUP(O196,P.Info!$A$2:$B$150,2,0),"")</f>
        <v>주편성</v>
      </c>
    </row>
    <row r="197" spans="1:19" ht="11.25" customHeight="1" x14ac:dyDescent="0.3">
      <c r="A197" s="10" t="str">
        <f t="shared" si="52"/>
        <v/>
      </c>
      <c r="B197" s="11">
        <f>Weekly!$C$3</f>
        <v>45915</v>
      </c>
      <c r="C197" s="12">
        <v>0.67708333333333304</v>
      </c>
      <c r="D197" s="13">
        <f>Weekly!C199</f>
        <v>0</v>
      </c>
      <c r="E197" s="13" t="str">
        <f t="shared" si="53"/>
        <v/>
      </c>
      <c r="F197" s="13" t="str">
        <f t="shared" si="56"/>
        <v/>
      </c>
      <c r="G197" s="13" t="str">
        <f t="shared" si="54"/>
        <v/>
      </c>
      <c r="H197" s="13" t="str">
        <f t="shared" si="55"/>
        <v/>
      </c>
      <c r="I197" s="14" t="str">
        <f t="array" ref="I197">IF(getRGB1(Weekly!C199)="FFFF00","초방","재방")</f>
        <v>재방</v>
      </c>
      <c r="K197" s="30">
        <f t="shared" si="57"/>
        <v>45921.541666666664</v>
      </c>
      <c r="L197" s="31">
        <f t="shared" si="58"/>
        <v>45921</v>
      </c>
      <c r="M197" s="32">
        <f t="shared" si="59"/>
        <v>0.54166666666666696</v>
      </c>
      <c r="N197" s="32">
        <f t="shared" si="60"/>
        <v>2.0833333335758653E-2</v>
      </c>
      <c r="O197" s="13" t="str">
        <f t="shared" si="61"/>
        <v>NEWSJ</v>
      </c>
      <c r="P197" s="33">
        <f t="shared" si="62"/>
        <v>67</v>
      </c>
      <c r="Q197" s="14" t="str">
        <f t="shared" si="63"/>
        <v/>
      </c>
      <c r="R197" s="14" t="str">
        <f t="shared" si="64"/>
        <v>재방</v>
      </c>
      <c r="S197" s="14" t="str">
        <f>IF(O197&lt;&gt;"",VLOOKUP(O197,P.Info!$A$2:$B$150,2,0),"")</f>
        <v>주편성</v>
      </c>
    </row>
    <row r="198" spans="1:19" ht="11.25" customHeight="1" x14ac:dyDescent="0.3">
      <c r="A198" s="10" t="str">
        <f t="shared" si="52"/>
        <v/>
      </c>
      <c r="B198" s="11">
        <f>Weekly!$C$3</f>
        <v>45915</v>
      </c>
      <c r="C198" s="12">
        <v>0.68055555555555503</v>
      </c>
      <c r="D198" s="13">
        <f>Weekly!C200</f>
        <v>0</v>
      </c>
      <c r="E198" s="13" t="str">
        <f t="shared" si="53"/>
        <v/>
      </c>
      <c r="F198" s="13" t="str">
        <f t="shared" si="56"/>
        <v/>
      </c>
      <c r="G198" s="13" t="str">
        <f t="shared" si="54"/>
        <v/>
      </c>
      <c r="H198" s="13" t="str">
        <f t="shared" si="55"/>
        <v/>
      </c>
      <c r="I198" s="14" t="str">
        <f t="array" ref="I198">IF(getRGB1(Weekly!C200)="FFFF00","초방","재방")</f>
        <v>재방</v>
      </c>
      <c r="K198" s="30">
        <f t="shared" si="57"/>
        <v>45921.5625</v>
      </c>
      <c r="L198" s="31">
        <f t="shared" si="58"/>
        <v>45921</v>
      </c>
      <c r="M198" s="32">
        <f t="shared" si="59"/>
        <v>0.5625</v>
      </c>
      <c r="N198" s="32">
        <f t="shared" si="60"/>
        <v>2.0833333335758653E-2</v>
      </c>
      <c r="O198" s="13" t="str">
        <f t="shared" si="61"/>
        <v>더 人터뷰</v>
      </c>
      <c r="P198" s="33">
        <f t="shared" si="62"/>
        <v>54</v>
      </c>
      <c r="Q198" s="14" t="str">
        <f t="shared" si="63"/>
        <v/>
      </c>
      <c r="R198" s="14" t="str">
        <f t="shared" si="64"/>
        <v>재방</v>
      </c>
      <c r="S198" s="14" t="str">
        <f>IF(O198&lt;&gt;"",VLOOKUP(O198,P.Info!$A$2:$B$150,2,0),"")</f>
        <v>주편성</v>
      </c>
    </row>
    <row r="199" spans="1:19" ht="11.25" customHeight="1" x14ac:dyDescent="0.3">
      <c r="A199" s="10" t="str">
        <f t="shared" si="52"/>
        <v/>
      </c>
      <c r="B199" s="11">
        <f>Weekly!$C$3</f>
        <v>45915</v>
      </c>
      <c r="C199" s="12">
        <v>0.68402777777777801</v>
      </c>
      <c r="D199" s="13">
        <f>Weekly!C201</f>
        <v>0</v>
      </c>
      <c r="E199" s="13" t="str">
        <f t="shared" si="53"/>
        <v/>
      </c>
      <c r="F199" s="13" t="str">
        <f t="shared" si="56"/>
        <v/>
      </c>
      <c r="G199" s="13" t="str">
        <f t="shared" si="54"/>
        <v/>
      </c>
      <c r="H199" s="13" t="str">
        <f t="shared" si="55"/>
        <v/>
      </c>
      <c r="I199" s="14" t="str">
        <f t="array" ref="I199">IF(getRGB1(Weekly!C201)="FFFF00","초방","재방")</f>
        <v>재방</v>
      </c>
      <c r="K199" s="30">
        <f t="shared" si="57"/>
        <v>45921.583333333336</v>
      </c>
      <c r="L199" s="31">
        <f t="shared" si="58"/>
        <v>45921</v>
      </c>
      <c r="M199" s="32">
        <f t="shared" si="59"/>
        <v>0.58333333333333304</v>
      </c>
      <c r="N199" s="32">
        <f t="shared" si="60"/>
        <v>4.1666666664241347E-2</v>
      </c>
      <c r="O199" s="13" t="str">
        <f t="shared" si="61"/>
        <v>지방자치TV 스페셜</v>
      </c>
      <c r="P199" s="33">
        <f t="shared" si="62"/>
        <v>23</v>
      </c>
      <c r="Q199" s="14" t="str">
        <f t="shared" si="63"/>
        <v/>
      </c>
      <c r="R199" s="14" t="str">
        <f t="shared" si="64"/>
        <v>재방</v>
      </c>
      <c r="S199" s="14" t="str">
        <f>IF(O199&lt;&gt;"",VLOOKUP(O199,P.Info!$A$2:$B$150,2,0),"")</f>
        <v>주편성</v>
      </c>
    </row>
    <row r="200" spans="1:19" ht="11.25" customHeight="1" x14ac:dyDescent="0.3">
      <c r="A200" s="10">
        <f t="shared" si="52"/>
        <v>45915.6875</v>
      </c>
      <c r="B200" s="11">
        <f>Weekly!$C$3</f>
        <v>45915</v>
      </c>
      <c r="C200" s="12">
        <v>0.6875</v>
      </c>
      <c r="D200" s="13" t="str">
        <f>Weekly!C202</f>
        <v>호남, 호남人
&lt;130</v>
      </c>
      <c r="E200" s="13" t="str">
        <f t="shared" si="53"/>
        <v>호남, 호남人</v>
      </c>
      <c r="F200" s="13">
        <f t="shared" si="56"/>
        <v>130</v>
      </c>
      <c r="G200" s="13" t="str">
        <f t="shared" si="54"/>
        <v/>
      </c>
      <c r="H200" s="13" t="str">
        <f t="shared" si="55"/>
        <v/>
      </c>
      <c r="I200" s="14" t="str">
        <f t="array" ref="I200">IF(getRGB1(Weekly!C202)="FFFF00","초방","재방")</f>
        <v>재방</v>
      </c>
      <c r="K200" s="30">
        <f t="shared" si="57"/>
        <v>45921.625</v>
      </c>
      <c r="L200" s="31">
        <f t="shared" si="58"/>
        <v>45921</v>
      </c>
      <c r="M200" s="32">
        <f t="shared" si="59"/>
        <v>0.625</v>
      </c>
      <c r="N200" s="32">
        <f t="shared" si="60"/>
        <v>4.1666666664241347E-2</v>
      </c>
      <c r="O200" s="13" t="str">
        <f t="shared" si="61"/>
        <v>행복무지개</v>
      </c>
      <c r="P200" s="33">
        <f t="shared" si="62"/>
        <v>32</v>
      </c>
      <c r="Q200" s="14" t="str">
        <f t="shared" si="63"/>
        <v/>
      </c>
      <c r="R200" s="14" t="str">
        <f t="shared" si="64"/>
        <v>재방</v>
      </c>
      <c r="S200" s="14" t="str">
        <f>IF(O200&lt;&gt;"",VLOOKUP(O200,P.Info!$A$2:$B$150,2,0),"")</f>
        <v>주편성</v>
      </c>
    </row>
    <row r="201" spans="1:19" ht="11.25" customHeight="1" x14ac:dyDescent="0.3">
      <c r="A201" s="10" t="str">
        <f t="shared" si="52"/>
        <v/>
      </c>
      <c r="B201" s="11">
        <f>Weekly!$C$3</f>
        <v>45915</v>
      </c>
      <c r="C201" s="12">
        <v>0.69097222222222199</v>
      </c>
      <c r="D201" s="13">
        <f>Weekly!C203</f>
        <v>0</v>
      </c>
      <c r="E201" s="13" t="str">
        <f t="shared" si="53"/>
        <v/>
      </c>
      <c r="F201" s="13" t="str">
        <f t="shared" si="56"/>
        <v/>
      </c>
      <c r="G201" s="13" t="str">
        <f t="shared" si="54"/>
        <v/>
      </c>
      <c r="H201" s="13" t="str">
        <f t="shared" si="55"/>
        <v/>
      </c>
      <c r="I201" s="14" t="str">
        <f t="array" ref="I201">IF(getRGB1(Weekly!C203)="FFFF00","초방","재방")</f>
        <v>재방</v>
      </c>
      <c r="K201" s="30">
        <f t="shared" si="57"/>
        <v>45921.666666666664</v>
      </c>
      <c r="L201" s="31">
        <f t="shared" si="58"/>
        <v>45921</v>
      </c>
      <c r="M201" s="32">
        <f t="shared" si="59"/>
        <v>0.66666666666666696</v>
      </c>
      <c r="N201" s="32">
        <f t="shared" si="60"/>
        <v>2.0833333335758653E-2</v>
      </c>
      <c r="O201" s="13" t="str">
        <f t="shared" si="61"/>
        <v>NEWS4</v>
      </c>
      <c r="P201" s="33">
        <f t="shared" si="62"/>
        <v>64</v>
      </c>
      <c r="Q201" s="14" t="str">
        <f t="shared" si="63"/>
        <v/>
      </c>
      <c r="R201" s="14" t="str">
        <f t="shared" si="64"/>
        <v>재방</v>
      </c>
      <c r="S201" s="14" t="str">
        <f>IF(O201&lt;&gt;"",VLOOKUP(O201,P.Info!$A$2:$B$150,2,0),"")</f>
        <v>주편성</v>
      </c>
    </row>
    <row r="202" spans="1:19" ht="11.25" customHeight="1" x14ac:dyDescent="0.3">
      <c r="A202" s="10" t="str">
        <f t="shared" si="52"/>
        <v/>
      </c>
      <c r="B202" s="11">
        <f>Weekly!$C$3</f>
        <v>45915</v>
      </c>
      <c r="C202" s="12">
        <v>0.69444444444444398</v>
      </c>
      <c r="D202" s="13">
        <f>Weekly!C204</f>
        <v>0</v>
      </c>
      <c r="E202" s="13" t="str">
        <f t="shared" si="53"/>
        <v/>
      </c>
      <c r="F202" s="13" t="str">
        <f t="shared" si="56"/>
        <v/>
      </c>
      <c r="G202" s="13" t="str">
        <f t="shared" si="54"/>
        <v/>
      </c>
      <c r="H202" s="13" t="str">
        <f t="shared" si="55"/>
        <v/>
      </c>
      <c r="I202" s="14" t="str">
        <f t="array" ref="I202">IF(getRGB1(Weekly!C204)="FFFF00","초방","재방")</f>
        <v>재방</v>
      </c>
      <c r="K202" s="30">
        <f t="shared" si="57"/>
        <v>45921.6875</v>
      </c>
      <c r="L202" s="31">
        <f t="shared" si="58"/>
        <v>45921</v>
      </c>
      <c r="M202" s="32">
        <f t="shared" si="59"/>
        <v>0.6875</v>
      </c>
      <c r="N202" s="32">
        <f t="shared" si="60"/>
        <v>2.0833333335758653E-2</v>
      </c>
      <c r="O202" s="13" t="str">
        <f t="shared" si="61"/>
        <v>지금은 지방시대 강원</v>
      </c>
      <c r="P202" s="33">
        <f t="shared" si="62"/>
        <v>18</v>
      </c>
      <c r="Q202" s="14" t="str">
        <f t="shared" si="63"/>
        <v/>
      </c>
      <c r="R202" s="14" t="str">
        <f t="shared" si="64"/>
        <v>재방</v>
      </c>
      <c r="S202" s="14" t="str">
        <f>IF(O202&lt;&gt;"",VLOOKUP(O202,P.Info!$A$2:$B$150,2,0),"")</f>
        <v>주편성</v>
      </c>
    </row>
    <row r="203" spans="1:19" ht="11.25" customHeight="1" x14ac:dyDescent="0.3">
      <c r="A203" s="10" t="str">
        <f t="shared" si="52"/>
        <v/>
      </c>
      <c r="B203" s="11">
        <f>Weekly!$C$3</f>
        <v>45915</v>
      </c>
      <c r="C203" s="12">
        <v>0.69791666666666696</v>
      </c>
      <c r="D203" s="13">
        <f>Weekly!C205</f>
        <v>0</v>
      </c>
      <c r="E203" s="13" t="str">
        <f t="shared" si="53"/>
        <v/>
      </c>
      <c r="F203" s="13" t="str">
        <f t="shared" si="56"/>
        <v/>
      </c>
      <c r="G203" s="13" t="str">
        <f t="shared" si="54"/>
        <v/>
      </c>
      <c r="H203" s="13" t="str">
        <f t="shared" si="55"/>
        <v/>
      </c>
      <c r="I203" s="14" t="str">
        <f t="array" ref="I203">IF(getRGB1(Weekly!C205)="FFFF00","초방","재방")</f>
        <v>재방</v>
      </c>
      <c r="K203" s="30">
        <f t="shared" si="57"/>
        <v>45921.708333333336</v>
      </c>
      <c r="L203" s="31">
        <f t="shared" si="58"/>
        <v>45921</v>
      </c>
      <c r="M203" s="32">
        <f t="shared" si="59"/>
        <v>0.70833333333333304</v>
      </c>
      <c r="N203" s="32">
        <f t="shared" si="60"/>
        <v>4.1666666664241347E-2</v>
      </c>
      <c r="O203" s="13" t="str">
        <f t="shared" si="61"/>
        <v>최선규의 이제는 지방시대</v>
      </c>
      <c r="P203" s="33">
        <f t="shared" si="62"/>
        <v>4</v>
      </c>
      <c r="Q203" s="14" t="str">
        <f t="shared" si="63"/>
        <v/>
      </c>
      <c r="R203" s="14" t="str">
        <f t="shared" si="64"/>
        <v>재방</v>
      </c>
      <c r="S203" s="14" t="str">
        <f>IF(O203&lt;&gt;"",VLOOKUP(O203,P.Info!$A$2:$B$150,2,0),"")</f>
        <v>주편성</v>
      </c>
    </row>
    <row r="204" spans="1:19" ht="11.25" customHeight="1" x14ac:dyDescent="0.3">
      <c r="A204" s="10" t="str">
        <f t="shared" si="52"/>
        <v/>
      </c>
      <c r="B204" s="11">
        <f>Weekly!$C$3</f>
        <v>45915</v>
      </c>
      <c r="C204" s="12">
        <v>0.70138888888888895</v>
      </c>
      <c r="D204" s="13">
        <f>Weekly!C206</f>
        <v>0</v>
      </c>
      <c r="E204" s="13" t="str">
        <f t="shared" si="53"/>
        <v/>
      </c>
      <c r="F204" s="13" t="str">
        <f t="shared" si="56"/>
        <v/>
      </c>
      <c r="G204" s="13" t="str">
        <f t="shared" si="54"/>
        <v/>
      </c>
      <c r="H204" s="13" t="str">
        <f t="shared" si="55"/>
        <v/>
      </c>
      <c r="I204" s="14" t="str">
        <f t="array" ref="I204">IF(getRGB1(Weekly!C206)="FFFF00","초방","재방")</f>
        <v>재방</v>
      </c>
      <c r="K204" s="30">
        <f t="shared" si="57"/>
        <v>45921.75</v>
      </c>
      <c r="L204" s="31">
        <f t="shared" si="58"/>
        <v>45921</v>
      </c>
      <c r="M204" s="32">
        <f t="shared" si="59"/>
        <v>0.75</v>
      </c>
      <c r="N204" s="32">
        <f t="shared" si="60"/>
        <v>2.0833333335758653E-2</v>
      </c>
      <c r="O204" s="13" t="str">
        <f t="shared" si="61"/>
        <v>지방자치단체장 인터뷰</v>
      </c>
      <c r="P204" s="33">
        <f t="shared" si="62"/>
        <v>47</v>
      </c>
      <c r="Q204" s="14" t="str">
        <f t="shared" si="63"/>
        <v/>
      </c>
      <c r="R204" s="14" t="str">
        <f t="shared" si="64"/>
        <v>재방</v>
      </c>
      <c r="S204" s="14" t="str">
        <f>IF(O204&lt;&gt;"",VLOOKUP(O204,P.Info!$A$2:$B$150,2,0),"")</f>
        <v>주편성</v>
      </c>
    </row>
    <row r="205" spans="1:19" ht="11.25" customHeight="1" x14ac:dyDescent="0.3">
      <c r="A205" s="10" t="str">
        <f t="shared" si="52"/>
        <v/>
      </c>
      <c r="B205" s="11">
        <f>Weekly!$C$3</f>
        <v>45915</v>
      </c>
      <c r="C205" s="12">
        <v>0.70486111111111105</v>
      </c>
      <c r="D205" s="13">
        <f>Weekly!C207</f>
        <v>0</v>
      </c>
      <c r="E205" s="13" t="str">
        <f t="shared" si="53"/>
        <v/>
      </c>
      <c r="F205" s="13" t="str">
        <f t="shared" si="56"/>
        <v/>
      </c>
      <c r="G205" s="13" t="str">
        <f t="shared" si="54"/>
        <v/>
      </c>
      <c r="H205" s="13" t="str">
        <f t="shared" si="55"/>
        <v/>
      </c>
      <c r="I205" s="14" t="str">
        <f t="array" ref="I205">IF(getRGB1(Weekly!C207)="FFFF00","초방","재방")</f>
        <v>재방</v>
      </c>
      <c r="K205" s="30">
        <f t="shared" si="57"/>
        <v>45921.770833333336</v>
      </c>
      <c r="L205" s="31">
        <f t="shared" si="58"/>
        <v>45921</v>
      </c>
      <c r="M205" s="32">
        <f t="shared" si="59"/>
        <v>0.77083333333333304</v>
      </c>
      <c r="N205" s="32">
        <f t="shared" si="60"/>
        <v>2.0833333328482695E-2</v>
      </c>
      <c r="O205" s="13" t="str">
        <f t="shared" si="61"/>
        <v>더 人터뷰</v>
      </c>
      <c r="P205" s="33">
        <f t="shared" si="62"/>
        <v>54</v>
      </c>
      <c r="Q205" s="14" t="str">
        <f t="shared" si="63"/>
        <v/>
      </c>
      <c r="R205" s="14" t="str">
        <f t="shared" si="64"/>
        <v>재방</v>
      </c>
      <c r="S205" s="14" t="str">
        <f>IF(O205&lt;&gt;"",VLOOKUP(O205,P.Info!$A$2:$B$150,2,0),"")</f>
        <v>주편성</v>
      </c>
    </row>
    <row r="206" spans="1:19" ht="11.25" customHeight="1" x14ac:dyDescent="0.3">
      <c r="A206" s="10">
        <f t="shared" si="52"/>
        <v>45915.708333333336</v>
      </c>
      <c r="B206" s="11">
        <f>Weekly!$C$3</f>
        <v>45915</v>
      </c>
      <c r="C206" s="12">
        <v>0.70833333333333304</v>
      </c>
      <c r="D206" s="13" t="str">
        <f>Weekly!C208</f>
        <v>특집 2026 지방선거_경기도의회 생생중계_상임위
&lt;14</v>
      </c>
      <c r="E206" s="13" t="str">
        <f t="shared" si="53"/>
        <v>특집 2026 지방선거_경기도의회 생생중계_상임위</v>
      </c>
      <c r="F206" s="13">
        <f t="shared" si="56"/>
        <v>14</v>
      </c>
      <c r="G206" s="13" t="str">
        <f t="shared" si="54"/>
        <v/>
      </c>
      <c r="H206" s="13" t="str">
        <f t="shared" si="55"/>
        <v/>
      </c>
      <c r="I206" s="14" t="str">
        <f t="array" ref="I206">IF(getRGB1(Weekly!C208)="FFFF00","초방","재방")</f>
        <v>초방</v>
      </c>
      <c r="K206" s="30">
        <f t="shared" si="57"/>
        <v>45921.791666666664</v>
      </c>
      <c r="L206" s="31">
        <f t="shared" si="58"/>
        <v>45921</v>
      </c>
      <c r="M206" s="32">
        <f t="shared" si="59"/>
        <v>0.79166666666666696</v>
      </c>
      <c r="N206" s="32">
        <f t="shared" si="60"/>
        <v>4.1666666671517305E-2</v>
      </c>
      <c r="O206" s="13" t="str">
        <f t="shared" si="61"/>
        <v>더 人터뷰</v>
      </c>
      <c r="P206" s="33">
        <f t="shared" si="62"/>
        <v>4</v>
      </c>
      <c r="Q206" s="14" t="str">
        <f t="shared" si="63"/>
        <v/>
      </c>
      <c r="R206" s="14" t="str">
        <f t="shared" si="64"/>
        <v>재방</v>
      </c>
      <c r="S206" s="14" t="str">
        <f>IF(O206&lt;&gt;"",VLOOKUP(O206,P.Info!$A$2:$B$150,2,0),"")</f>
        <v>주편성</v>
      </c>
    </row>
    <row r="207" spans="1:19" ht="11.25" customHeight="1" x14ac:dyDescent="0.3">
      <c r="A207" s="10" t="str">
        <f t="shared" si="52"/>
        <v/>
      </c>
      <c r="B207" s="11">
        <f>Weekly!$C$3</f>
        <v>45915</v>
      </c>
      <c r="C207" s="12">
        <v>0.71180555555555503</v>
      </c>
      <c r="D207" s="13">
        <f>Weekly!C209</f>
        <v>0</v>
      </c>
      <c r="E207" s="13" t="str">
        <f t="shared" si="53"/>
        <v/>
      </c>
      <c r="F207" s="13" t="str">
        <f t="shared" si="56"/>
        <v/>
      </c>
      <c r="G207" s="13" t="str">
        <f t="shared" si="54"/>
        <v/>
      </c>
      <c r="H207" s="13" t="str">
        <f t="shared" si="55"/>
        <v/>
      </c>
      <c r="I207" s="14" t="str">
        <f t="array" ref="I207">IF(getRGB1(Weekly!C209)="FFFF00","초방","재방")</f>
        <v>초방</v>
      </c>
      <c r="K207" s="30">
        <f t="shared" si="57"/>
        <v>45921.833333333336</v>
      </c>
      <c r="L207" s="31">
        <f t="shared" si="58"/>
        <v>45921</v>
      </c>
      <c r="M207" s="32">
        <f t="shared" si="59"/>
        <v>0.83333333333333304</v>
      </c>
      <c r="N207" s="32">
        <f t="shared" si="60"/>
        <v>2.0833333328482695E-2</v>
      </c>
      <c r="O207" s="13" t="str">
        <f t="shared" si="61"/>
        <v>NEWSON</v>
      </c>
      <c r="P207" s="33">
        <f t="shared" si="62"/>
        <v>67</v>
      </c>
      <c r="Q207" s="14" t="str">
        <f t="shared" si="63"/>
        <v/>
      </c>
      <c r="R207" s="14" t="str">
        <f t="shared" si="64"/>
        <v>재방</v>
      </c>
      <c r="S207" s="14" t="str">
        <f>IF(O207&lt;&gt;"",VLOOKUP(O207,P.Info!$A$2:$B$150,2,0),"")</f>
        <v>주편성</v>
      </c>
    </row>
    <row r="208" spans="1:19" ht="11.25" customHeight="1" x14ac:dyDescent="0.3">
      <c r="A208" s="10" t="str">
        <f t="shared" si="52"/>
        <v/>
      </c>
      <c r="B208" s="11">
        <f>Weekly!$C$3</f>
        <v>45915</v>
      </c>
      <c r="C208" s="12">
        <v>0.71527777777777801</v>
      </c>
      <c r="D208" s="13">
        <f>Weekly!C210</f>
        <v>0</v>
      </c>
      <c r="E208" s="13" t="str">
        <f t="shared" si="53"/>
        <v/>
      </c>
      <c r="F208" s="13" t="str">
        <f t="shared" si="56"/>
        <v/>
      </c>
      <c r="G208" s="13" t="str">
        <f t="shared" si="54"/>
        <v/>
      </c>
      <c r="H208" s="13" t="str">
        <f t="shared" si="55"/>
        <v/>
      </c>
      <c r="I208" s="14" t="str">
        <f t="array" ref="I208">IF(getRGB1(Weekly!C210)="FFFF00","초방","재방")</f>
        <v>초방</v>
      </c>
      <c r="K208" s="30">
        <f t="shared" si="57"/>
        <v>45921.854166666664</v>
      </c>
      <c r="L208" s="31">
        <f t="shared" si="58"/>
        <v>45921</v>
      </c>
      <c r="M208" s="32">
        <f t="shared" si="59"/>
        <v>0.85416666666666696</v>
      </c>
      <c r="N208" s="32">
        <f t="shared" si="60"/>
        <v>3.4722222226264421E-2</v>
      </c>
      <c r="O208" s="13" t="str">
        <f t="shared" si="61"/>
        <v>우리동네 너튜브</v>
      </c>
      <c r="P208" s="33">
        <f t="shared" si="62"/>
        <v>10</v>
      </c>
      <c r="Q208" s="14" t="str">
        <f t="shared" si="63"/>
        <v/>
      </c>
      <c r="R208" s="14" t="str">
        <f t="shared" si="64"/>
        <v>재방</v>
      </c>
      <c r="S208" s="14" t="str">
        <f>IF(O208&lt;&gt;"",VLOOKUP(O208,P.Info!$A$2:$B$150,2,0),"")</f>
        <v>주편성</v>
      </c>
    </row>
    <row r="209" spans="1:19" ht="11.25" customHeight="1" x14ac:dyDescent="0.3">
      <c r="A209" s="10" t="str">
        <f t="shared" si="52"/>
        <v/>
      </c>
      <c r="B209" s="11">
        <f>Weekly!$C$3</f>
        <v>45915</v>
      </c>
      <c r="C209" s="12">
        <v>0.71875</v>
      </c>
      <c r="D209" s="13">
        <f>Weekly!C211</f>
        <v>0</v>
      </c>
      <c r="E209" s="13" t="str">
        <f t="shared" si="53"/>
        <v/>
      </c>
      <c r="F209" s="13" t="str">
        <f t="shared" si="56"/>
        <v/>
      </c>
      <c r="G209" s="13" t="str">
        <f t="shared" si="54"/>
        <v/>
      </c>
      <c r="H209" s="13" t="str">
        <f t="shared" si="55"/>
        <v/>
      </c>
      <c r="I209" s="14" t="str">
        <f t="array" ref="I209">IF(getRGB1(Weekly!C211)="FFFF00","초방","재방")</f>
        <v>초방</v>
      </c>
      <c r="K209" s="30">
        <f t="shared" si="57"/>
        <v>45921.888888888891</v>
      </c>
      <c r="L209" s="31">
        <f t="shared" si="58"/>
        <v>45921</v>
      </c>
      <c r="M209" s="32">
        <f t="shared" si="59"/>
        <v>0.88888888888888895</v>
      </c>
      <c r="N209" s="32">
        <f t="shared" si="60"/>
        <v>2.7777777773735579E-2</v>
      </c>
      <c r="O209" s="13" t="str">
        <f t="shared" si="61"/>
        <v>낭만살롱</v>
      </c>
      <c r="P209" s="33">
        <f t="shared" si="62"/>
        <v>7</v>
      </c>
      <c r="Q209" s="14" t="str">
        <f t="shared" si="63"/>
        <v/>
      </c>
      <c r="R209" s="14" t="str">
        <f t="shared" si="64"/>
        <v>재방</v>
      </c>
      <c r="S209" s="14" t="str">
        <f>IF(O209&lt;&gt;"",VLOOKUP(O209,P.Info!$A$2:$B$150,2,0),"")</f>
        <v>주편성</v>
      </c>
    </row>
    <row r="210" spans="1:19" ht="11.25" customHeight="1" x14ac:dyDescent="0.3">
      <c r="A210" s="10" t="str">
        <f t="shared" si="52"/>
        <v/>
      </c>
      <c r="B210" s="11">
        <f>Weekly!$C$3</f>
        <v>45915</v>
      </c>
      <c r="C210" s="12">
        <v>0.72222222222222199</v>
      </c>
      <c r="D210" s="13">
        <f>Weekly!C212</f>
        <v>0</v>
      </c>
      <c r="E210" s="13" t="str">
        <f t="shared" si="53"/>
        <v/>
      </c>
      <c r="F210" s="13" t="str">
        <f t="shared" si="56"/>
        <v/>
      </c>
      <c r="G210" s="13" t="str">
        <f t="shared" si="54"/>
        <v/>
      </c>
      <c r="H210" s="13" t="str">
        <f t="shared" si="55"/>
        <v/>
      </c>
      <c r="I210" s="14" t="str">
        <f t="array" ref="I210">IF(getRGB1(Weekly!C212)="FFFF00","초방","재방")</f>
        <v>초방</v>
      </c>
      <c r="K210" s="30">
        <f t="shared" si="57"/>
        <v>45921.916666666664</v>
      </c>
      <c r="L210" s="31">
        <f t="shared" si="58"/>
        <v>45921</v>
      </c>
      <c r="M210" s="32">
        <f t="shared" si="59"/>
        <v>0.91666666666666696</v>
      </c>
      <c r="N210" s="32">
        <f t="shared" si="60"/>
        <v>2.4305555554747116E-2</v>
      </c>
      <c r="O210" s="13" t="str">
        <f t="shared" si="61"/>
        <v>지방차치TV 하이라이트</v>
      </c>
      <c r="P210" s="33">
        <f t="shared" si="62"/>
        <v>13</v>
      </c>
      <c r="Q210" s="14" t="str">
        <f t="shared" si="63"/>
        <v/>
      </c>
      <c r="R210" s="14" t="str">
        <f t="shared" si="64"/>
        <v>재방</v>
      </c>
      <c r="S210" s="14" t="str">
        <f>IF(O210&lt;&gt;"",VLOOKUP(O210,P.Info!$A$2:$B$150,2,0),"")</f>
        <v>주편성</v>
      </c>
    </row>
    <row r="211" spans="1:19" ht="11.25" customHeight="1" x14ac:dyDescent="0.3">
      <c r="A211" s="10" t="str">
        <f t="shared" si="52"/>
        <v/>
      </c>
      <c r="B211" s="11">
        <f>Weekly!$C$3</f>
        <v>45915</v>
      </c>
      <c r="C211" s="12">
        <v>0.72569444444444398</v>
      </c>
      <c r="D211" s="13">
        <f>Weekly!C213</f>
        <v>0</v>
      </c>
      <c r="E211" s="13" t="str">
        <f t="shared" si="53"/>
        <v/>
      </c>
      <c r="F211" s="13" t="str">
        <f t="shared" si="56"/>
        <v/>
      </c>
      <c r="G211" s="13" t="str">
        <f t="shared" si="54"/>
        <v/>
      </c>
      <c r="H211" s="13" t="str">
        <f t="shared" si="55"/>
        <v/>
      </c>
      <c r="I211" s="14" t="str">
        <f t="array" ref="I211">IF(getRGB1(Weekly!C213)="FFFF00","초방","재방")</f>
        <v>초방</v>
      </c>
      <c r="K211" s="30">
        <f t="shared" si="57"/>
        <v>45921.940972222219</v>
      </c>
      <c r="L211" s="31">
        <f t="shared" si="58"/>
        <v>45921</v>
      </c>
      <c r="M211" s="32">
        <f t="shared" si="59"/>
        <v>0.94097222222222199</v>
      </c>
      <c r="N211" s="32">
        <f t="shared" si="60"/>
        <v>5.9027777781011537E-2</v>
      </c>
      <c r="O211" s="13" t="str">
        <f t="shared" si="61"/>
        <v>지방자치TV 스페셜</v>
      </c>
      <c r="P211" s="33">
        <f t="shared" si="62"/>
        <v>24</v>
      </c>
      <c r="Q211" s="14" t="str">
        <f t="shared" si="63"/>
        <v/>
      </c>
      <c r="R211" s="14" t="str">
        <f t="shared" si="64"/>
        <v>재방</v>
      </c>
      <c r="S211" s="14" t="str">
        <f>IF(O211&lt;&gt;"",VLOOKUP(O211,P.Info!$A$2:$B$150,2,0),"")</f>
        <v>주편성</v>
      </c>
    </row>
    <row r="212" spans="1:19" ht="11.25" customHeight="1" x14ac:dyDescent="0.3">
      <c r="A212" s="10" t="str">
        <f t="shared" si="52"/>
        <v/>
      </c>
      <c r="B212" s="11">
        <f>Weekly!$C$3</f>
        <v>45915</v>
      </c>
      <c r="C212" s="12">
        <v>0.72916666666666696</v>
      </c>
      <c r="D212" s="13">
        <f>Weekly!C214</f>
        <v>0</v>
      </c>
      <c r="E212" s="13" t="str">
        <f t="shared" si="53"/>
        <v/>
      </c>
      <c r="F212" s="13" t="str">
        <f t="shared" si="56"/>
        <v/>
      </c>
      <c r="G212" s="13" t="str">
        <f t="shared" si="54"/>
        <v/>
      </c>
      <c r="H212" s="13" t="str">
        <f t="shared" si="55"/>
        <v/>
      </c>
      <c r="I212" s="14" t="str">
        <f t="array" ref="I212">IF(getRGB1(Weekly!C214)="FFFF00","초방","재방")</f>
        <v>초방</v>
      </c>
      <c r="K212" s="30" t="str">
        <f t="shared" si="57"/>
        <v/>
      </c>
      <c r="L212" s="31" t="str">
        <f t="shared" si="58"/>
        <v/>
      </c>
      <c r="M212" s="32" t="str">
        <f t="shared" si="59"/>
        <v/>
      </c>
      <c r="N212" s="32" t="str">
        <f t="shared" si="60"/>
        <v/>
      </c>
      <c r="O212" s="13" t="str">
        <f t="shared" si="61"/>
        <v/>
      </c>
      <c r="P212" s="33" t="str">
        <f t="shared" si="62"/>
        <v/>
      </c>
      <c r="Q212" s="14" t="str">
        <f t="shared" si="63"/>
        <v/>
      </c>
      <c r="R212" s="14" t="str">
        <f t="shared" si="64"/>
        <v/>
      </c>
      <c r="S212" s="14" t="str">
        <f>IF(O212&lt;&gt;"",VLOOKUP(O212,P.Info!$A$2:$B$150,2,0),"")</f>
        <v/>
      </c>
    </row>
    <row r="213" spans="1:19" ht="11.25" customHeight="1" x14ac:dyDescent="0.3">
      <c r="A213" s="10" t="str">
        <f t="shared" si="52"/>
        <v/>
      </c>
      <c r="B213" s="11">
        <f>Weekly!$C$3</f>
        <v>45915</v>
      </c>
      <c r="C213" s="12">
        <v>0.73263888888888895</v>
      </c>
      <c r="D213" s="13">
        <f>Weekly!C215</f>
        <v>0</v>
      </c>
      <c r="E213" s="13" t="str">
        <f t="shared" si="53"/>
        <v/>
      </c>
      <c r="F213" s="13" t="str">
        <f t="shared" si="56"/>
        <v/>
      </c>
      <c r="G213" s="13" t="str">
        <f t="shared" si="54"/>
        <v/>
      </c>
      <c r="H213" s="13" t="str">
        <f t="shared" si="55"/>
        <v/>
      </c>
      <c r="I213" s="14" t="str">
        <f t="array" ref="I213">IF(getRGB1(Weekly!C215)="FFFF00","초방","재방")</f>
        <v>초방</v>
      </c>
      <c r="K213" s="30" t="str">
        <f t="shared" si="57"/>
        <v/>
      </c>
      <c r="L213" s="31" t="str">
        <f t="shared" si="58"/>
        <v/>
      </c>
      <c r="M213" s="32" t="str">
        <f t="shared" si="59"/>
        <v/>
      </c>
      <c r="N213" s="32" t="str">
        <f t="shared" si="60"/>
        <v/>
      </c>
      <c r="O213" s="13" t="str">
        <f t="shared" si="61"/>
        <v/>
      </c>
      <c r="P213" s="33" t="str">
        <f t="shared" si="62"/>
        <v/>
      </c>
      <c r="Q213" s="14" t="str">
        <f t="shared" si="63"/>
        <v/>
      </c>
      <c r="R213" s="14" t="str">
        <f t="shared" si="64"/>
        <v/>
      </c>
      <c r="S213" s="14" t="str">
        <f>IF(O213&lt;&gt;"",VLOOKUP(O213,P.Info!$A$2:$B$150,2,0),"")</f>
        <v/>
      </c>
    </row>
    <row r="214" spans="1:19" ht="11.25" customHeight="1" x14ac:dyDescent="0.3">
      <c r="A214" s="10" t="str">
        <f t="shared" si="52"/>
        <v/>
      </c>
      <c r="B214" s="11">
        <f>Weekly!$C$3</f>
        <v>45915</v>
      </c>
      <c r="C214" s="12">
        <v>0.73611111111111105</v>
      </c>
      <c r="D214" s="13">
        <f>Weekly!C216</f>
        <v>0</v>
      </c>
      <c r="E214" s="13" t="str">
        <f t="shared" si="53"/>
        <v/>
      </c>
      <c r="F214" s="13" t="str">
        <f t="shared" si="56"/>
        <v/>
      </c>
      <c r="G214" s="13" t="str">
        <f t="shared" si="54"/>
        <v/>
      </c>
      <c r="H214" s="13" t="str">
        <f t="shared" si="55"/>
        <v/>
      </c>
      <c r="I214" s="14" t="str">
        <f t="array" ref="I214">IF(getRGB1(Weekly!C216)="FFFF00","초방","재방")</f>
        <v>초방</v>
      </c>
      <c r="K214" s="30" t="str">
        <f t="shared" si="57"/>
        <v/>
      </c>
      <c r="L214" s="31" t="str">
        <f t="shared" si="58"/>
        <v/>
      </c>
      <c r="M214" s="32" t="str">
        <f t="shared" si="59"/>
        <v/>
      </c>
      <c r="N214" s="32" t="str">
        <f t="shared" si="60"/>
        <v/>
      </c>
      <c r="O214" s="13" t="str">
        <f t="shared" si="61"/>
        <v/>
      </c>
      <c r="P214" s="33" t="str">
        <f t="shared" si="62"/>
        <v/>
      </c>
      <c r="Q214" s="14" t="str">
        <f t="shared" si="63"/>
        <v/>
      </c>
      <c r="R214" s="14" t="str">
        <f t="shared" si="64"/>
        <v/>
      </c>
      <c r="S214" s="14" t="str">
        <f>IF(O214&lt;&gt;"",VLOOKUP(O214,P.Info!$A$2:$B$150,2,0),"")</f>
        <v/>
      </c>
    </row>
    <row r="215" spans="1:19" ht="11.25" customHeight="1" x14ac:dyDescent="0.3">
      <c r="A215" s="10" t="str">
        <f t="shared" si="52"/>
        <v/>
      </c>
      <c r="B215" s="11">
        <f>Weekly!$C$3</f>
        <v>45915</v>
      </c>
      <c r="C215" s="12">
        <v>0.73958333333333304</v>
      </c>
      <c r="D215" s="13">
        <f>Weekly!C217</f>
        <v>0</v>
      </c>
      <c r="E215" s="13" t="str">
        <f t="shared" si="53"/>
        <v/>
      </c>
      <c r="F215" s="13" t="str">
        <f t="shared" si="56"/>
        <v/>
      </c>
      <c r="G215" s="13" t="str">
        <f t="shared" si="54"/>
        <v/>
      </c>
      <c r="H215" s="13" t="str">
        <f t="shared" si="55"/>
        <v/>
      </c>
      <c r="I215" s="14" t="str">
        <f t="array" ref="I215">IF(getRGB1(Weekly!C217)="FFFF00","초방","재방")</f>
        <v>초방</v>
      </c>
      <c r="K215" s="30" t="str">
        <f t="shared" si="57"/>
        <v/>
      </c>
      <c r="L215" s="31" t="str">
        <f t="shared" si="58"/>
        <v/>
      </c>
      <c r="M215" s="32" t="str">
        <f t="shared" si="59"/>
        <v/>
      </c>
      <c r="N215" s="32" t="str">
        <f t="shared" si="60"/>
        <v/>
      </c>
      <c r="O215" s="13" t="str">
        <f t="shared" si="61"/>
        <v/>
      </c>
      <c r="P215" s="33" t="str">
        <f t="shared" si="62"/>
        <v/>
      </c>
      <c r="Q215" s="14" t="str">
        <f t="shared" si="63"/>
        <v/>
      </c>
      <c r="R215" s="14" t="str">
        <f t="shared" si="64"/>
        <v/>
      </c>
      <c r="S215" s="14" t="str">
        <f>IF(O215&lt;&gt;"",VLOOKUP(O215,P.Info!$A$2:$B$150,2,0),"")</f>
        <v/>
      </c>
    </row>
    <row r="216" spans="1:19" ht="11.25" customHeight="1" x14ac:dyDescent="0.3">
      <c r="A216" s="10" t="str">
        <f t="shared" si="52"/>
        <v/>
      </c>
      <c r="B216" s="11">
        <f>Weekly!$C$3</f>
        <v>45915</v>
      </c>
      <c r="C216" s="12">
        <v>0.74305555555555503</v>
      </c>
      <c r="D216" s="13">
        <f>Weekly!C218</f>
        <v>0</v>
      </c>
      <c r="E216" s="13" t="str">
        <f t="shared" si="53"/>
        <v/>
      </c>
      <c r="F216" s="13" t="str">
        <f t="shared" si="56"/>
        <v/>
      </c>
      <c r="G216" s="13" t="str">
        <f t="shared" si="54"/>
        <v/>
      </c>
      <c r="H216" s="13" t="str">
        <f t="shared" si="55"/>
        <v/>
      </c>
      <c r="I216" s="14" t="str">
        <f t="array" ref="I216">IF(getRGB1(Weekly!C218)="FFFF00","초방","재방")</f>
        <v>초방</v>
      </c>
      <c r="K216" s="30" t="str">
        <f t="shared" si="57"/>
        <v/>
      </c>
      <c r="L216" s="31" t="str">
        <f t="shared" si="58"/>
        <v/>
      </c>
      <c r="M216" s="32" t="str">
        <f t="shared" si="59"/>
        <v/>
      </c>
      <c r="N216" s="32" t="str">
        <f t="shared" si="60"/>
        <v/>
      </c>
      <c r="O216" s="13" t="str">
        <f t="shared" si="61"/>
        <v/>
      </c>
      <c r="P216" s="33" t="str">
        <f t="shared" si="62"/>
        <v/>
      </c>
      <c r="Q216" s="14" t="str">
        <f t="shared" si="63"/>
        <v/>
      </c>
      <c r="R216" s="14" t="str">
        <f t="shared" si="64"/>
        <v/>
      </c>
      <c r="S216" s="14" t="str">
        <f>IF(O216&lt;&gt;"",VLOOKUP(O216,P.Info!$A$2:$B$150,2,0),"")</f>
        <v/>
      </c>
    </row>
    <row r="217" spans="1:19" ht="11.25" customHeight="1" x14ac:dyDescent="0.3">
      <c r="A217" s="10" t="str">
        <f t="shared" si="52"/>
        <v/>
      </c>
      <c r="B217" s="11">
        <f>Weekly!$C$3</f>
        <v>45915</v>
      </c>
      <c r="C217" s="12">
        <v>0.74652777777777801</v>
      </c>
      <c r="D217" s="13">
        <f>Weekly!C219</f>
        <v>0</v>
      </c>
      <c r="E217" s="13" t="str">
        <f t="shared" si="53"/>
        <v/>
      </c>
      <c r="F217" s="13" t="str">
        <f t="shared" si="56"/>
        <v/>
      </c>
      <c r="G217" s="13" t="str">
        <f t="shared" si="54"/>
        <v/>
      </c>
      <c r="H217" s="13" t="str">
        <f t="shared" si="55"/>
        <v/>
      </c>
      <c r="I217" s="14" t="str">
        <f t="array" ref="I217">IF(getRGB1(Weekly!C219)="FFFF00","초방","재방")</f>
        <v>초방</v>
      </c>
      <c r="K217" s="30" t="str">
        <f t="shared" si="57"/>
        <v/>
      </c>
      <c r="L217" s="31" t="str">
        <f t="shared" si="58"/>
        <v/>
      </c>
      <c r="M217" s="32" t="str">
        <f t="shared" si="59"/>
        <v/>
      </c>
      <c r="N217" s="32" t="str">
        <f t="shared" si="60"/>
        <v/>
      </c>
      <c r="O217" s="13" t="str">
        <f t="shared" si="61"/>
        <v/>
      </c>
      <c r="P217" s="33" t="str">
        <f t="shared" si="62"/>
        <v/>
      </c>
      <c r="Q217" s="14" t="str">
        <f t="shared" si="63"/>
        <v/>
      </c>
      <c r="R217" s="14" t="str">
        <f t="shared" si="64"/>
        <v/>
      </c>
      <c r="S217" s="14" t="str">
        <f>IF(O217&lt;&gt;"",VLOOKUP(O217,P.Info!$A$2:$B$150,2,0),"")</f>
        <v/>
      </c>
    </row>
    <row r="218" spans="1:19" ht="11.25" customHeight="1" x14ac:dyDescent="0.3">
      <c r="A218" s="10">
        <f t="shared" si="52"/>
        <v>45915.75</v>
      </c>
      <c r="B218" s="11">
        <f>Weekly!$C$3</f>
        <v>45915</v>
      </c>
      <c r="C218" s="12">
        <v>0.75</v>
      </c>
      <c r="D218" s="13" t="str">
        <f>Weekly!C220</f>
        <v>눈에 띄는 그녀들 시즌5
&lt;05</v>
      </c>
      <c r="E218" s="13" t="str">
        <f t="shared" si="53"/>
        <v>눈에 띄는 그녀들 시즌5</v>
      </c>
      <c r="F218" s="13">
        <f t="shared" si="56"/>
        <v>5</v>
      </c>
      <c r="G218" s="13" t="str">
        <f t="shared" si="54"/>
        <v/>
      </c>
      <c r="H218" s="13" t="str">
        <f t="shared" si="55"/>
        <v/>
      </c>
      <c r="I218" s="14" t="str">
        <f t="array" ref="I218">IF(getRGB1(Weekly!C220)="FFFF00","초방","재방")</f>
        <v>초방</v>
      </c>
      <c r="K218" s="30" t="str">
        <f t="shared" si="57"/>
        <v/>
      </c>
      <c r="L218" s="31" t="str">
        <f t="shared" si="58"/>
        <v/>
      </c>
      <c r="M218" s="32" t="str">
        <f t="shared" si="59"/>
        <v/>
      </c>
      <c r="N218" s="32" t="str">
        <f t="shared" si="60"/>
        <v/>
      </c>
      <c r="O218" s="13" t="str">
        <f t="shared" si="61"/>
        <v/>
      </c>
      <c r="P218" s="33" t="str">
        <f t="shared" si="62"/>
        <v/>
      </c>
      <c r="Q218" s="14" t="str">
        <f t="shared" si="63"/>
        <v/>
      </c>
      <c r="R218" s="14" t="str">
        <f t="shared" si="64"/>
        <v/>
      </c>
      <c r="S218" s="14" t="str">
        <f>IF(O218&lt;&gt;"",VLOOKUP(O218,P.Info!$A$2:$B$150,2,0),"")</f>
        <v/>
      </c>
    </row>
    <row r="219" spans="1:19" ht="11.25" customHeight="1" x14ac:dyDescent="0.3">
      <c r="A219" s="10" t="str">
        <f t="shared" si="52"/>
        <v/>
      </c>
      <c r="B219" s="11">
        <f>Weekly!$C$3</f>
        <v>45915</v>
      </c>
      <c r="C219" s="12">
        <v>0.75347222222222199</v>
      </c>
      <c r="D219" s="13">
        <f>Weekly!C221</f>
        <v>0</v>
      </c>
      <c r="E219" s="13" t="str">
        <f t="shared" si="53"/>
        <v/>
      </c>
      <c r="F219" s="13" t="str">
        <f t="shared" si="56"/>
        <v/>
      </c>
      <c r="G219" s="13" t="str">
        <f t="shared" si="54"/>
        <v/>
      </c>
      <c r="H219" s="13" t="str">
        <f t="shared" si="55"/>
        <v/>
      </c>
      <c r="I219" s="14" t="str">
        <f t="array" ref="I219">IF(getRGB1(Weekly!C221)="FFFF00","초방","재방")</f>
        <v>초방</v>
      </c>
      <c r="K219" s="30" t="str">
        <f t="shared" si="57"/>
        <v/>
      </c>
      <c r="L219" s="31" t="str">
        <f t="shared" si="58"/>
        <v/>
      </c>
      <c r="M219" s="32" t="str">
        <f t="shared" si="59"/>
        <v/>
      </c>
      <c r="N219" s="32" t="str">
        <f t="shared" si="60"/>
        <v/>
      </c>
      <c r="O219" s="13" t="str">
        <f t="shared" si="61"/>
        <v/>
      </c>
      <c r="P219" s="33" t="str">
        <f t="shared" si="62"/>
        <v/>
      </c>
      <c r="Q219" s="14" t="str">
        <f t="shared" si="63"/>
        <v/>
      </c>
      <c r="R219" s="14" t="str">
        <f t="shared" si="64"/>
        <v/>
      </c>
      <c r="S219" s="14" t="str">
        <f>IF(O219&lt;&gt;"",VLOOKUP(O219,P.Info!$A$2:$B$150,2,0),"")</f>
        <v/>
      </c>
    </row>
    <row r="220" spans="1:19" ht="11.25" customHeight="1" x14ac:dyDescent="0.3">
      <c r="A220" s="10" t="str">
        <f t="shared" si="52"/>
        <v/>
      </c>
      <c r="B220" s="11">
        <f>Weekly!$C$3</f>
        <v>45915</v>
      </c>
      <c r="C220" s="12">
        <v>0.75694444444444398</v>
      </c>
      <c r="D220" s="13">
        <f>Weekly!C222</f>
        <v>0</v>
      </c>
      <c r="E220" s="13" t="str">
        <f t="shared" si="53"/>
        <v/>
      </c>
      <c r="F220" s="13" t="str">
        <f t="shared" si="56"/>
        <v/>
      </c>
      <c r="G220" s="13" t="str">
        <f t="shared" si="54"/>
        <v/>
      </c>
      <c r="H220" s="13" t="str">
        <f t="shared" si="55"/>
        <v/>
      </c>
      <c r="I220" s="14" t="str">
        <f t="array" ref="I220">IF(getRGB1(Weekly!C222)="FFFF00","초방","재방")</f>
        <v>초방</v>
      </c>
      <c r="K220" s="30" t="str">
        <f t="shared" si="57"/>
        <v/>
      </c>
      <c r="L220" s="31" t="str">
        <f t="shared" si="58"/>
        <v/>
      </c>
      <c r="M220" s="32" t="str">
        <f t="shared" si="59"/>
        <v/>
      </c>
      <c r="N220" s="32" t="str">
        <f t="shared" si="60"/>
        <v/>
      </c>
      <c r="O220" s="13" t="str">
        <f t="shared" si="61"/>
        <v/>
      </c>
      <c r="P220" s="33" t="str">
        <f t="shared" si="62"/>
        <v/>
      </c>
      <c r="Q220" s="14" t="str">
        <f t="shared" si="63"/>
        <v/>
      </c>
      <c r="R220" s="14" t="str">
        <f t="shared" si="64"/>
        <v/>
      </c>
      <c r="S220" s="14" t="str">
        <f>IF(O220&lt;&gt;"",VLOOKUP(O220,P.Info!$A$2:$B$150,2,0),"")</f>
        <v/>
      </c>
    </row>
    <row r="221" spans="1:19" ht="11.25" customHeight="1" x14ac:dyDescent="0.3">
      <c r="A221" s="10" t="str">
        <f t="shared" si="52"/>
        <v/>
      </c>
      <c r="B221" s="11">
        <f>Weekly!$C$3</f>
        <v>45915</v>
      </c>
      <c r="C221" s="12">
        <v>0.76041666666666696</v>
      </c>
      <c r="D221" s="13">
        <f>Weekly!C223</f>
        <v>0</v>
      </c>
      <c r="E221" s="13" t="str">
        <f t="shared" si="53"/>
        <v/>
      </c>
      <c r="F221" s="13" t="str">
        <f t="shared" si="56"/>
        <v/>
      </c>
      <c r="G221" s="13" t="str">
        <f t="shared" si="54"/>
        <v/>
      </c>
      <c r="H221" s="13" t="str">
        <f t="shared" si="55"/>
        <v/>
      </c>
      <c r="I221" s="14" t="str">
        <f t="array" ref="I221">IF(getRGB1(Weekly!C223)="FFFF00","초방","재방")</f>
        <v>초방</v>
      </c>
      <c r="K221" s="30" t="str">
        <f t="shared" si="57"/>
        <v/>
      </c>
      <c r="L221" s="31" t="str">
        <f t="shared" si="58"/>
        <v/>
      </c>
      <c r="M221" s="32" t="str">
        <f t="shared" si="59"/>
        <v/>
      </c>
      <c r="N221" s="32" t="str">
        <f t="shared" si="60"/>
        <v/>
      </c>
      <c r="O221" s="13" t="str">
        <f t="shared" si="61"/>
        <v/>
      </c>
      <c r="P221" s="33" t="str">
        <f t="shared" si="62"/>
        <v/>
      </c>
      <c r="Q221" s="14" t="str">
        <f t="shared" si="63"/>
        <v/>
      </c>
      <c r="R221" s="14" t="str">
        <f t="shared" si="64"/>
        <v/>
      </c>
      <c r="S221" s="14" t="str">
        <f>IF(O221&lt;&gt;"",VLOOKUP(O221,P.Info!$A$2:$B$150,2,0),"")</f>
        <v/>
      </c>
    </row>
    <row r="222" spans="1:19" ht="11.25" customHeight="1" x14ac:dyDescent="0.3">
      <c r="A222" s="10" t="str">
        <f t="shared" si="52"/>
        <v/>
      </c>
      <c r="B222" s="11">
        <f>Weekly!$C$3</f>
        <v>45915</v>
      </c>
      <c r="C222" s="12">
        <v>0.76388888888888895</v>
      </c>
      <c r="D222" s="13">
        <f>Weekly!C224</f>
        <v>0</v>
      </c>
      <c r="E222" s="13" t="str">
        <f t="shared" si="53"/>
        <v/>
      </c>
      <c r="F222" s="13" t="str">
        <f t="shared" si="56"/>
        <v/>
      </c>
      <c r="G222" s="13" t="str">
        <f t="shared" si="54"/>
        <v/>
      </c>
      <c r="H222" s="13" t="str">
        <f t="shared" si="55"/>
        <v/>
      </c>
      <c r="I222" s="14" t="str">
        <f t="array" ref="I222">IF(getRGB1(Weekly!C224)="FFFF00","초방","재방")</f>
        <v>초방</v>
      </c>
      <c r="K222" s="30" t="str">
        <f t="shared" si="57"/>
        <v/>
      </c>
      <c r="L222" s="31" t="str">
        <f t="shared" si="58"/>
        <v/>
      </c>
      <c r="M222" s="32" t="str">
        <f t="shared" si="59"/>
        <v/>
      </c>
      <c r="N222" s="32" t="str">
        <f t="shared" si="60"/>
        <v/>
      </c>
      <c r="O222" s="13" t="str">
        <f t="shared" si="61"/>
        <v/>
      </c>
      <c r="P222" s="33" t="str">
        <f t="shared" si="62"/>
        <v/>
      </c>
      <c r="Q222" s="14" t="str">
        <f t="shared" si="63"/>
        <v/>
      </c>
      <c r="R222" s="14" t="str">
        <f t="shared" si="64"/>
        <v/>
      </c>
      <c r="S222" s="14" t="str">
        <f>IF(O222&lt;&gt;"",VLOOKUP(O222,P.Info!$A$2:$B$150,2,0),"")</f>
        <v/>
      </c>
    </row>
    <row r="223" spans="1:19" ht="11.25" customHeight="1" x14ac:dyDescent="0.3">
      <c r="A223" s="10" t="str">
        <f t="shared" si="52"/>
        <v/>
      </c>
      <c r="B223" s="11">
        <f>Weekly!$C$3</f>
        <v>45915</v>
      </c>
      <c r="C223" s="12">
        <v>0.76736111111111105</v>
      </c>
      <c r="D223" s="13">
        <f>Weekly!C225</f>
        <v>0</v>
      </c>
      <c r="E223" s="13" t="str">
        <f t="shared" si="53"/>
        <v/>
      </c>
      <c r="F223" s="13" t="str">
        <f t="shared" si="56"/>
        <v/>
      </c>
      <c r="G223" s="13" t="str">
        <f t="shared" si="54"/>
        <v/>
      </c>
      <c r="H223" s="13" t="str">
        <f t="shared" si="55"/>
        <v/>
      </c>
      <c r="I223" s="14" t="str">
        <f t="array" ref="I223">IF(getRGB1(Weekly!C225)="FFFF00","초방","재방")</f>
        <v>초방</v>
      </c>
      <c r="K223" s="30" t="str">
        <f t="shared" si="57"/>
        <v/>
      </c>
      <c r="L223" s="31" t="str">
        <f t="shared" si="58"/>
        <v/>
      </c>
      <c r="M223" s="32" t="str">
        <f t="shared" si="59"/>
        <v/>
      </c>
      <c r="N223" s="32" t="str">
        <f t="shared" si="60"/>
        <v/>
      </c>
      <c r="O223" s="13" t="str">
        <f t="shared" si="61"/>
        <v/>
      </c>
      <c r="P223" s="33" t="str">
        <f t="shared" si="62"/>
        <v/>
      </c>
      <c r="Q223" s="14" t="str">
        <f t="shared" si="63"/>
        <v/>
      </c>
      <c r="R223" s="14" t="str">
        <f t="shared" si="64"/>
        <v/>
      </c>
      <c r="S223" s="14" t="str">
        <f>IF(O223&lt;&gt;"",VLOOKUP(O223,P.Info!$A$2:$B$150,2,0),"")</f>
        <v/>
      </c>
    </row>
    <row r="224" spans="1:19" ht="11.25" customHeight="1" x14ac:dyDescent="0.3">
      <c r="A224" s="10">
        <f t="shared" si="52"/>
        <v>45915.770833333336</v>
      </c>
      <c r="B224" s="11">
        <f>Weekly!$C$3</f>
        <v>45915</v>
      </c>
      <c r="C224" s="12">
        <v>0.77083333333333304</v>
      </c>
      <c r="D224" s="13" t="str">
        <f>Weekly!C226</f>
        <v>낭만살롱
&lt;05</v>
      </c>
      <c r="E224" s="13" t="str">
        <f t="shared" si="53"/>
        <v>낭만살롱</v>
      </c>
      <c r="F224" s="13">
        <f t="shared" si="56"/>
        <v>5</v>
      </c>
      <c r="G224" s="13" t="str">
        <f t="shared" si="54"/>
        <v/>
      </c>
      <c r="H224" s="13" t="str">
        <f t="shared" si="55"/>
        <v/>
      </c>
      <c r="I224" s="14" t="str">
        <f t="array" ref="I224">IF(getRGB1(Weekly!C226)="FFFF00","초방","재방")</f>
        <v>재방</v>
      </c>
      <c r="K224" s="30" t="str">
        <f t="shared" si="57"/>
        <v/>
      </c>
      <c r="L224" s="31" t="str">
        <f t="shared" si="58"/>
        <v/>
      </c>
      <c r="M224" s="32" t="str">
        <f t="shared" si="59"/>
        <v/>
      </c>
      <c r="N224" s="32" t="str">
        <f t="shared" si="60"/>
        <v/>
      </c>
      <c r="O224" s="13" t="str">
        <f t="shared" si="61"/>
        <v/>
      </c>
      <c r="P224" s="33" t="str">
        <f t="shared" si="62"/>
        <v/>
      </c>
      <c r="Q224" s="14" t="str">
        <f t="shared" si="63"/>
        <v/>
      </c>
      <c r="R224" s="14" t="str">
        <f t="shared" si="64"/>
        <v/>
      </c>
      <c r="S224" s="14" t="str">
        <f>IF(O224&lt;&gt;"",VLOOKUP(O224,P.Info!$A$2:$B$150,2,0),"")</f>
        <v/>
      </c>
    </row>
    <row r="225" spans="1:19" ht="11.25" customHeight="1" x14ac:dyDescent="0.3">
      <c r="A225" s="10" t="str">
        <f t="shared" si="52"/>
        <v/>
      </c>
      <c r="B225" s="11">
        <f>Weekly!$C$3</f>
        <v>45915</v>
      </c>
      <c r="C225" s="12">
        <v>0.77430555555555503</v>
      </c>
      <c r="D225" s="13">
        <f>Weekly!C227</f>
        <v>0</v>
      </c>
      <c r="E225" s="13" t="str">
        <f t="shared" si="53"/>
        <v/>
      </c>
      <c r="F225" s="13" t="str">
        <f t="shared" si="56"/>
        <v/>
      </c>
      <c r="G225" s="13" t="str">
        <f t="shared" si="54"/>
        <v/>
      </c>
      <c r="H225" s="13" t="str">
        <f t="shared" si="55"/>
        <v/>
      </c>
      <c r="I225" s="14" t="str">
        <f t="array" ref="I225">IF(getRGB1(Weekly!C227)="FFFF00","초방","재방")</f>
        <v>재방</v>
      </c>
      <c r="K225" s="30" t="str">
        <f t="shared" si="57"/>
        <v/>
      </c>
      <c r="L225" s="31" t="str">
        <f t="shared" si="58"/>
        <v/>
      </c>
      <c r="M225" s="32" t="str">
        <f t="shared" si="59"/>
        <v/>
      </c>
      <c r="N225" s="32" t="str">
        <f t="shared" si="60"/>
        <v/>
      </c>
      <c r="O225" s="13" t="str">
        <f t="shared" si="61"/>
        <v/>
      </c>
      <c r="P225" s="33" t="str">
        <f t="shared" si="62"/>
        <v/>
      </c>
      <c r="Q225" s="14" t="str">
        <f t="shared" si="63"/>
        <v/>
      </c>
      <c r="R225" s="14" t="str">
        <f t="shared" si="64"/>
        <v/>
      </c>
      <c r="S225" s="14" t="str">
        <f>IF(O225&lt;&gt;"",VLOOKUP(O225,P.Info!$A$2:$B$150,2,0),"")</f>
        <v/>
      </c>
    </row>
    <row r="226" spans="1:19" ht="11.25" customHeight="1" x14ac:dyDescent="0.3">
      <c r="A226" s="10" t="str">
        <f t="shared" si="52"/>
        <v/>
      </c>
      <c r="B226" s="11">
        <f>Weekly!$C$3</f>
        <v>45915</v>
      </c>
      <c r="C226" s="12">
        <v>0.77777777777777801</v>
      </c>
      <c r="D226" s="13">
        <f>Weekly!C228</f>
        <v>0</v>
      </c>
      <c r="E226" s="13" t="str">
        <f t="shared" si="53"/>
        <v/>
      </c>
      <c r="F226" s="13" t="str">
        <f t="shared" si="56"/>
        <v/>
      </c>
      <c r="G226" s="13" t="str">
        <f t="shared" si="54"/>
        <v/>
      </c>
      <c r="H226" s="13" t="str">
        <f t="shared" si="55"/>
        <v/>
      </c>
      <c r="I226" s="14" t="str">
        <f t="array" ref="I226">IF(getRGB1(Weekly!C228)="FFFF00","초방","재방")</f>
        <v>재방</v>
      </c>
      <c r="K226" s="30" t="str">
        <f t="shared" si="57"/>
        <v/>
      </c>
      <c r="L226" s="31" t="str">
        <f t="shared" si="58"/>
        <v/>
      </c>
      <c r="M226" s="32" t="str">
        <f t="shared" si="59"/>
        <v/>
      </c>
      <c r="N226" s="32" t="str">
        <f t="shared" si="60"/>
        <v/>
      </c>
      <c r="O226" s="13" t="str">
        <f t="shared" si="61"/>
        <v/>
      </c>
      <c r="P226" s="33" t="str">
        <f t="shared" si="62"/>
        <v/>
      </c>
      <c r="Q226" s="14" t="str">
        <f t="shared" si="63"/>
        <v/>
      </c>
      <c r="R226" s="14" t="str">
        <f t="shared" si="64"/>
        <v/>
      </c>
      <c r="S226" s="14" t="str">
        <f>IF(O226&lt;&gt;"",VLOOKUP(O226,P.Info!$A$2:$B$150,2,0),"")</f>
        <v/>
      </c>
    </row>
    <row r="227" spans="1:19" ht="11.25" customHeight="1" x14ac:dyDescent="0.3">
      <c r="A227" s="10" t="str">
        <f t="shared" si="52"/>
        <v/>
      </c>
      <c r="B227" s="11">
        <f>Weekly!$C$3</f>
        <v>45915</v>
      </c>
      <c r="C227" s="12">
        <v>0.78125</v>
      </c>
      <c r="D227" s="13">
        <f>Weekly!C229</f>
        <v>0</v>
      </c>
      <c r="E227" s="13" t="str">
        <f t="shared" si="53"/>
        <v/>
      </c>
      <c r="F227" s="13" t="str">
        <f t="shared" si="56"/>
        <v/>
      </c>
      <c r="G227" s="13" t="str">
        <f t="shared" si="54"/>
        <v/>
      </c>
      <c r="H227" s="13" t="str">
        <f t="shared" si="55"/>
        <v/>
      </c>
      <c r="I227" s="14" t="str">
        <f t="array" ref="I227">IF(getRGB1(Weekly!C229)="FFFF00","초방","재방")</f>
        <v>재방</v>
      </c>
      <c r="K227" s="30" t="str">
        <f t="shared" si="57"/>
        <v/>
      </c>
      <c r="L227" s="31" t="str">
        <f t="shared" si="58"/>
        <v/>
      </c>
      <c r="M227" s="32" t="str">
        <f t="shared" si="59"/>
        <v/>
      </c>
      <c r="N227" s="32" t="str">
        <f t="shared" si="60"/>
        <v/>
      </c>
      <c r="O227" s="13" t="str">
        <f t="shared" si="61"/>
        <v/>
      </c>
      <c r="P227" s="33" t="str">
        <f t="shared" si="62"/>
        <v/>
      </c>
      <c r="Q227" s="14" t="str">
        <f t="shared" si="63"/>
        <v/>
      </c>
      <c r="R227" s="14" t="str">
        <f t="shared" si="64"/>
        <v/>
      </c>
      <c r="S227" s="14" t="str">
        <f>IF(O227&lt;&gt;"",VLOOKUP(O227,P.Info!$A$2:$B$150,2,0),"")</f>
        <v/>
      </c>
    </row>
    <row r="228" spans="1:19" ht="11.25" customHeight="1" x14ac:dyDescent="0.3">
      <c r="A228" s="10" t="str">
        <f t="shared" si="52"/>
        <v/>
      </c>
      <c r="B228" s="11">
        <f>Weekly!$C$3</f>
        <v>45915</v>
      </c>
      <c r="C228" s="12">
        <v>0.78472222222222199</v>
      </c>
      <c r="D228" s="13">
        <f>Weekly!C230</f>
        <v>0</v>
      </c>
      <c r="E228" s="13" t="str">
        <f t="shared" si="53"/>
        <v/>
      </c>
      <c r="F228" s="13" t="str">
        <f t="shared" si="56"/>
        <v/>
      </c>
      <c r="G228" s="13" t="str">
        <f t="shared" si="54"/>
        <v/>
      </c>
      <c r="H228" s="13" t="str">
        <f t="shared" si="55"/>
        <v/>
      </c>
      <c r="I228" s="14" t="str">
        <f t="array" ref="I228">IF(getRGB1(Weekly!C230)="FFFF00","초방","재방")</f>
        <v>재방</v>
      </c>
      <c r="K228" s="30" t="str">
        <f t="shared" si="57"/>
        <v/>
      </c>
      <c r="L228" s="31" t="str">
        <f t="shared" si="58"/>
        <v/>
      </c>
      <c r="M228" s="32" t="str">
        <f t="shared" si="59"/>
        <v/>
      </c>
      <c r="N228" s="32" t="str">
        <f t="shared" si="60"/>
        <v/>
      </c>
      <c r="O228" s="13" t="str">
        <f t="shared" si="61"/>
        <v/>
      </c>
      <c r="P228" s="33" t="str">
        <f t="shared" si="62"/>
        <v/>
      </c>
      <c r="Q228" s="14" t="str">
        <f t="shared" si="63"/>
        <v/>
      </c>
      <c r="R228" s="14" t="str">
        <f t="shared" si="64"/>
        <v/>
      </c>
      <c r="S228" s="14" t="str">
        <f>IF(O228&lt;&gt;"",VLOOKUP(O228,P.Info!$A$2:$B$150,2,0),"")</f>
        <v/>
      </c>
    </row>
    <row r="229" spans="1:19" ht="11.25" customHeight="1" x14ac:dyDescent="0.3">
      <c r="A229" s="10" t="str">
        <f t="shared" ref="A229:A289" si="65">IF(D229&lt;&gt;0,B229+C229,"")</f>
        <v/>
      </c>
      <c r="B229" s="11">
        <f>Weekly!$C$3</f>
        <v>45915</v>
      </c>
      <c r="C229" s="12">
        <v>0.78819444444444398</v>
      </c>
      <c r="D229" s="13">
        <f>Weekly!C231</f>
        <v>0</v>
      </c>
      <c r="E229" s="13" t="str">
        <f t="shared" ref="E229:E289" si="66">IFERROR(SUBSTITUTE(SUBSTITUTE(TRIM(LEFT(D229,FIND("&lt;",D229)-1)),CHAR(10),""),"⑮ ",""),"")</f>
        <v/>
      </c>
      <c r="F229" s="13" t="str">
        <f t="shared" si="56"/>
        <v/>
      </c>
      <c r="G229" s="13" t="str">
        <f t="shared" ref="G229:G289" si="67">IFERROR(MID(D229,FIND("&gt;",D229)+1,10),"")</f>
        <v/>
      </c>
      <c r="H229" s="13" t="str">
        <f t="shared" ref="H229:H289" si="68">IFERROR(VLOOKUP(LEFT(D229,2),$W$1:$X$6,2,0),"")</f>
        <v/>
      </c>
      <c r="I229" s="14" t="str">
        <f t="array" ref="I229">IF(getRGB1(Weekly!C231)="FFFF00","초방","재방")</f>
        <v>재방</v>
      </c>
      <c r="K229" s="30" t="str">
        <f t="shared" si="57"/>
        <v/>
      </c>
      <c r="L229" s="31" t="str">
        <f t="shared" si="58"/>
        <v/>
      </c>
      <c r="M229" s="32" t="str">
        <f t="shared" si="59"/>
        <v/>
      </c>
      <c r="N229" s="32" t="str">
        <f t="shared" si="60"/>
        <v/>
      </c>
      <c r="O229" s="13" t="str">
        <f t="shared" si="61"/>
        <v/>
      </c>
      <c r="P229" s="33" t="str">
        <f t="shared" si="62"/>
        <v/>
      </c>
      <c r="Q229" s="14" t="str">
        <f t="shared" si="63"/>
        <v/>
      </c>
      <c r="R229" s="14" t="str">
        <f t="shared" si="64"/>
        <v/>
      </c>
      <c r="S229" s="14" t="str">
        <f>IF(O229&lt;&gt;"",VLOOKUP(O229,P.Info!$A$2:$B$150,2,0),"")</f>
        <v/>
      </c>
    </row>
    <row r="230" spans="1:19" ht="11.25" customHeight="1" x14ac:dyDescent="0.3">
      <c r="A230" s="10">
        <f t="shared" si="65"/>
        <v>45915.791666666664</v>
      </c>
      <c r="B230" s="11">
        <f>Weekly!$C$3</f>
        <v>45915</v>
      </c>
      <c r="C230" s="12">
        <v>0.79166666666666696</v>
      </c>
      <c r="D230" s="13" t="str">
        <f>Weekly!C232</f>
        <v>더 人터뷰
&lt;01</v>
      </c>
      <c r="E230" s="13" t="str">
        <f t="shared" si="66"/>
        <v>더 人터뷰</v>
      </c>
      <c r="F230" s="13">
        <f t="shared" ref="F230:F289" si="69">IFERROR((MID(D230,FIND("&lt;",D230)+1,4))*1,"")</f>
        <v>1</v>
      </c>
      <c r="G230" s="13" t="str">
        <f t="shared" si="67"/>
        <v/>
      </c>
      <c r="H230" s="13" t="str">
        <f t="shared" si="68"/>
        <v/>
      </c>
      <c r="I230" s="14" t="str">
        <f t="array" ref="I230">IF(getRGB1(Weekly!C232)="FFFF00","초방","재방")</f>
        <v>재방</v>
      </c>
      <c r="K230" s="30" t="str">
        <f t="shared" si="57"/>
        <v/>
      </c>
      <c r="L230" s="31" t="str">
        <f t="shared" si="58"/>
        <v/>
      </c>
      <c r="M230" s="32" t="str">
        <f t="shared" si="59"/>
        <v/>
      </c>
      <c r="N230" s="32" t="str">
        <f t="shared" si="60"/>
        <v/>
      </c>
      <c r="O230" s="13" t="str">
        <f t="shared" si="61"/>
        <v/>
      </c>
      <c r="P230" s="33" t="str">
        <f t="shared" si="62"/>
        <v/>
      </c>
      <c r="Q230" s="14" t="str">
        <f t="shared" si="63"/>
        <v/>
      </c>
      <c r="R230" s="14" t="str">
        <f t="shared" si="64"/>
        <v/>
      </c>
      <c r="S230" s="14" t="str">
        <f>IF(O230&lt;&gt;"",VLOOKUP(O230,P.Info!$A$2:$B$150,2,0),"")</f>
        <v/>
      </c>
    </row>
    <row r="231" spans="1:19" ht="11.25" customHeight="1" x14ac:dyDescent="0.3">
      <c r="A231" s="10" t="str">
        <f t="shared" si="65"/>
        <v/>
      </c>
      <c r="B231" s="11">
        <f>Weekly!$C$3</f>
        <v>45915</v>
      </c>
      <c r="C231" s="12">
        <v>0.79513888888888895</v>
      </c>
      <c r="D231" s="13">
        <f>Weekly!C233</f>
        <v>0</v>
      </c>
      <c r="E231" s="13" t="str">
        <f t="shared" si="66"/>
        <v/>
      </c>
      <c r="F231" s="13" t="str">
        <f t="shared" si="69"/>
        <v/>
      </c>
      <c r="G231" s="13" t="str">
        <f t="shared" si="67"/>
        <v/>
      </c>
      <c r="H231" s="13" t="str">
        <f t="shared" si="68"/>
        <v/>
      </c>
      <c r="I231" s="14" t="str">
        <f t="array" ref="I231">IF(getRGB1(Weekly!C233)="FFFF00","초방","재방")</f>
        <v>재방</v>
      </c>
      <c r="K231" s="30" t="str">
        <f t="shared" si="57"/>
        <v/>
      </c>
      <c r="L231" s="31" t="str">
        <f t="shared" si="58"/>
        <v/>
      </c>
      <c r="M231" s="32" t="str">
        <f t="shared" si="59"/>
        <v/>
      </c>
      <c r="N231" s="32" t="str">
        <f t="shared" si="60"/>
        <v/>
      </c>
      <c r="O231" s="13" t="str">
        <f t="shared" si="61"/>
        <v/>
      </c>
      <c r="P231" s="33" t="str">
        <f t="shared" si="62"/>
        <v/>
      </c>
      <c r="Q231" s="14" t="str">
        <f t="shared" si="63"/>
        <v/>
      </c>
      <c r="R231" s="14" t="str">
        <f t="shared" si="64"/>
        <v/>
      </c>
      <c r="S231" s="14" t="str">
        <f>IF(O231&lt;&gt;"",VLOOKUP(O231,P.Info!$A$2:$B$150,2,0),"")</f>
        <v/>
      </c>
    </row>
    <row r="232" spans="1:19" ht="11.25" customHeight="1" x14ac:dyDescent="0.3">
      <c r="A232" s="10" t="str">
        <f t="shared" si="65"/>
        <v/>
      </c>
      <c r="B232" s="11">
        <f>Weekly!$C$3</f>
        <v>45915</v>
      </c>
      <c r="C232" s="12">
        <v>0.79861111111111105</v>
      </c>
      <c r="D232" s="13">
        <f>Weekly!C234</f>
        <v>0</v>
      </c>
      <c r="E232" s="13" t="str">
        <f t="shared" si="66"/>
        <v/>
      </c>
      <c r="F232" s="13" t="str">
        <f t="shared" si="69"/>
        <v/>
      </c>
      <c r="G232" s="13" t="str">
        <f t="shared" si="67"/>
        <v/>
      </c>
      <c r="H232" s="13" t="str">
        <f t="shared" si="68"/>
        <v/>
      </c>
      <c r="I232" s="14" t="str">
        <f t="array" ref="I232">IF(getRGB1(Weekly!C234)="FFFF00","초방","재방")</f>
        <v>재방</v>
      </c>
      <c r="K232" s="30" t="str">
        <f t="shared" si="57"/>
        <v/>
      </c>
      <c r="L232" s="31" t="str">
        <f t="shared" si="58"/>
        <v/>
      </c>
      <c r="M232" s="32" t="str">
        <f t="shared" si="59"/>
        <v/>
      </c>
      <c r="N232" s="32" t="str">
        <f t="shared" si="60"/>
        <v/>
      </c>
      <c r="O232" s="13" t="str">
        <f t="shared" si="61"/>
        <v/>
      </c>
      <c r="P232" s="33" t="str">
        <f t="shared" si="62"/>
        <v/>
      </c>
      <c r="Q232" s="14" t="str">
        <f t="shared" si="63"/>
        <v/>
      </c>
      <c r="R232" s="14" t="str">
        <f t="shared" si="64"/>
        <v/>
      </c>
      <c r="S232" s="14" t="str">
        <f>IF(O232&lt;&gt;"",VLOOKUP(O232,P.Info!$A$2:$B$150,2,0),"")</f>
        <v/>
      </c>
    </row>
    <row r="233" spans="1:19" ht="11.25" customHeight="1" x14ac:dyDescent="0.3">
      <c r="A233" s="10" t="str">
        <f t="shared" si="65"/>
        <v/>
      </c>
      <c r="B233" s="11">
        <f>Weekly!$C$3</f>
        <v>45915</v>
      </c>
      <c r="C233" s="12">
        <v>0.80208333333333304</v>
      </c>
      <c r="D233" s="13">
        <f>Weekly!C235</f>
        <v>0</v>
      </c>
      <c r="E233" s="13" t="str">
        <f t="shared" si="66"/>
        <v/>
      </c>
      <c r="F233" s="13" t="str">
        <f t="shared" si="69"/>
        <v/>
      </c>
      <c r="G233" s="13" t="str">
        <f t="shared" si="67"/>
        <v/>
      </c>
      <c r="H233" s="13" t="str">
        <f t="shared" si="68"/>
        <v/>
      </c>
      <c r="I233" s="14" t="str">
        <f t="array" ref="I233">IF(getRGB1(Weekly!C235)="FFFF00","초방","재방")</f>
        <v>재방</v>
      </c>
      <c r="K233" s="30" t="str">
        <f t="shared" si="57"/>
        <v/>
      </c>
      <c r="L233" s="31" t="str">
        <f t="shared" si="58"/>
        <v/>
      </c>
      <c r="M233" s="32" t="str">
        <f t="shared" si="59"/>
        <v/>
      </c>
      <c r="N233" s="32" t="str">
        <f t="shared" si="60"/>
        <v/>
      </c>
      <c r="O233" s="13" t="str">
        <f t="shared" si="61"/>
        <v/>
      </c>
      <c r="P233" s="33" t="str">
        <f t="shared" si="62"/>
        <v/>
      </c>
      <c r="Q233" s="14" t="str">
        <f t="shared" si="63"/>
        <v/>
      </c>
      <c r="R233" s="14" t="str">
        <f t="shared" si="64"/>
        <v/>
      </c>
      <c r="S233" s="14" t="str">
        <f>IF(O233&lt;&gt;"",VLOOKUP(O233,P.Info!$A$2:$B$150,2,0),"")</f>
        <v/>
      </c>
    </row>
    <row r="234" spans="1:19" ht="11.25" customHeight="1" x14ac:dyDescent="0.3">
      <c r="A234" s="10" t="str">
        <f t="shared" si="65"/>
        <v/>
      </c>
      <c r="B234" s="11">
        <f>Weekly!$C$3</f>
        <v>45915</v>
      </c>
      <c r="C234" s="12">
        <v>0.80555555555555503</v>
      </c>
      <c r="D234" s="13">
        <f>Weekly!C236</f>
        <v>0</v>
      </c>
      <c r="E234" s="13" t="str">
        <f t="shared" si="66"/>
        <v/>
      </c>
      <c r="F234" s="13" t="str">
        <f t="shared" si="69"/>
        <v/>
      </c>
      <c r="G234" s="13" t="str">
        <f t="shared" si="67"/>
        <v/>
      </c>
      <c r="H234" s="13" t="str">
        <f t="shared" si="68"/>
        <v/>
      </c>
      <c r="I234" s="14" t="str">
        <f t="array" ref="I234">IF(getRGB1(Weekly!C236)="FFFF00","초방","재방")</f>
        <v>재방</v>
      </c>
      <c r="K234" s="30" t="str">
        <f t="shared" si="57"/>
        <v/>
      </c>
      <c r="L234" s="31" t="str">
        <f t="shared" si="58"/>
        <v/>
      </c>
      <c r="M234" s="32" t="str">
        <f t="shared" si="59"/>
        <v/>
      </c>
      <c r="N234" s="32" t="str">
        <f t="shared" si="60"/>
        <v/>
      </c>
      <c r="O234" s="13" t="str">
        <f t="shared" si="61"/>
        <v/>
      </c>
      <c r="P234" s="33" t="str">
        <f t="shared" si="62"/>
        <v/>
      </c>
      <c r="Q234" s="14" t="str">
        <f t="shared" si="63"/>
        <v/>
      </c>
      <c r="R234" s="14" t="str">
        <f t="shared" si="64"/>
        <v/>
      </c>
      <c r="S234" s="14" t="str">
        <f>IF(O234&lt;&gt;"",VLOOKUP(O234,P.Info!$A$2:$B$150,2,0),"")</f>
        <v/>
      </c>
    </row>
    <row r="235" spans="1:19" ht="11.25" customHeight="1" x14ac:dyDescent="0.3">
      <c r="A235" s="10" t="str">
        <f t="shared" si="65"/>
        <v/>
      </c>
      <c r="B235" s="11">
        <f>Weekly!$C$3</f>
        <v>45915</v>
      </c>
      <c r="C235" s="12">
        <v>0.80902777777777801</v>
      </c>
      <c r="D235" s="13">
        <f>Weekly!C237</f>
        <v>0</v>
      </c>
      <c r="E235" s="13" t="str">
        <f t="shared" si="66"/>
        <v/>
      </c>
      <c r="F235" s="13" t="str">
        <f t="shared" si="69"/>
        <v/>
      </c>
      <c r="G235" s="13" t="str">
        <f t="shared" si="67"/>
        <v/>
      </c>
      <c r="H235" s="13" t="str">
        <f t="shared" si="68"/>
        <v/>
      </c>
      <c r="I235" s="14" t="str">
        <f t="array" ref="I235">IF(getRGB1(Weekly!C237)="FFFF00","초방","재방")</f>
        <v>재방</v>
      </c>
      <c r="K235" s="30" t="str">
        <f t="shared" si="57"/>
        <v/>
      </c>
      <c r="L235" s="31" t="str">
        <f t="shared" si="58"/>
        <v/>
      </c>
      <c r="M235" s="32" t="str">
        <f t="shared" si="59"/>
        <v/>
      </c>
      <c r="N235" s="32" t="str">
        <f t="shared" si="60"/>
        <v/>
      </c>
      <c r="O235" s="13" t="str">
        <f t="shared" si="61"/>
        <v/>
      </c>
      <c r="P235" s="33" t="str">
        <f t="shared" si="62"/>
        <v/>
      </c>
      <c r="Q235" s="14" t="str">
        <f t="shared" si="63"/>
        <v/>
      </c>
      <c r="R235" s="14" t="str">
        <f t="shared" si="64"/>
        <v/>
      </c>
      <c r="S235" s="14" t="str">
        <f>IF(O235&lt;&gt;"",VLOOKUP(O235,P.Info!$A$2:$B$150,2,0),"")</f>
        <v/>
      </c>
    </row>
    <row r="236" spans="1:19" ht="11.25" customHeight="1" x14ac:dyDescent="0.3">
      <c r="A236" s="10" t="str">
        <f t="shared" si="65"/>
        <v/>
      </c>
      <c r="B236" s="11">
        <f>Weekly!$C$3</f>
        <v>45915</v>
      </c>
      <c r="C236" s="12">
        <v>0.8125</v>
      </c>
      <c r="D236" s="13">
        <f>Weekly!C238</f>
        <v>0</v>
      </c>
      <c r="E236" s="13" t="str">
        <f t="shared" si="66"/>
        <v/>
      </c>
      <c r="F236" s="13" t="str">
        <f t="shared" si="69"/>
        <v/>
      </c>
      <c r="G236" s="13" t="str">
        <f t="shared" si="67"/>
        <v/>
      </c>
      <c r="H236" s="13" t="str">
        <f t="shared" si="68"/>
        <v/>
      </c>
      <c r="I236" s="14" t="str">
        <f t="array" ref="I236">IF(getRGB1(Weekly!C238)="FFFF00","초방","재방")</f>
        <v>재방</v>
      </c>
      <c r="K236" s="30" t="str">
        <f t="shared" si="57"/>
        <v/>
      </c>
      <c r="L236" s="31" t="str">
        <f t="shared" si="58"/>
        <v/>
      </c>
      <c r="M236" s="32" t="str">
        <f t="shared" si="59"/>
        <v/>
      </c>
      <c r="N236" s="32" t="str">
        <f t="shared" si="60"/>
        <v/>
      </c>
      <c r="O236" s="13" t="str">
        <f t="shared" si="61"/>
        <v/>
      </c>
      <c r="P236" s="33" t="str">
        <f t="shared" si="62"/>
        <v/>
      </c>
      <c r="Q236" s="14" t="str">
        <f t="shared" si="63"/>
        <v/>
      </c>
      <c r="R236" s="14" t="str">
        <f t="shared" si="64"/>
        <v/>
      </c>
      <c r="S236" s="14" t="str">
        <f>IF(O236&lt;&gt;"",VLOOKUP(O236,P.Info!$A$2:$B$150,2,0),"")</f>
        <v/>
      </c>
    </row>
    <row r="237" spans="1:19" ht="11.25" customHeight="1" x14ac:dyDescent="0.3">
      <c r="A237" s="10" t="str">
        <f t="shared" si="65"/>
        <v/>
      </c>
      <c r="B237" s="11">
        <f>Weekly!$C$3</f>
        <v>45915</v>
      </c>
      <c r="C237" s="12">
        <v>0.81597222222222199</v>
      </c>
      <c r="D237" s="13">
        <f>Weekly!C239</f>
        <v>0</v>
      </c>
      <c r="E237" s="13" t="str">
        <f t="shared" si="66"/>
        <v/>
      </c>
      <c r="F237" s="13" t="str">
        <f t="shared" si="69"/>
        <v/>
      </c>
      <c r="G237" s="13" t="str">
        <f t="shared" si="67"/>
        <v/>
      </c>
      <c r="H237" s="13" t="str">
        <f t="shared" si="68"/>
        <v/>
      </c>
      <c r="I237" s="14" t="str">
        <f t="array" ref="I237">IF(getRGB1(Weekly!C239)="FFFF00","초방","재방")</f>
        <v>재방</v>
      </c>
      <c r="K237" s="30" t="str">
        <f t="shared" si="57"/>
        <v/>
      </c>
      <c r="L237" s="31" t="str">
        <f t="shared" si="58"/>
        <v/>
      </c>
      <c r="M237" s="32" t="str">
        <f t="shared" si="59"/>
        <v/>
      </c>
      <c r="N237" s="32" t="str">
        <f t="shared" si="60"/>
        <v/>
      </c>
      <c r="O237" s="13" t="str">
        <f t="shared" si="61"/>
        <v/>
      </c>
      <c r="P237" s="33" t="str">
        <f t="shared" si="62"/>
        <v/>
      </c>
      <c r="Q237" s="14" t="str">
        <f t="shared" si="63"/>
        <v/>
      </c>
      <c r="R237" s="14" t="str">
        <f t="shared" si="64"/>
        <v/>
      </c>
      <c r="S237" s="14" t="str">
        <f>IF(O237&lt;&gt;"",VLOOKUP(O237,P.Info!$A$2:$B$150,2,0),"")</f>
        <v/>
      </c>
    </row>
    <row r="238" spans="1:19" ht="11.25" customHeight="1" x14ac:dyDescent="0.3">
      <c r="A238" s="10" t="str">
        <f t="shared" si="65"/>
        <v/>
      </c>
      <c r="B238" s="11">
        <f>Weekly!$C$3</f>
        <v>45915</v>
      </c>
      <c r="C238" s="12">
        <v>0.81944444444444398</v>
      </c>
      <c r="D238" s="13">
        <f>Weekly!C240</f>
        <v>0</v>
      </c>
      <c r="E238" s="13" t="str">
        <f t="shared" si="66"/>
        <v/>
      </c>
      <c r="F238" s="13" t="str">
        <f t="shared" si="69"/>
        <v/>
      </c>
      <c r="G238" s="13" t="str">
        <f t="shared" si="67"/>
        <v/>
      </c>
      <c r="H238" s="13" t="str">
        <f t="shared" si="68"/>
        <v/>
      </c>
      <c r="I238" s="14" t="str">
        <f t="array" ref="I238">IF(getRGB1(Weekly!C240)="FFFF00","초방","재방")</f>
        <v>재방</v>
      </c>
      <c r="K238" s="30" t="str">
        <f t="shared" si="57"/>
        <v/>
      </c>
      <c r="L238" s="31" t="str">
        <f t="shared" si="58"/>
        <v/>
      </c>
      <c r="M238" s="32" t="str">
        <f t="shared" si="59"/>
        <v/>
      </c>
      <c r="N238" s="32" t="str">
        <f t="shared" si="60"/>
        <v/>
      </c>
      <c r="O238" s="13" t="str">
        <f t="shared" si="61"/>
        <v/>
      </c>
      <c r="P238" s="33" t="str">
        <f t="shared" si="62"/>
        <v/>
      </c>
      <c r="Q238" s="14" t="str">
        <f t="shared" si="63"/>
        <v/>
      </c>
      <c r="R238" s="14" t="str">
        <f t="shared" si="64"/>
        <v/>
      </c>
      <c r="S238" s="14" t="str">
        <f>IF(O238&lt;&gt;"",VLOOKUP(O238,P.Info!$A$2:$B$150,2,0),"")</f>
        <v/>
      </c>
    </row>
    <row r="239" spans="1:19" ht="11.25" customHeight="1" x14ac:dyDescent="0.3">
      <c r="A239" s="10" t="str">
        <f t="shared" si="65"/>
        <v/>
      </c>
      <c r="B239" s="11">
        <f>Weekly!$C$3</f>
        <v>45915</v>
      </c>
      <c r="C239" s="12">
        <v>0.82291666666666696</v>
      </c>
      <c r="D239" s="13">
        <f>Weekly!C241</f>
        <v>0</v>
      </c>
      <c r="E239" s="13" t="str">
        <f t="shared" si="66"/>
        <v/>
      </c>
      <c r="F239" s="13" t="str">
        <f t="shared" si="69"/>
        <v/>
      </c>
      <c r="G239" s="13" t="str">
        <f t="shared" si="67"/>
        <v/>
      </c>
      <c r="H239" s="13" t="str">
        <f t="shared" si="68"/>
        <v/>
      </c>
      <c r="I239" s="14" t="str">
        <f t="array" ref="I239">IF(getRGB1(Weekly!C241)="FFFF00","초방","재방")</f>
        <v>재방</v>
      </c>
      <c r="K239" s="30" t="str">
        <f t="shared" si="57"/>
        <v/>
      </c>
      <c r="L239" s="31" t="str">
        <f t="shared" si="58"/>
        <v/>
      </c>
      <c r="M239" s="32" t="str">
        <f t="shared" si="59"/>
        <v/>
      </c>
      <c r="N239" s="32" t="str">
        <f t="shared" si="60"/>
        <v/>
      </c>
      <c r="O239" s="13" t="str">
        <f t="shared" si="61"/>
        <v/>
      </c>
      <c r="P239" s="33" t="str">
        <f t="shared" si="62"/>
        <v/>
      </c>
      <c r="Q239" s="14" t="str">
        <f t="shared" si="63"/>
        <v/>
      </c>
      <c r="R239" s="14" t="str">
        <f t="shared" si="64"/>
        <v/>
      </c>
      <c r="S239" s="14" t="str">
        <f>IF(O239&lt;&gt;"",VLOOKUP(O239,P.Info!$A$2:$B$150,2,0),"")</f>
        <v/>
      </c>
    </row>
    <row r="240" spans="1:19" ht="11.25" customHeight="1" x14ac:dyDescent="0.3">
      <c r="A240" s="10" t="str">
        <f t="shared" si="65"/>
        <v/>
      </c>
      <c r="B240" s="11">
        <f>Weekly!$C$3</f>
        <v>45915</v>
      </c>
      <c r="C240" s="12">
        <v>0.82638888888888895</v>
      </c>
      <c r="D240" s="13">
        <f>Weekly!C242</f>
        <v>0</v>
      </c>
      <c r="E240" s="13" t="str">
        <f t="shared" si="66"/>
        <v/>
      </c>
      <c r="F240" s="13" t="str">
        <f t="shared" si="69"/>
        <v/>
      </c>
      <c r="G240" s="13" t="str">
        <f t="shared" si="67"/>
        <v/>
      </c>
      <c r="H240" s="13" t="str">
        <f t="shared" si="68"/>
        <v/>
      </c>
      <c r="I240" s="14" t="str">
        <f t="array" ref="I240">IF(getRGB1(Weekly!C242)="FFFF00","초방","재방")</f>
        <v>재방</v>
      </c>
      <c r="K240" s="30" t="str">
        <f t="shared" si="57"/>
        <v/>
      </c>
      <c r="L240" s="31" t="str">
        <f t="shared" si="58"/>
        <v/>
      </c>
      <c r="M240" s="32" t="str">
        <f t="shared" si="59"/>
        <v/>
      </c>
      <c r="N240" s="32" t="str">
        <f t="shared" si="60"/>
        <v/>
      </c>
      <c r="O240" s="13" t="str">
        <f t="shared" si="61"/>
        <v/>
      </c>
      <c r="P240" s="33" t="str">
        <f t="shared" si="62"/>
        <v/>
      </c>
      <c r="Q240" s="14" t="str">
        <f t="shared" si="63"/>
        <v/>
      </c>
      <c r="R240" s="14" t="str">
        <f t="shared" si="64"/>
        <v/>
      </c>
      <c r="S240" s="14" t="str">
        <f>IF(O240&lt;&gt;"",VLOOKUP(O240,P.Info!$A$2:$B$150,2,0),"")</f>
        <v/>
      </c>
    </row>
    <row r="241" spans="1:19" ht="11.25" customHeight="1" x14ac:dyDescent="0.3">
      <c r="A241" s="10" t="str">
        <f t="shared" si="65"/>
        <v/>
      </c>
      <c r="B241" s="11">
        <f>Weekly!$C$3</f>
        <v>45915</v>
      </c>
      <c r="C241" s="12">
        <v>0.82986111111111105</v>
      </c>
      <c r="D241" s="13">
        <f>Weekly!C243</f>
        <v>0</v>
      </c>
      <c r="E241" s="13" t="str">
        <f t="shared" si="66"/>
        <v/>
      </c>
      <c r="F241" s="13" t="str">
        <f t="shared" si="69"/>
        <v/>
      </c>
      <c r="G241" s="13" t="str">
        <f t="shared" si="67"/>
        <v/>
      </c>
      <c r="H241" s="13" t="str">
        <f t="shared" si="68"/>
        <v/>
      </c>
      <c r="I241" s="14" t="str">
        <f t="array" ref="I241">IF(getRGB1(Weekly!C243)="FFFF00","초방","재방")</f>
        <v>재방</v>
      </c>
      <c r="K241" s="30" t="str">
        <f t="shared" si="57"/>
        <v/>
      </c>
      <c r="L241" s="31" t="str">
        <f t="shared" si="58"/>
        <v/>
      </c>
      <c r="M241" s="32" t="str">
        <f t="shared" si="59"/>
        <v/>
      </c>
      <c r="N241" s="32" t="str">
        <f t="shared" si="60"/>
        <v/>
      </c>
      <c r="O241" s="13" t="str">
        <f t="shared" si="61"/>
        <v/>
      </c>
      <c r="P241" s="33" t="str">
        <f t="shared" si="62"/>
        <v/>
      </c>
      <c r="Q241" s="14" t="str">
        <f t="shared" si="63"/>
        <v/>
      </c>
      <c r="R241" s="14" t="str">
        <f t="shared" si="64"/>
        <v/>
      </c>
      <c r="S241" s="14" t="str">
        <f>IF(O241&lt;&gt;"",VLOOKUP(O241,P.Info!$A$2:$B$150,2,0),"")</f>
        <v/>
      </c>
    </row>
    <row r="242" spans="1:19" ht="11.25" customHeight="1" x14ac:dyDescent="0.3">
      <c r="A242" s="10">
        <f t="shared" si="65"/>
        <v>45915.833333333336</v>
      </c>
      <c r="B242" s="11">
        <f>Weekly!$C$3</f>
        <v>45915</v>
      </c>
      <c r="C242" s="12">
        <v>0.83333333333333304</v>
      </c>
      <c r="D242" s="13" t="str">
        <f>Weekly!C244</f>
        <v xml:space="preserve"> NEWSON
&lt;66</v>
      </c>
      <c r="E242" s="13" t="str">
        <f t="shared" si="66"/>
        <v>NEWSON</v>
      </c>
      <c r="F242" s="13">
        <f t="shared" si="69"/>
        <v>66</v>
      </c>
      <c r="G242" s="13" t="str">
        <f t="shared" si="67"/>
        <v/>
      </c>
      <c r="H242" s="13" t="str">
        <f t="shared" si="68"/>
        <v/>
      </c>
      <c r="I242" s="14" t="str">
        <f t="array" ref="I242">IF(getRGB1(Weekly!C244)="FFFF00","초방","재방")</f>
        <v>재방</v>
      </c>
      <c r="K242" s="30" t="str">
        <f t="shared" si="57"/>
        <v/>
      </c>
      <c r="L242" s="31" t="str">
        <f t="shared" si="58"/>
        <v/>
      </c>
      <c r="M242" s="32" t="str">
        <f t="shared" si="59"/>
        <v/>
      </c>
      <c r="N242" s="32" t="str">
        <f t="shared" si="60"/>
        <v/>
      </c>
      <c r="O242" s="13" t="str">
        <f t="shared" si="61"/>
        <v/>
      </c>
      <c r="P242" s="33" t="str">
        <f t="shared" si="62"/>
        <v/>
      </c>
      <c r="Q242" s="14" t="str">
        <f t="shared" si="63"/>
        <v/>
      </c>
      <c r="R242" s="14" t="str">
        <f t="shared" si="64"/>
        <v/>
      </c>
      <c r="S242" s="14" t="str">
        <f>IF(O242&lt;&gt;"",VLOOKUP(O242,P.Info!$A$2:$B$150,2,0),"")</f>
        <v/>
      </c>
    </row>
    <row r="243" spans="1:19" ht="11.25" customHeight="1" x14ac:dyDescent="0.3">
      <c r="A243" s="10" t="str">
        <f t="shared" si="65"/>
        <v/>
      </c>
      <c r="B243" s="11">
        <f>Weekly!$C$3</f>
        <v>45915</v>
      </c>
      <c r="C243" s="12">
        <v>0.83680555555555503</v>
      </c>
      <c r="D243" s="13">
        <f>Weekly!C245</f>
        <v>0</v>
      </c>
      <c r="E243" s="13" t="str">
        <f t="shared" si="66"/>
        <v/>
      </c>
      <c r="F243" s="13" t="str">
        <f t="shared" si="69"/>
        <v/>
      </c>
      <c r="G243" s="13" t="str">
        <f t="shared" si="67"/>
        <v/>
      </c>
      <c r="H243" s="13" t="str">
        <f t="shared" si="68"/>
        <v/>
      </c>
      <c r="I243" s="14" t="str">
        <f t="array" ref="I243">IF(getRGB1(Weekly!C245)="FFFF00","초방","재방")</f>
        <v>재방</v>
      </c>
      <c r="K243" s="30" t="str">
        <f t="shared" si="57"/>
        <v/>
      </c>
      <c r="L243" s="31" t="str">
        <f t="shared" si="58"/>
        <v/>
      </c>
      <c r="M243" s="32" t="str">
        <f t="shared" si="59"/>
        <v/>
      </c>
      <c r="N243" s="32" t="str">
        <f t="shared" si="60"/>
        <v/>
      </c>
      <c r="O243" s="13" t="str">
        <f t="shared" si="61"/>
        <v/>
      </c>
      <c r="P243" s="33" t="str">
        <f t="shared" si="62"/>
        <v/>
      </c>
      <c r="Q243" s="14" t="str">
        <f t="shared" si="63"/>
        <v/>
      </c>
      <c r="R243" s="14" t="str">
        <f t="shared" si="64"/>
        <v/>
      </c>
      <c r="S243" s="14" t="str">
        <f>IF(O243&lt;&gt;"",VLOOKUP(O243,P.Info!$A$2:$B$150,2,0),"")</f>
        <v/>
      </c>
    </row>
    <row r="244" spans="1:19" ht="11.25" customHeight="1" x14ac:dyDescent="0.3">
      <c r="A244" s="10" t="str">
        <f t="shared" si="65"/>
        <v/>
      </c>
      <c r="B244" s="11">
        <f>Weekly!$C$3</f>
        <v>45915</v>
      </c>
      <c r="C244" s="12">
        <v>0.84027777777777801</v>
      </c>
      <c r="D244" s="13">
        <f>Weekly!C246</f>
        <v>0</v>
      </c>
      <c r="E244" s="13" t="str">
        <f t="shared" si="66"/>
        <v/>
      </c>
      <c r="F244" s="13" t="str">
        <f t="shared" si="69"/>
        <v/>
      </c>
      <c r="G244" s="13" t="str">
        <f t="shared" si="67"/>
        <v/>
      </c>
      <c r="H244" s="13" t="str">
        <f t="shared" si="68"/>
        <v/>
      </c>
      <c r="I244" s="14" t="str">
        <f t="array" ref="I244">IF(getRGB1(Weekly!C246)="FFFF00","초방","재방")</f>
        <v>재방</v>
      </c>
      <c r="K244" s="30" t="str">
        <f t="shared" si="57"/>
        <v/>
      </c>
      <c r="L244" s="31" t="str">
        <f t="shared" si="58"/>
        <v/>
      </c>
      <c r="M244" s="32" t="str">
        <f t="shared" si="59"/>
        <v/>
      </c>
      <c r="N244" s="32" t="str">
        <f t="shared" si="60"/>
        <v/>
      </c>
      <c r="O244" s="13" t="str">
        <f t="shared" si="61"/>
        <v/>
      </c>
      <c r="P244" s="33" t="str">
        <f t="shared" si="62"/>
        <v/>
      </c>
      <c r="Q244" s="14" t="str">
        <f t="shared" si="63"/>
        <v/>
      </c>
      <c r="R244" s="14" t="str">
        <f t="shared" si="64"/>
        <v/>
      </c>
      <c r="S244" s="14" t="str">
        <f>IF(O244&lt;&gt;"",VLOOKUP(O244,P.Info!$A$2:$B$150,2,0),"")</f>
        <v/>
      </c>
    </row>
    <row r="245" spans="1:19" ht="11.25" customHeight="1" x14ac:dyDescent="0.3">
      <c r="A245" s="10" t="str">
        <f t="shared" si="65"/>
        <v/>
      </c>
      <c r="B245" s="11">
        <f>Weekly!$C$3</f>
        <v>45915</v>
      </c>
      <c r="C245" s="12">
        <v>0.84375</v>
      </c>
      <c r="D245" s="13">
        <f>Weekly!C247</f>
        <v>0</v>
      </c>
      <c r="E245" s="13" t="str">
        <f t="shared" si="66"/>
        <v/>
      </c>
      <c r="F245" s="13" t="str">
        <f t="shared" si="69"/>
        <v/>
      </c>
      <c r="G245" s="13" t="str">
        <f t="shared" si="67"/>
        <v/>
      </c>
      <c r="H245" s="13" t="str">
        <f t="shared" si="68"/>
        <v/>
      </c>
      <c r="I245" s="14" t="str">
        <f t="array" ref="I245">IF(getRGB1(Weekly!C247)="FFFF00","초방","재방")</f>
        <v>재방</v>
      </c>
      <c r="K245" s="30" t="str">
        <f t="shared" si="57"/>
        <v/>
      </c>
      <c r="L245" s="31" t="str">
        <f t="shared" si="58"/>
        <v/>
      </c>
      <c r="M245" s="32" t="str">
        <f t="shared" si="59"/>
        <v/>
      </c>
      <c r="N245" s="32" t="str">
        <f t="shared" si="60"/>
        <v/>
      </c>
      <c r="O245" s="13" t="str">
        <f t="shared" si="61"/>
        <v/>
      </c>
      <c r="P245" s="33" t="str">
        <f t="shared" si="62"/>
        <v/>
      </c>
      <c r="Q245" s="14" t="str">
        <f t="shared" si="63"/>
        <v/>
      </c>
      <c r="R245" s="14" t="str">
        <f t="shared" si="64"/>
        <v/>
      </c>
      <c r="S245" s="14" t="str">
        <f>IF(O245&lt;&gt;"",VLOOKUP(O245,P.Info!$A$2:$B$150,2,0),"")</f>
        <v/>
      </c>
    </row>
    <row r="246" spans="1:19" ht="11.25" customHeight="1" x14ac:dyDescent="0.3">
      <c r="A246" s="10" t="str">
        <f t="shared" si="65"/>
        <v/>
      </c>
      <c r="B246" s="11">
        <f>Weekly!$C$3</f>
        <v>45915</v>
      </c>
      <c r="C246" s="12">
        <v>0.84722222222222199</v>
      </c>
      <c r="D246" s="13">
        <f>Weekly!C248</f>
        <v>0</v>
      </c>
      <c r="E246" s="13" t="str">
        <f t="shared" si="66"/>
        <v/>
      </c>
      <c r="F246" s="13" t="str">
        <f t="shared" si="69"/>
        <v/>
      </c>
      <c r="G246" s="13" t="str">
        <f t="shared" si="67"/>
        <v/>
      </c>
      <c r="H246" s="13" t="str">
        <f t="shared" si="68"/>
        <v/>
      </c>
      <c r="I246" s="14" t="str">
        <f t="array" ref="I246">IF(getRGB1(Weekly!C248)="FFFF00","초방","재방")</f>
        <v>재방</v>
      </c>
      <c r="K246" s="30" t="str">
        <f t="shared" si="57"/>
        <v/>
      </c>
      <c r="L246" s="31" t="str">
        <f t="shared" si="58"/>
        <v/>
      </c>
      <c r="M246" s="32" t="str">
        <f t="shared" si="59"/>
        <v/>
      </c>
      <c r="N246" s="32" t="str">
        <f t="shared" si="60"/>
        <v/>
      </c>
      <c r="O246" s="13" t="str">
        <f t="shared" si="61"/>
        <v/>
      </c>
      <c r="P246" s="33" t="str">
        <f t="shared" si="62"/>
        <v/>
      </c>
      <c r="Q246" s="14" t="str">
        <f t="shared" si="63"/>
        <v/>
      </c>
      <c r="R246" s="14" t="str">
        <f t="shared" si="64"/>
        <v/>
      </c>
      <c r="S246" s="14" t="str">
        <f>IF(O246&lt;&gt;"",VLOOKUP(O246,P.Info!$A$2:$B$150,2,0),"")</f>
        <v/>
      </c>
    </row>
    <row r="247" spans="1:19" ht="11.25" customHeight="1" x14ac:dyDescent="0.3">
      <c r="A247" s="10" t="str">
        <f t="shared" si="65"/>
        <v/>
      </c>
      <c r="B247" s="11">
        <f>Weekly!$C$3</f>
        <v>45915</v>
      </c>
      <c r="C247" s="12">
        <v>0.85069444444444398</v>
      </c>
      <c r="D247" s="13">
        <f>Weekly!C249</f>
        <v>0</v>
      </c>
      <c r="E247" s="13" t="str">
        <f t="shared" si="66"/>
        <v/>
      </c>
      <c r="F247" s="13" t="str">
        <f t="shared" si="69"/>
        <v/>
      </c>
      <c r="G247" s="13" t="str">
        <f t="shared" si="67"/>
        <v/>
      </c>
      <c r="H247" s="13" t="str">
        <f t="shared" si="68"/>
        <v/>
      </c>
      <c r="I247" s="14" t="str">
        <f t="array" ref="I247">IF(getRGB1(Weekly!C249)="FFFF00","초방","재방")</f>
        <v>재방</v>
      </c>
      <c r="K247" s="30" t="str">
        <f t="shared" si="57"/>
        <v/>
      </c>
      <c r="L247" s="31" t="str">
        <f t="shared" si="58"/>
        <v/>
      </c>
      <c r="M247" s="32" t="str">
        <f t="shared" si="59"/>
        <v/>
      </c>
      <c r="N247" s="32" t="str">
        <f t="shared" si="60"/>
        <v/>
      </c>
      <c r="O247" s="13" t="str">
        <f t="shared" si="61"/>
        <v/>
      </c>
      <c r="P247" s="33" t="str">
        <f t="shared" si="62"/>
        <v/>
      </c>
      <c r="Q247" s="14" t="str">
        <f t="shared" si="63"/>
        <v/>
      </c>
      <c r="R247" s="14" t="str">
        <f t="shared" si="64"/>
        <v/>
      </c>
      <c r="S247" s="14" t="str">
        <f>IF(O247&lt;&gt;"",VLOOKUP(O247,P.Info!$A$2:$B$150,2,0),"")</f>
        <v/>
      </c>
    </row>
    <row r="248" spans="1:19" ht="11.25" customHeight="1" x14ac:dyDescent="0.3">
      <c r="A248" s="10">
        <f t="shared" si="65"/>
        <v>45915.854166666664</v>
      </c>
      <c r="B248" s="11">
        <f>Weekly!$C$3</f>
        <v>45915</v>
      </c>
      <c r="C248" s="12">
        <v>0.85416666666666696</v>
      </c>
      <c r="D248" s="13" t="str">
        <f>Weekly!C250</f>
        <v>우리동네 너튜브
&lt;04</v>
      </c>
      <c r="E248" s="13" t="str">
        <f t="shared" si="66"/>
        <v>우리동네 너튜브</v>
      </c>
      <c r="F248" s="13">
        <f t="shared" si="69"/>
        <v>4</v>
      </c>
      <c r="G248" s="13" t="str">
        <f t="shared" si="67"/>
        <v/>
      </c>
      <c r="H248" s="13" t="str">
        <f t="shared" si="68"/>
        <v/>
      </c>
      <c r="I248" s="14" t="str">
        <f t="array" ref="I248">IF(getRGB1(Weekly!C250)="FFFF00","초방","재방")</f>
        <v>재방</v>
      </c>
      <c r="K248" s="30" t="str">
        <f t="shared" si="57"/>
        <v/>
      </c>
      <c r="L248" s="31" t="str">
        <f t="shared" si="58"/>
        <v/>
      </c>
      <c r="M248" s="32" t="str">
        <f t="shared" si="59"/>
        <v/>
      </c>
      <c r="N248" s="32" t="str">
        <f t="shared" si="60"/>
        <v/>
      </c>
      <c r="O248" s="13" t="str">
        <f t="shared" si="61"/>
        <v/>
      </c>
      <c r="P248" s="33" t="str">
        <f t="shared" si="62"/>
        <v/>
      </c>
      <c r="Q248" s="14" t="str">
        <f t="shared" si="63"/>
        <v/>
      </c>
      <c r="R248" s="14" t="str">
        <f t="shared" si="64"/>
        <v/>
      </c>
      <c r="S248" s="14" t="str">
        <f>IF(O248&lt;&gt;"",VLOOKUP(O248,P.Info!$A$2:$B$150,2,0),"")</f>
        <v/>
      </c>
    </row>
    <row r="249" spans="1:19" ht="11.25" customHeight="1" x14ac:dyDescent="0.3">
      <c r="A249" s="10" t="str">
        <f t="shared" si="65"/>
        <v/>
      </c>
      <c r="B249" s="11">
        <f>Weekly!$C$3</f>
        <v>45915</v>
      </c>
      <c r="C249" s="12">
        <v>0.85763888888888895</v>
      </c>
      <c r="D249" s="13">
        <f>Weekly!C251</f>
        <v>0</v>
      </c>
      <c r="E249" s="13" t="str">
        <f t="shared" si="66"/>
        <v/>
      </c>
      <c r="F249" s="13" t="str">
        <f t="shared" si="69"/>
        <v/>
      </c>
      <c r="G249" s="13" t="str">
        <f t="shared" si="67"/>
        <v/>
      </c>
      <c r="H249" s="13" t="str">
        <f t="shared" si="68"/>
        <v/>
      </c>
      <c r="I249" s="14" t="str">
        <f t="array" ref="I249">IF(getRGB1(Weekly!C251)="FFFF00","초방","재방")</f>
        <v>재방</v>
      </c>
      <c r="K249" s="30" t="str">
        <f t="shared" si="57"/>
        <v/>
      </c>
      <c r="L249" s="31" t="str">
        <f t="shared" si="58"/>
        <v/>
      </c>
      <c r="M249" s="32" t="str">
        <f t="shared" si="59"/>
        <v/>
      </c>
      <c r="N249" s="32" t="str">
        <f t="shared" si="60"/>
        <v/>
      </c>
      <c r="O249" s="13" t="str">
        <f t="shared" si="61"/>
        <v/>
      </c>
      <c r="P249" s="33" t="str">
        <f t="shared" si="62"/>
        <v/>
      </c>
      <c r="Q249" s="14" t="str">
        <f t="shared" si="63"/>
        <v/>
      </c>
      <c r="R249" s="14" t="str">
        <f t="shared" si="64"/>
        <v/>
      </c>
      <c r="S249" s="14" t="str">
        <f>IF(O249&lt;&gt;"",VLOOKUP(O249,P.Info!$A$2:$B$150,2,0),"")</f>
        <v/>
      </c>
    </row>
    <row r="250" spans="1:19" ht="11.25" customHeight="1" x14ac:dyDescent="0.3">
      <c r="A250" s="10" t="str">
        <f t="shared" si="65"/>
        <v/>
      </c>
      <c r="B250" s="11">
        <f>Weekly!$C$3</f>
        <v>45915</v>
      </c>
      <c r="C250" s="12">
        <v>0.86111111111111105</v>
      </c>
      <c r="D250" s="13">
        <f>Weekly!C252</f>
        <v>0</v>
      </c>
      <c r="E250" s="13" t="str">
        <f t="shared" si="66"/>
        <v/>
      </c>
      <c r="F250" s="13" t="str">
        <f t="shared" si="69"/>
        <v/>
      </c>
      <c r="G250" s="13" t="str">
        <f t="shared" si="67"/>
        <v/>
      </c>
      <c r="H250" s="13" t="str">
        <f t="shared" si="68"/>
        <v/>
      </c>
      <c r="I250" s="14" t="str">
        <f t="array" ref="I250">IF(getRGB1(Weekly!C252)="FFFF00","초방","재방")</f>
        <v>재방</v>
      </c>
      <c r="K250" s="30" t="str">
        <f t="shared" si="57"/>
        <v/>
      </c>
      <c r="L250" s="31" t="str">
        <f t="shared" si="58"/>
        <v/>
      </c>
      <c r="M250" s="32" t="str">
        <f t="shared" si="59"/>
        <v/>
      </c>
      <c r="N250" s="32" t="str">
        <f t="shared" si="60"/>
        <v/>
      </c>
      <c r="O250" s="13" t="str">
        <f t="shared" si="61"/>
        <v/>
      </c>
      <c r="P250" s="33" t="str">
        <f t="shared" si="62"/>
        <v/>
      </c>
      <c r="Q250" s="14" t="str">
        <f t="shared" si="63"/>
        <v/>
      </c>
      <c r="R250" s="14" t="str">
        <f t="shared" si="64"/>
        <v/>
      </c>
      <c r="S250" s="14" t="str">
        <f>IF(O250&lt;&gt;"",VLOOKUP(O250,P.Info!$A$2:$B$150,2,0),"")</f>
        <v/>
      </c>
    </row>
    <row r="251" spans="1:19" ht="11.25" customHeight="1" x14ac:dyDescent="0.3">
      <c r="A251" s="10" t="str">
        <f t="shared" si="65"/>
        <v/>
      </c>
      <c r="B251" s="11">
        <f>Weekly!$C$3</f>
        <v>45915</v>
      </c>
      <c r="C251" s="12">
        <v>0.86458333333333304</v>
      </c>
      <c r="D251" s="13">
        <f>Weekly!C253</f>
        <v>0</v>
      </c>
      <c r="E251" s="13" t="str">
        <f t="shared" si="66"/>
        <v/>
      </c>
      <c r="F251" s="13" t="str">
        <f t="shared" si="69"/>
        <v/>
      </c>
      <c r="G251" s="13" t="str">
        <f t="shared" si="67"/>
        <v/>
      </c>
      <c r="H251" s="13" t="str">
        <f t="shared" si="68"/>
        <v/>
      </c>
      <c r="I251" s="14" t="str">
        <f t="array" ref="I251">IF(getRGB1(Weekly!C253)="FFFF00","초방","재방")</f>
        <v>재방</v>
      </c>
      <c r="K251" s="30" t="str">
        <f t="shared" si="57"/>
        <v/>
      </c>
      <c r="L251" s="31" t="str">
        <f t="shared" si="58"/>
        <v/>
      </c>
      <c r="M251" s="32" t="str">
        <f t="shared" si="59"/>
        <v/>
      </c>
      <c r="N251" s="32" t="str">
        <f t="shared" si="60"/>
        <v/>
      </c>
      <c r="O251" s="13" t="str">
        <f t="shared" si="61"/>
        <v/>
      </c>
      <c r="P251" s="33" t="str">
        <f t="shared" si="62"/>
        <v/>
      </c>
      <c r="Q251" s="14" t="str">
        <f t="shared" si="63"/>
        <v/>
      </c>
      <c r="R251" s="14" t="str">
        <f t="shared" si="64"/>
        <v/>
      </c>
      <c r="S251" s="14" t="str">
        <f>IF(O251&lt;&gt;"",VLOOKUP(O251,P.Info!$A$2:$B$150,2,0),"")</f>
        <v/>
      </c>
    </row>
    <row r="252" spans="1:19" ht="11.25" customHeight="1" x14ac:dyDescent="0.3">
      <c r="A252" s="10" t="str">
        <f t="shared" si="65"/>
        <v/>
      </c>
      <c r="B252" s="11">
        <f>Weekly!$C$3</f>
        <v>45915</v>
      </c>
      <c r="C252" s="12">
        <v>0.86805555555555503</v>
      </c>
      <c r="D252" s="13">
        <f>Weekly!C254</f>
        <v>0</v>
      </c>
      <c r="E252" s="13" t="str">
        <f t="shared" si="66"/>
        <v/>
      </c>
      <c r="F252" s="13" t="str">
        <f t="shared" si="69"/>
        <v/>
      </c>
      <c r="G252" s="13" t="str">
        <f t="shared" si="67"/>
        <v/>
      </c>
      <c r="H252" s="13" t="str">
        <f t="shared" si="68"/>
        <v/>
      </c>
      <c r="I252" s="14" t="str">
        <f t="array" ref="I252">IF(getRGB1(Weekly!C254)="FFFF00","초방","재방")</f>
        <v>재방</v>
      </c>
      <c r="K252" s="30" t="str">
        <f t="shared" si="57"/>
        <v/>
      </c>
      <c r="L252" s="31" t="str">
        <f t="shared" si="58"/>
        <v/>
      </c>
      <c r="M252" s="32" t="str">
        <f t="shared" si="59"/>
        <v/>
      </c>
      <c r="N252" s="32" t="str">
        <f t="shared" si="60"/>
        <v/>
      </c>
      <c r="O252" s="13" t="str">
        <f t="shared" si="61"/>
        <v/>
      </c>
      <c r="P252" s="33" t="str">
        <f t="shared" si="62"/>
        <v/>
      </c>
      <c r="Q252" s="14" t="str">
        <f t="shared" si="63"/>
        <v/>
      </c>
      <c r="R252" s="14" t="str">
        <f t="shared" si="64"/>
        <v/>
      </c>
      <c r="S252" s="14" t="str">
        <f>IF(O252&lt;&gt;"",VLOOKUP(O252,P.Info!$A$2:$B$150,2,0),"")</f>
        <v/>
      </c>
    </row>
    <row r="253" spans="1:19" ht="11.25" customHeight="1" x14ac:dyDescent="0.3">
      <c r="A253" s="10" t="str">
        <f t="shared" si="65"/>
        <v/>
      </c>
      <c r="B253" s="11">
        <f>Weekly!$C$3</f>
        <v>45915</v>
      </c>
      <c r="C253" s="12">
        <v>0.87152777777777801</v>
      </c>
      <c r="D253" s="13">
        <f>Weekly!C255</f>
        <v>0</v>
      </c>
      <c r="E253" s="13" t="str">
        <f t="shared" si="66"/>
        <v/>
      </c>
      <c r="F253" s="13" t="str">
        <f t="shared" si="69"/>
        <v/>
      </c>
      <c r="G253" s="13" t="str">
        <f t="shared" si="67"/>
        <v/>
      </c>
      <c r="H253" s="13" t="str">
        <f t="shared" si="68"/>
        <v/>
      </c>
      <c r="I253" s="14" t="str">
        <f t="array" ref="I253">IF(getRGB1(Weekly!C255)="FFFF00","초방","재방")</f>
        <v>재방</v>
      </c>
      <c r="K253" s="30" t="str">
        <f t="shared" si="57"/>
        <v/>
      </c>
      <c r="L253" s="31" t="str">
        <f t="shared" si="58"/>
        <v/>
      </c>
      <c r="M253" s="32" t="str">
        <f t="shared" si="59"/>
        <v/>
      </c>
      <c r="N253" s="32" t="str">
        <f t="shared" si="60"/>
        <v/>
      </c>
      <c r="O253" s="13" t="str">
        <f t="shared" si="61"/>
        <v/>
      </c>
      <c r="P253" s="33" t="str">
        <f t="shared" si="62"/>
        <v/>
      </c>
      <c r="Q253" s="14" t="str">
        <f t="shared" si="63"/>
        <v/>
      </c>
      <c r="R253" s="14" t="str">
        <f t="shared" si="64"/>
        <v/>
      </c>
      <c r="S253" s="14" t="str">
        <f>IF(O253&lt;&gt;"",VLOOKUP(O253,P.Info!$A$2:$B$150,2,0),"")</f>
        <v/>
      </c>
    </row>
    <row r="254" spans="1:19" ht="11.25" customHeight="1" x14ac:dyDescent="0.3">
      <c r="A254" s="10" t="str">
        <f t="shared" si="65"/>
        <v/>
      </c>
      <c r="B254" s="11">
        <f>Weekly!$C$3</f>
        <v>45915</v>
      </c>
      <c r="C254" s="12">
        <v>0.875</v>
      </c>
      <c r="D254" s="13">
        <f>Weekly!C256</f>
        <v>0</v>
      </c>
      <c r="E254" s="13" t="str">
        <f t="shared" si="66"/>
        <v/>
      </c>
      <c r="F254" s="13" t="str">
        <f t="shared" si="69"/>
        <v/>
      </c>
      <c r="G254" s="13" t="str">
        <f t="shared" si="67"/>
        <v/>
      </c>
      <c r="H254" s="13" t="str">
        <f t="shared" si="68"/>
        <v/>
      </c>
      <c r="I254" s="14" t="str">
        <f t="array" ref="I254">IF(getRGB1(Weekly!C256)="FFFF00","초방","재방")</f>
        <v>재방</v>
      </c>
      <c r="K254" s="30" t="str">
        <f t="shared" si="57"/>
        <v/>
      </c>
      <c r="L254" s="31" t="str">
        <f t="shared" si="58"/>
        <v/>
      </c>
      <c r="M254" s="32" t="str">
        <f t="shared" si="59"/>
        <v/>
      </c>
      <c r="N254" s="32" t="str">
        <f t="shared" si="60"/>
        <v/>
      </c>
      <c r="O254" s="13" t="str">
        <f t="shared" si="61"/>
        <v/>
      </c>
      <c r="P254" s="33" t="str">
        <f t="shared" si="62"/>
        <v/>
      </c>
      <c r="Q254" s="14" t="str">
        <f t="shared" si="63"/>
        <v/>
      </c>
      <c r="R254" s="14" t="str">
        <f t="shared" si="64"/>
        <v/>
      </c>
      <c r="S254" s="14" t="str">
        <f>IF(O254&lt;&gt;"",VLOOKUP(O254,P.Info!$A$2:$B$150,2,0),"")</f>
        <v/>
      </c>
    </row>
    <row r="255" spans="1:19" ht="11.25" customHeight="1" x14ac:dyDescent="0.3">
      <c r="A255" s="10" t="str">
        <f t="shared" si="65"/>
        <v/>
      </c>
      <c r="B255" s="11">
        <f>Weekly!$C$3</f>
        <v>45915</v>
      </c>
      <c r="C255" s="12">
        <v>0.87847222222222199</v>
      </c>
      <c r="D255" s="13">
        <f>Weekly!C257</f>
        <v>0</v>
      </c>
      <c r="E255" s="13" t="str">
        <f t="shared" si="66"/>
        <v/>
      </c>
      <c r="F255" s="13" t="str">
        <f t="shared" si="69"/>
        <v/>
      </c>
      <c r="G255" s="13" t="str">
        <f t="shared" si="67"/>
        <v/>
      </c>
      <c r="H255" s="13" t="str">
        <f t="shared" si="68"/>
        <v/>
      </c>
      <c r="I255" s="14" t="str">
        <f t="array" ref="I255">IF(getRGB1(Weekly!C257)="FFFF00","초방","재방")</f>
        <v>재방</v>
      </c>
      <c r="K255" s="30" t="str">
        <f t="shared" si="57"/>
        <v/>
      </c>
      <c r="L255" s="31" t="str">
        <f t="shared" si="58"/>
        <v/>
      </c>
      <c r="M255" s="32" t="str">
        <f t="shared" si="59"/>
        <v/>
      </c>
      <c r="N255" s="32" t="str">
        <f t="shared" si="60"/>
        <v/>
      </c>
      <c r="O255" s="13" t="str">
        <f t="shared" si="61"/>
        <v/>
      </c>
      <c r="P255" s="33" t="str">
        <f t="shared" si="62"/>
        <v/>
      </c>
      <c r="Q255" s="14" t="str">
        <f t="shared" si="63"/>
        <v/>
      </c>
      <c r="R255" s="14" t="str">
        <f t="shared" si="64"/>
        <v/>
      </c>
      <c r="S255" s="14" t="str">
        <f>IF(O255&lt;&gt;"",VLOOKUP(O255,P.Info!$A$2:$B$150,2,0),"")</f>
        <v/>
      </c>
    </row>
    <row r="256" spans="1:19" ht="11.25" customHeight="1" x14ac:dyDescent="0.3">
      <c r="A256" s="10" t="str">
        <f t="shared" si="65"/>
        <v/>
      </c>
      <c r="B256" s="11">
        <f>Weekly!$C$3</f>
        <v>45915</v>
      </c>
      <c r="C256" s="12">
        <v>0.88194444444444398</v>
      </c>
      <c r="D256" s="13">
        <f>Weekly!C258</f>
        <v>0</v>
      </c>
      <c r="E256" s="13" t="str">
        <f t="shared" si="66"/>
        <v/>
      </c>
      <c r="F256" s="13" t="str">
        <f t="shared" si="69"/>
        <v/>
      </c>
      <c r="G256" s="13" t="str">
        <f t="shared" si="67"/>
        <v/>
      </c>
      <c r="H256" s="13" t="str">
        <f t="shared" si="68"/>
        <v/>
      </c>
      <c r="I256" s="14" t="str">
        <f t="array" ref="I256">IF(getRGB1(Weekly!C258)="FFFF00","초방","재방")</f>
        <v>재방</v>
      </c>
      <c r="K256" s="30" t="str">
        <f t="shared" si="57"/>
        <v/>
      </c>
      <c r="L256" s="31" t="str">
        <f t="shared" si="58"/>
        <v/>
      </c>
      <c r="M256" s="32" t="str">
        <f t="shared" si="59"/>
        <v/>
      </c>
      <c r="N256" s="32" t="str">
        <f t="shared" si="60"/>
        <v/>
      </c>
      <c r="O256" s="13" t="str">
        <f t="shared" si="61"/>
        <v/>
      </c>
      <c r="P256" s="33" t="str">
        <f t="shared" si="62"/>
        <v/>
      </c>
      <c r="Q256" s="14" t="str">
        <f t="shared" si="63"/>
        <v/>
      </c>
      <c r="R256" s="14" t="str">
        <f t="shared" si="64"/>
        <v/>
      </c>
      <c r="S256" s="14" t="str">
        <f>IF(O256&lt;&gt;"",VLOOKUP(O256,P.Info!$A$2:$B$150,2,0),"")</f>
        <v/>
      </c>
    </row>
    <row r="257" spans="1:19" ht="11.25" customHeight="1" x14ac:dyDescent="0.3">
      <c r="A257" s="10" t="str">
        <f t="shared" si="65"/>
        <v/>
      </c>
      <c r="B257" s="11">
        <f>Weekly!$C$3</f>
        <v>45915</v>
      </c>
      <c r="C257" s="12">
        <v>0.88541666666666696</v>
      </c>
      <c r="D257" s="13">
        <f>Weekly!C259</f>
        <v>0</v>
      </c>
      <c r="E257" s="13" t="str">
        <f t="shared" si="66"/>
        <v/>
      </c>
      <c r="F257" s="13" t="str">
        <f t="shared" si="69"/>
        <v/>
      </c>
      <c r="G257" s="13" t="str">
        <f t="shared" si="67"/>
        <v/>
      </c>
      <c r="H257" s="13" t="str">
        <f t="shared" si="68"/>
        <v/>
      </c>
      <c r="I257" s="14" t="str">
        <f t="array" ref="I257">IF(getRGB1(Weekly!C259)="FFFF00","초방","재방")</f>
        <v>재방</v>
      </c>
      <c r="K257" s="30" t="str">
        <f t="shared" si="57"/>
        <v/>
      </c>
      <c r="L257" s="31" t="str">
        <f t="shared" si="58"/>
        <v/>
      </c>
      <c r="M257" s="32" t="str">
        <f t="shared" si="59"/>
        <v/>
      </c>
      <c r="N257" s="32" t="str">
        <f t="shared" si="60"/>
        <v/>
      </c>
      <c r="O257" s="13" t="str">
        <f t="shared" si="61"/>
        <v/>
      </c>
      <c r="P257" s="33" t="str">
        <f t="shared" si="62"/>
        <v/>
      </c>
      <c r="Q257" s="14" t="str">
        <f t="shared" si="63"/>
        <v/>
      </c>
      <c r="R257" s="14" t="str">
        <f t="shared" si="64"/>
        <v/>
      </c>
      <c r="S257" s="14" t="str">
        <f>IF(O257&lt;&gt;"",VLOOKUP(O257,P.Info!$A$2:$B$150,2,0),"")</f>
        <v/>
      </c>
    </row>
    <row r="258" spans="1:19" ht="11.25" customHeight="1" x14ac:dyDescent="0.3">
      <c r="A258" s="10">
        <f t="shared" si="65"/>
        <v>45915.888888888891</v>
      </c>
      <c r="B258" s="11">
        <f>Weekly!$C$3</f>
        <v>45915</v>
      </c>
      <c r="C258" s="12">
        <v>0.88888888888888895</v>
      </c>
      <c r="D258" s="13" t="str">
        <f>Weekly!C260</f>
        <v>낭만살롱
&lt;01</v>
      </c>
      <c r="E258" s="13" t="str">
        <f t="shared" si="66"/>
        <v>낭만살롱</v>
      </c>
      <c r="F258" s="13">
        <f t="shared" si="69"/>
        <v>1</v>
      </c>
      <c r="G258" s="13" t="str">
        <f t="shared" si="67"/>
        <v/>
      </c>
      <c r="H258" s="13" t="str">
        <f t="shared" si="68"/>
        <v/>
      </c>
      <c r="I258" s="14" t="str">
        <f t="array" ref="I258">IF(getRGB1(Weekly!C260)="FFFF00","초방","재방")</f>
        <v>재방</v>
      </c>
      <c r="K258" s="30" t="str">
        <f t="shared" si="57"/>
        <v/>
      </c>
      <c r="L258" s="31" t="str">
        <f t="shared" si="58"/>
        <v/>
      </c>
      <c r="M258" s="32" t="str">
        <f t="shared" si="59"/>
        <v/>
      </c>
      <c r="N258" s="32" t="str">
        <f t="shared" si="60"/>
        <v/>
      </c>
      <c r="O258" s="13" t="str">
        <f t="shared" si="61"/>
        <v/>
      </c>
      <c r="P258" s="33" t="str">
        <f t="shared" si="62"/>
        <v/>
      </c>
      <c r="Q258" s="14" t="str">
        <f t="shared" si="63"/>
        <v/>
      </c>
      <c r="R258" s="14" t="str">
        <f t="shared" si="64"/>
        <v/>
      </c>
      <c r="S258" s="14" t="str">
        <f>IF(O258&lt;&gt;"",VLOOKUP(O258,P.Info!$A$2:$B$150,2,0),"")</f>
        <v/>
      </c>
    </row>
    <row r="259" spans="1:19" ht="11.25" customHeight="1" x14ac:dyDescent="0.3">
      <c r="A259" s="10" t="str">
        <f t="shared" si="65"/>
        <v/>
      </c>
      <c r="B259" s="11">
        <f>Weekly!$C$3</f>
        <v>45915</v>
      </c>
      <c r="C259" s="12">
        <v>0.89236111111111105</v>
      </c>
      <c r="D259" s="13">
        <f>Weekly!C261</f>
        <v>0</v>
      </c>
      <c r="E259" s="13" t="str">
        <f t="shared" si="66"/>
        <v/>
      </c>
      <c r="F259" s="13" t="str">
        <f t="shared" si="69"/>
        <v/>
      </c>
      <c r="G259" s="13" t="str">
        <f t="shared" si="67"/>
        <v/>
      </c>
      <c r="H259" s="13" t="str">
        <f t="shared" si="68"/>
        <v/>
      </c>
      <c r="I259" s="14" t="str">
        <f t="array" ref="I259">IF(getRGB1(Weekly!C261)="FFFF00","초방","재방")</f>
        <v>재방</v>
      </c>
      <c r="K259" s="30" t="str">
        <f t="shared" ref="K259:K301" si="70">IFERROR(SMALL(A:A,ROW(A258)),"")</f>
        <v/>
      </c>
      <c r="L259" s="31" t="str">
        <f t="shared" ref="L259:L301" si="71">IF(K259&lt;&gt;"",VLOOKUP(K259,$A$2:$H$2017,2,0),"")</f>
        <v/>
      </c>
      <c r="M259" s="32" t="str">
        <f t="shared" ref="M259:M301" si="72">IF(K259&lt;&gt;"",VLOOKUP(K259,$A$2:$H$2017,3,0),"")</f>
        <v/>
      </c>
      <c r="N259" s="32" t="str">
        <f t="shared" ref="N259:N301" si="73">IFERROR(IF(L260&lt;&gt;"",(L260+M260)-(L259+M259),(LARGE(L:L,1)+1)-(L259+M259)),"")</f>
        <v/>
      </c>
      <c r="O259" s="13" t="str">
        <f t="shared" ref="O259:O301" si="74">VLOOKUP(K259,$A$2:$H$2017,5,0)</f>
        <v/>
      </c>
      <c r="P259" s="33" t="str">
        <f t="shared" ref="P259:P301" si="75">VLOOKUP(K259,$A$2:$H$2017,6,0)</f>
        <v/>
      </c>
      <c r="Q259" s="14" t="str">
        <f t="shared" ref="Q259:Q301" si="76">IFERROR(IF(FIND("⑮",O259)&gt;1,"15세",""),"")</f>
        <v/>
      </c>
      <c r="R259" s="14" t="str">
        <f t="shared" ref="R259:R301" si="77">IF(K259&lt;&gt;"",VLOOKUP(K259,$A$2:$I$2017,9,0),"")</f>
        <v/>
      </c>
      <c r="S259" s="14" t="str">
        <f>IF(O259&lt;&gt;"",VLOOKUP(O259,P.Info!$A$2:$B$150,2,0),"")</f>
        <v/>
      </c>
    </row>
    <row r="260" spans="1:19" ht="11.25" customHeight="1" x14ac:dyDescent="0.3">
      <c r="A260" s="10" t="str">
        <f t="shared" si="65"/>
        <v/>
      </c>
      <c r="B260" s="11">
        <f>Weekly!$C$3</f>
        <v>45915</v>
      </c>
      <c r="C260" s="12">
        <v>0.89583333333333304</v>
      </c>
      <c r="D260" s="13">
        <f>Weekly!C262</f>
        <v>0</v>
      </c>
      <c r="E260" s="13" t="str">
        <f t="shared" si="66"/>
        <v/>
      </c>
      <c r="F260" s="13" t="str">
        <f t="shared" si="69"/>
        <v/>
      </c>
      <c r="G260" s="13" t="str">
        <f t="shared" si="67"/>
        <v/>
      </c>
      <c r="H260" s="13" t="str">
        <f t="shared" si="68"/>
        <v/>
      </c>
      <c r="I260" s="14" t="str">
        <f t="array" ref="I260">IF(getRGB1(Weekly!C262)="FFFF00","초방","재방")</f>
        <v>재방</v>
      </c>
      <c r="K260" s="30" t="str">
        <f t="shared" si="70"/>
        <v/>
      </c>
      <c r="L260" s="31" t="str">
        <f t="shared" si="71"/>
        <v/>
      </c>
      <c r="M260" s="32" t="str">
        <f t="shared" si="72"/>
        <v/>
      </c>
      <c r="N260" s="32" t="str">
        <f t="shared" si="73"/>
        <v/>
      </c>
      <c r="O260" s="13" t="str">
        <f t="shared" si="74"/>
        <v/>
      </c>
      <c r="P260" s="33" t="str">
        <f t="shared" si="75"/>
        <v/>
      </c>
      <c r="Q260" s="14" t="str">
        <f t="shared" si="76"/>
        <v/>
      </c>
      <c r="R260" s="14" t="str">
        <f t="shared" si="77"/>
        <v/>
      </c>
      <c r="S260" s="14" t="str">
        <f>IF(O260&lt;&gt;"",VLOOKUP(O260,P.Info!$A$2:$B$150,2,0),"")</f>
        <v/>
      </c>
    </row>
    <row r="261" spans="1:19" ht="11.25" customHeight="1" x14ac:dyDescent="0.3">
      <c r="A261" s="10" t="str">
        <f t="shared" si="65"/>
        <v/>
      </c>
      <c r="B261" s="11">
        <f>Weekly!$C$3</f>
        <v>45915</v>
      </c>
      <c r="C261" s="12">
        <v>0.89930555555555503</v>
      </c>
      <c r="D261" s="13">
        <f>Weekly!C263</f>
        <v>0</v>
      </c>
      <c r="E261" s="13" t="str">
        <f t="shared" si="66"/>
        <v/>
      </c>
      <c r="F261" s="13" t="str">
        <f t="shared" si="69"/>
        <v/>
      </c>
      <c r="G261" s="13" t="str">
        <f t="shared" si="67"/>
        <v/>
      </c>
      <c r="H261" s="13" t="str">
        <f t="shared" si="68"/>
        <v/>
      </c>
      <c r="I261" s="14" t="str">
        <f t="array" ref="I261">IF(getRGB1(Weekly!C263)="FFFF00","초방","재방")</f>
        <v>재방</v>
      </c>
      <c r="K261" s="30" t="str">
        <f t="shared" si="70"/>
        <v/>
      </c>
      <c r="L261" s="31" t="str">
        <f t="shared" si="71"/>
        <v/>
      </c>
      <c r="M261" s="32" t="str">
        <f t="shared" si="72"/>
        <v/>
      </c>
      <c r="N261" s="32" t="str">
        <f t="shared" si="73"/>
        <v/>
      </c>
      <c r="O261" s="13" t="str">
        <f t="shared" si="74"/>
        <v/>
      </c>
      <c r="P261" s="33" t="str">
        <f t="shared" si="75"/>
        <v/>
      </c>
      <c r="Q261" s="14" t="str">
        <f t="shared" si="76"/>
        <v/>
      </c>
      <c r="R261" s="14" t="str">
        <f t="shared" si="77"/>
        <v/>
      </c>
      <c r="S261" s="14" t="str">
        <f>IF(O261&lt;&gt;"",VLOOKUP(O261,P.Info!$A$2:$B$150,2,0),"")</f>
        <v/>
      </c>
    </row>
    <row r="262" spans="1:19" ht="11.25" customHeight="1" x14ac:dyDescent="0.3">
      <c r="A262" s="10" t="str">
        <f t="shared" si="65"/>
        <v/>
      </c>
      <c r="B262" s="11">
        <f>Weekly!$C$3</f>
        <v>45915</v>
      </c>
      <c r="C262" s="12">
        <v>0.90277777777777801</v>
      </c>
      <c r="D262" s="13">
        <f>Weekly!C264</f>
        <v>0</v>
      </c>
      <c r="E262" s="13" t="str">
        <f t="shared" si="66"/>
        <v/>
      </c>
      <c r="F262" s="13" t="str">
        <f t="shared" si="69"/>
        <v/>
      </c>
      <c r="G262" s="13" t="str">
        <f t="shared" si="67"/>
        <v/>
      </c>
      <c r="H262" s="13" t="str">
        <f t="shared" si="68"/>
        <v/>
      </c>
      <c r="I262" s="14" t="str">
        <f t="array" ref="I262">IF(getRGB1(Weekly!C264)="FFFF00","초방","재방")</f>
        <v>재방</v>
      </c>
      <c r="K262" s="30" t="str">
        <f t="shared" si="70"/>
        <v/>
      </c>
      <c r="L262" s="31" t="str">
        <f t="shared" si="71"/>
        <v/>
      </c>
      <c r="M262" s="32" t="str">
        <f t="shared" si="72"/>
        <v/>
      </c>
      <c r="N262" s="32" t="str">
        <f t="shared" si="73"/>
        <v/>
      </c>
      <c r="O262" s="13" t="str">
        <f t="shared" si="74"/>
        <v/>
      </c>
      <c r="P262" s="33" t="str">
        <f t="shared" si="75"/>
        <v/>
      </c>
      <c r="Q262" s="14" t="str">
        <f t="shared" si="76"/>
        <v/>
      </c>
      <c r="R262" s="14" t="str">
        <f t="shared" si="77"/>
        <v/>
      </c>
      <c r="S262" s="14" t="str">
        <f>IF(O262&lt;&gt;"",VLOOKUP(O262,P.Info!$A$2:$B$150,2,0),"")</f>
        <v/>
      </c>
    </row>
    <row r="263" spans="1:19" ht="11.25" customHeight="1" x14ac:dyDescent="0.3">
      <c r="A263" s="10" t="str">
        <f t="shared" si="65"/>
        <v/>
      </c>
      <c r="B263" s="11">
        <f>Weekly!$C$3</f>
        <v>45915</v>
      </c>
      <c r="C263" s="12">
        <v>0.90625</v>
      </c>
      <c r="D263" s="13">
        <f>Weekly!C265</f>
        <v>0</v>
      </c>
      <c r="E263" s="13" t="str">
        <f t="shared" si="66"/>
        <v/>
      </c>
      <c r="F263" s="13" t="str">
        <f t="shared" si="69"/>
        <v/>
      </c>
      <c r="G263" s="13" t="str">
        <f t="shared" si="67"/>
        <v/>
      </c>
      <c r="H263" s="13" t="str">
        <f t="shared" si="68"/>
        <v/>
      </c>
      <c r="I263" s="14" t="str">
        <f t="array" ref="I263">IF(getRGB1(Weekly!C265)="FFFF00","초방","재방")</f>
        <v>재방</v>
      </c>
      <c r="K263" s="30" t="str">
        <f t="shared" si="70"/>
        <v/>
      </c>
      <c r="L263" s="31" t="str">
        <f t="shared" si="71"/>
        <v/>
      </c>
      <c r="M263" s="32" t="str">
        <f t="shared" si="72"/>
        <v/>
      </c>
      <c r="N263" s="32" t="str">
        <f t="shared" si="73"/>
        <v/>
      </c>
      <c r="O263" s="13" t="str">
        <f t="shared" si="74"/>
        <v/>
      </c>
      <c r="P263" s="33" t="str">
        <f t="shared" si="75"/>
        <v/>
      </c>
      <c r="Q263" s="14" t="str">
        <f t="shared" si="76"/>
        <v/>
      </c>
      <c r="R263" s="14" t="str">
        <f t="shared" si="77"/>
        <v/>
      </c>
      <c r="S263" s="14" t="str">
        <f>IF(O263&lt;&gt;"",VLOOKUP(O263,P.Info!$A$2:$B$150,2,0),"")</f>
        <v/>
      </c>
    </row>
    <row r="264" spans="1:19" ht="11.25" customHeight="1" x14ac:dyDescent="0.3">
      <c r="A264" s="10" t="str">
        <f t="shared" si="65"/>
        <v/>
      </c>
      <c r="B264" s="11">
        <f>Weekly!$C$3</f>
        <v>45915</v>
      </c>
      <c r="C264" s="12">
        <v>0.90972222222222199</v>
      </c>
      <c r="D264" s="13">
        <f>Weekly!C266</f>
        <v>0</v>
      </c>
      <c r="E264" s="13" t="str">
        <f t="shared" si="66"/>
        <v/>
      </c>
      <c r="F264" s="13" t="str">
        <f t="shared" si="69"/>
        <v/>
      </c>
      <c r="G264" s="13" t="str">
        <f t="shared" si="67"/>
        <v/>
      </c>
      <c r="H264" s="13" t="str">
        <f t="shared" si="68"/>
        <v/>
      </c>
      <c r="I264" s="14" t="str">
        <f t="array" ref="I264">IF(getRGB1(Weekly!C266)="FFFF00","초방","재방")</f>
        <v>재방</v>
      </c>
      <c r="K264" s="30" t="str">
        <f t="shared" si="70"/>
        <v/>
      </c>
      <c r="L264" s="31" t="str">
        <f t="shared" si="71"/>
        <v/>
      </c>
      <c r="M264" s="32" t="str">
        <f t="shared" si="72"/>
        <v/>
      </c>
      <c r="N264" s="32" t="str">
        <f t="shared" si="73"/>
        <v/>
      </c>
      <c r="O264" s="13" t="str">
        <f t="shared" si="74"/>
        <v/>
      </c>
      <c r="P264" s="33" t="str">
        <f t="shared" si="75"/>
        <v/>
      </c>
      <c r="Q264" s="14" t="str">
        <f t="shared" si="76"/>
        <v/>
      </c>
      <c r="R264" s="14" t="str">
        <f t="shared" si="77"/>
        <v/>
      </c>
      <c r="S264" s="14" t="str">
        <f>IF(O264&lt;&gt;"",VLOOKUP(O264,P.Info!$A$2:$B$150,2,0),"")</f>
        <v/>
      </c>
    </row>
    <row r="265" spans="1:19" ht="11.25" customHeight="1" x14ac:dyDescent="0.3">
      <c r="A265" s="10" t="str">
        <f t="shared" si="65"/>
        <v/>
      </c>
      <c r="B265" s="11">
        <f>Weekly!$C$3</f>
        <v>45915</v>
      </c>
      <c r="C265" s="12">
        <v>0.91319444444444398</v>
      </c>
      <c r="D265" s="13">
        <f>Weekly!C267</f>
        <v>0</v>
      </c>
      <c r="E265" s="13" t="str">
        <f t="shared" si="66"/>
        <v/>
      </c>
      <c r="F265" s="13" t="str">
        <f t="shared" si="69"/>
        <v/>
      </c>
      <c r="G265" s="13" t="str">
        <f t="shared" si="67"/>
        <v/>
      </c>
      <c r="H265" s="13" t="str">
        <f t="shared" si="68"/>
        <v/>
      </c>
      <c r="I265" s="14" t="str">
        <f t="array" ref="I265">IF(getRGB1(Weekly!C267)="FFFF00","초방","재방")</f>
        <v>재방</v>
      </c>
      <c r="K265" s="30" t="str">
        <f t="shared" si="70"/>
        <v/>
      </c>
      <c r="L265" s="31" t="str">
        <f t="shared" si="71"/>
        <v/>
      </c>
      <c r="M265" s="32" t="str">
        <f t="shared" si="72"/>
        <v/>
      </c>
      <c r="N265" s="32" t="str">
        <f t="shared" si="73"/>
        <v/>
      </c>
      <c r="O265" s="13" t="str">
        <f t="shared" si="74"/>
        <v/>
      </c>
      <c r="P265" s="33" t="str">
        <f t="shared" si="75"/>
        <v/>
      </c>
      <c r="Q265" s="14" t="str">
        <f t="shared" si="76"/>
        <v/>
      </c>
      <c r="R265" s="14" t="str">
        <f t="shared" si="77"/>
        <v/>
      </c>
      <c r="S265" s="14" t="str">
        <f>IF(O265&lt;&gt;"",VLOOKUP(O265,P.Info!$A$2:$B$150,2,0),"")</f>
        <v/>
      </c>
    </row>
    <row r="266" spans="1:19" ht="11.25" customHeight="1" x14ac:dyDescent="0.3">
      <c r="A266" s="10">
        <f t="shared" si="65"/>
        <v>45915.916666666664</v>
      </c>
      <c r="B266" s="11">
        <f>Weekly!$C$3</f>
        <v>45915</v>
      </c>
      <c r="C266" s="12">
        <v>0.91666666666666696</v>
      </c>
      <c r="D266" s="13" t="str">
        <f>Weekly!C268</f>
        <v>특집 2026 지방선거_서울특별시의회 생생중계_본회의
&lt;15</v>
      </c>
      <c r="E266" s="13" t="str">
        <f t="shared" si="66"/>
        <v>특집 2026 지방선거_서울특별시의회 생생중계_본회의</v>
      </c>
      <c r="F266" s="13">
        <f t="shared" si="69"/>
        <v>15</v>
      </c>
      <c r="G266" s="13" t="str">
        <f t="shared" si="67"/>
        <v/>
      </c>
      <c r="H266" s="13" t="str">
        <f t="shared" si="68"/>
        <v/>
      </c>
      <c r="I266" s="14" t="str">
        <f t="array" ref="I266">IF(getRGB1(Weekly!C268)="FFFF00","초방","재방")</f>
        <v>재방</v>
      </c>
      <c r="K266" s="30" t="str">
        <f t="shared" si="70"/>
        <v/>
      </c>
      <c r="L266" s="31" t="str">
        <f t="shared" si="71"/>
        <v/>
      </c>
      <c r="M266" s="32" t="str">
        <f t="shared" si="72"/>
        <v/>
      </c>
      <c r="N266" s="32" t="str">
        <f t="shared" si="73"/>
        <v/>
      </c>
      <c r="O266" s="13" t="str">
        <f t="shared" si="74"/>
        <v/>
      </c>
      <c r="P266" s="33" t="str">
        <f t="shared" si="75"/>
        <v/>
      </c>
      <c r="Q266" s="14" t="str">
        <f t="shared" si="76"/>
        <v/>
      </c>
      <c r="R266" s="14" t="str">
        <f t="shared" si="77"/>
        <v/>
      </c>
      <c r="S266" s="14" t="str">
        <f>IF(O266&lt;&gt;"",VLOOKUP(O266,P.Info!$A$2:$B$150,2,0),"")</f>
        <v/>
      </c>
    </row>
    <row r="267" spans="1:19" ht="11.25" customHeight="1" x14ac:dyDescent="0.3">
      <c r="A267" s="10" t="str">
        <f t="shared" si="65"/>
        <v/>
      </c>
      <c r="B267" s="11">
        <f>Weekly!$C$3</f>
        <v>45915</v>
      </c>
      <c r="C267" s="12">
        <v>0.92013888888888895</v>
      </c>
      <c r="D267" s="13">
        <f>Weekly!C269</f>
        <v>0</v>
      </c>
      <c r="E267" s="13" t="str">
        <f t="shared" si="66"/>
        <v/>
      </c>
      <c r="F267" s="13" t="str">
        <f t="shared" si="69"/>
        <v/>
      </c>
      <c r="G267" s="13" t="str">
        <f t="shared" si="67"/>
        <v/>
      </c>
      <c r="H267" s="13" t="str">
        <f t="shared" si="68"/>
        <v/>
      </c>
      <c r="I267" s="14" t="str">
        <f t="array" ref="I267">IF(getRGB1(Weekly!C269)="FFFF00","초방","재방")</f>
        <v>재방</v>
      </c>
      <c r="K267" s="30" t="str">
        <f t="shared" si="70"/>
        <v/>
      </c>
      <c r="L267" s="31" t="str">
        <f t="shared" si="71"/>
        <v/>
      </c>
      <c r="M267" s="32" t="str">
        <f t="shared" si="72"/>
        <v/>
      </c>
      <c r="N267" s="32" t="str">
        <f t="shared" si="73"/>
        <v/>
      </c>
      <c r="O267" s="13" t="str">
        <f t="shared" si="74"/>
        <v/>
      </c>
      <c r="P267" s="33" t="str">
        <f t="shared" si="75"/>
        <v/>
      </c>
      <c r="Q267" s="14" t="str">
        <f t="shared" si="76"/>
        <v/>
      </c>
      <c r="R267" s="14" t="str">
        <f t="shared" si="77"/>
        <v/>
      </c>
      <c r="S267" s="14" t="str">
        <f>IF(O267&lt;&gt;"",VLOOKUP(O267,P.Info!$A$2:$B$150,2,0),"")</f>
        <v/>
      </c>
    </row>
    <row r="268" spans="1:19" ht="11.25" customHeight="1" x14ac:dyDescent="0.3">
      <c r="A268" s="10" t="str">
        <f t="shared" si="65"/>
        <v/>
      </c>
      <c r="B268" s="11">
        <f>Weekly!$C$3</f>
        <v>45915</v>
      </c>
      <c r="C268" s="12">
        <v>0.92361111111111105</v>
      </c>
      <c r="D268" s="13">
        <f>Weekly!C270</f>
        <v>0</v>
      </c>
      <c r="E268" s="13" t="str">
        <f t="shared" si="66"/>
        <v/>
      </c>
      <c r="F268" s="13" t="str">
        <f t="shared" si="69"/>
        <v/>
      </c>
      <c r="G268" s="13" t="str">
        <f t="shared" si="67"/>
        <v/>
      </c>
      <c r="H268" s="13" t="str">
        <f t="shared" si="68"/>
        <v/>
      </c>
      <c r="I268" s="14" t="str">
        <f t="array" ref="I268">IF(getRGB1(Weekly!C270)="FFFF00","초방","재방")</f>
        <v>재방</v>
      </c>
      <c r="K268" s="30" t="str">
        <f t="shared" si="70"/>
        <v/>
      </c>
      <c r="L268" s="31" t="str">
        <f t="shared" si="71"/>
        <v/>
      </c>
      <c r="M268" s="32" t="str">
        <f t="shared" si="72"/>
        <v/>
      </c>
      <c r="N268" s="32" t="str">
        <f t="shared" si="73"/>
        <v/>
      </c>
      <c r="O268" s="13" t="str">
        <f t="shared" si="74"/>
        <v/>
      </c>
      <c r="P268" s="33" t="str">
        <f t="shared" si="75"/>
        <v/>
      </c>
      <c r="Q268" s="14" t="str">
        <f t="shared" si="76"/>
        <v/>
      </c>
      <c r="R268" s="14" t="str">
        <f t="shared" si="77"/>
        <v/>
      </c>
      <c r="S268" s="14" t="str">
        <f>IF(O268&lt;&gt;"",VLOOKUP(O268,P.Info!$A$2:$B$150,2,0),"")</f>
        <v/>
      </c>
    </row>
    <row r="269" spans="1:19" ht="11.25" customHeight="1" x14ac:dyDescent="0.3">
      <c r="A269" s="10" t="str">
        <f t="shared" si="65"/>
        <v/>
      </c>
      <c r="B269" s="11">
        <f>Weekly!$C$3</f>
        <v>45915</v>
      </c>
      <c r="C269" s="12">
        <v>0.92708333333333304</v>
      </c>
      <c r="D269" s="13">
        <f>Weekly!C271</f>
        <v>0</v>
      </c>
      <c r="E269" s="13" t="str">
        <f t="shared" si="66"/>
        <v/>
      </c>
      <c r="F269" s="13" t="str">
        <f t="shared" si="69"/>
        <v/>
      </c>
      <c r="G269" s="13" t="str">
        <f t="shared" si="67"/>
        <v/>
      </c>
      <c r="H269" s="13" t="str">
        <f t="shared" si="68"/>
        <v/>
      </c>
      <c r="I269" s="14" t="str">
        <f t="array" ref="I269">IF(getRGB1(Weekly!C271)="FFFF00","초방","재방")</f>
        <v>재방</v>
      </c>
      <c r="K269" s="30" t="str">
        <f t="shared" si="70"/>
        <v/>
      </c>
      <c r="L269" s="31" t="str">
        <f t="shared" si="71"/>
        <v/>
      </c>
      <c r="M269" s="32" t="str">
        <f t="shared" si="72"/>
        <v/>
      </c>
      <c r="N269" s="32" t="str">
        <f t="shared" si="73"/>
        <v/>
      </c>
      <c r="O269" s="13" t="str">
        <f t="shared" si="74"/>
        <v/>
      </c>
      <c r="P269" s="33" t="str">
        <f t="shared" si="75"/>
        <v/>
      </c>
      <c r="Q269" s="14" t="str">
        <f t="shared" si="76"/>
        <v/>
      </c>
      <c r="R269" s="14" t="str">
        <f t="shared" si="77"/>
        <v/>
      </c>
      <c r="S269" s="14" t="str">
        <f>IF(O269&lt;&gt;"",VLOOKUP(O269,P.Info!$A$2:$B$150,2,0),"")</f>
        <v/>
      </c>
    </row>
    <row r="270" spans="1:19" ht="11.25" customHeight="1" x14ac:dyDescent="0.3">
      <c r="A270" s="10" t="str">
        <f t="shared" si="65"/>
        <v/>
      </c>
      <c r="B270" s="11">
        <f>Weekly!$C$3</f>
        <v>45915</v>
      </c>
      <c r="C270" s="12">
        <v>0.93055555555555503</v>
      </c>
      <c r="D270" s="13">
        <f>Weekly!C272</f>
        <v>0</v>
      </c>
      <c r="E270" s="13" t="str">
        <f t="shared" si="66"/>
        <v/>
      </c>
      <c r="F270" s="13" t="str">
        <f t="shared" si="69"/>
        <v/>
      </c>
      <c r="G270" s="13" t="str">
        <f t="shared" si="67"/>
        <v/>
      </c>
      <c r="H270" s="13" t="str">
        <f t="shared" si="68"/>
        <v/>
      </c>
      <c r="I270" s="14" t="str">
        <f t="array" ref="I270">IF(getRGB1(Weekly!C272)="FFFF00","초방","재방")</f>
        <v>재방</v>
      </c>
      <c r="K270" s="30" t="str">
        <f t="shared" si="70"/>
        <v/>
      </c>
      <c r="L270" s="31" t="str">
        <f t="shared" si="71"/>
        <v/>
      </c>
      <c r="M270" s="32" t="str">
        <f t="shared" si="72"/>
        <v/>
      </c>
      <c r="N270" s="32" t="str">
        <f t="shared" si="73"/>
        <v/>
      </c>
      <c r="O270" s="13" t="str">
        <f t="shared" si="74"/>
        <v/>
      </c>
      <c r="P270" s="33" t="str">
        <f t="shared" si="75"/>
        <v/>
      </c>
      <c r="Q270" s="14" t="str">
        <f t="shared" si="76"/>
        <v/>
      </c>
      <c r="R270" s="14" t="str">
        <f t="shared" si="77"/>
        <v/>
      </c>
      <c r="S270" s="14" t="str">
        <f>IF(O270&lt;&gt;"",VLOOKUP(O270,P.Info!$A$2:$B$150,2,0),"")</f>
        <v/>
      </c>
    </row>
    <row r="271" spans="1:19" ht="11.25" customHeight="1" x14ac:dyDescent="0.3">
      <c r="A271" s="10" t="str">
        <f t="shared" si="65"/>
        <v/>
      </c>
      <c r="B271" s="11">
        <f>Weekly!$C$3</f>
        <v>45915</v>
      </c>
      <c r="C271" s="12">
        <v>0.93402777777777801</v>
      </c>
      <c r="D271" s="13">
        <f>Weekly!C273</f>
        <v>0</v>
      </c>
      <c r="E271" s="13" t="str">
        <f t="shared" si="66"/>
        <v/>
      </c>
      <c r="F271" s="13" t="str">
        <f t="shared" si="69"/>
        <v/>
      </c>
      <c r="G271" s="13" t="str">
        <f t="shared" si="67"/>
        <v/>
      </c>
      <c r="H271" s="13" t="str">
        <f t="shared" si="68"/>
        <v/>
      </c>
      <c r="I271" s="14" t="str">
        <f t="array" ref="I271">IF(getRGB1(Weekly!C273)="FFFF00","초방","재방")</f>
        <v>재방</v>
      </c>
      <c r="K271" s="30" t="str">
        <f t="shared" si="70"/>
        <v/>
      </c>
      <c r="L271" s="31" t="str">
        <f t="shared" si="71"/>
        <v/>
      </c>
      <c r="M271" s="32" t="str">
        <f t="shared" si="72"/>
        <v/>
      </c>
      <c r="N271" s="32" t="str">
        <f t="shared" si="73"/>
        <v/>
      </c>
      <c r="O271" s="13" t="str">
        <f t="shared" si="74"/>
        <v/>
      </c>
      <c r="P271" s="33" t="str">
        <f t="shared" si="75"/>
        <v/>
      </c>
      <c r="Q271" s="14" t="str">
        <f t="shared" si="76"/>
        <v/>
      </c>
      <c r="R271" s="14" t="str">
        <f t="shared" si="77"/>
        <v/>
      </c>
      <c r="S271" s="14" t="str">
        <f>IF(O271&lt;&gt;"",VLOOKUP(O271,P.Info!$A$2:$B$150,2,0),"")</f>
        <v/>
      </c>
    </row>
    <row r="272" spans="1:19" ht="11.25" customHeight="1" x14ac:dyDescent="0.3">
      <c r="A272" s="10" t="str">
        <f t="shared" si="65"/>
        <v/>
      </c>
      <c r="B272" s="11">
        <f>Weekly!$C$3</f>
        <v>45915</v>
      </c>
      <c r="C272" s="12">
        <v>0.9375</v>
      </c>
      <c r="D272" s="13">
        <f>Weekly!C274</f>
        <v>0</v>
      </c>
      <c r="E272" s="13" t="str">
        <f t="shared" si="66"/>
        <v/>
      </c>
      <c r="F272" s="13" t="str">
        <f t="shared" si="69"/>
        <v/>
      </c>
      <c r="G272" s="13" t="str">
        <f t="shared" si="67"/>
        <v/>
      </c>
      <c r="H272" s="13" t="str">
        <f t="shared" si="68"/>
        <v/>
      </c>
      <c r="I272" s="14" t="str">
        <f t="array" ref="I272">IF(getRGB1(Weekly!C274)="FFFF00","초방","재방")</f>
        <v>재방</v>
      </c>
      <c r="K272" s="30" t="str">
        <f t="shared" si="70"/>
        <v/>
      </c>
      <c r="L272" s="31" t="str">
        <f t="shared" si="71"/>
        <v/>
      </c>
      <c r="M272" s="32" t="str">
        <f t="shared" si="72"/>
        <v/>
      </c>
      <c r="N272" s="32" t="str">
        <f t="shared" si="73"/>
        <v/>
      </c>
      <c r="O272" s="13" t="str">
        <f t="shared" si="74"/>
        <v/>
      </c>
      <c r="P272" s="33" t="str">
        <f t="shared" si="75"/>
        <v/>
      </c>
      <c r="Q272" s="14" t="str">
        <f t="shared" si="76"/>
        <v/>
      </c>
      <c r="R272" s="14" t="str">
        <f t="shared" si="77"/>
        <v/>
      </c>
      <c r="S272" s="14" t="str">
        <f>IF(O272&lt;&gt;"",VLOOKUP(O272,P.Info!$A$2:$B$120,2,0),"")</f>
        <v/>
      </c>
    </row>
    <row r="273" spans="1:19" ht="11.25" customHeight="1" x14ac:dyDescent="0.3">
      <c r="A273" s="10" t="str">
        <f t="shared" si="65"/>
        <v/>
      </c>
      <c r="B273" s="11">
        <f>Weekly!$C$3</f>
        <v>45915</v>
      </c>
      <c r="C273" s="12">
        <v>0.94097222222222199</v>
      </c>
      <c r="D273" s="13">
        <f>Weekly!C275</f>
        <v>0</v>
      </c>
      <c r="E273" s="13" t="str">
        <f t="shared" si="66"/>
        <v/>
      </c>
      <c r="F273" s="13" t="str">
        <f t="shared" si="69"/>
        <v/>
      </c>
      <c r="G273" s="13" t="str">
        <f t="shared" si="67"/>
        <v/>
      </c>
      <c r="H273" s="13" t="str">
        <f t="shared" si="68"/>
        <v/>
      </c>
      <c r="I273" s="14" t="str">
        <f t="array" ref="I273">IF(getRGB1(Weekly!C275)="FFFF00","초방","재방")</f>
        <v>재방</v>
      </c>
      <c r="K273" s="30" t="str">
        <f t="shared" si="70"/>
        <v/>
      </c>
      <c r="L273" s="31" t="str">
        <f t="shared" si="71"/>
        <v/>
      </c>
      <c r="M273" s="32" t="str">
        <f t="shared" si="72"/>
        <v/>
      </c>
      <c r="N273" s="32" t="str">
        <f t="shared" si="73"/>
        <v/>
      </c>
      <c r="O273" s="13" t="str">
        <f t="shared" si="74"/>
        <v/>
      </c>
      <c r="P273" s="33" t="str">
        <f t="shared" si="75"/>
        <v/>
      </c>
      <c r="Q273" s="14" t="str">
        <f t="shared" si="76"/>
        <v/>
      </c>
      <c r="R273" s="14" t="str">
        <f t="shared" si="77"/>
        <v/>
      </c>
      <c r="S273" s="14" t="str">
        <f>IF(O273&lt;&gt;"",VLOOKUP(O273,P.Info!$A$2:$B$120,2,0),"")</f>
        <v/>
      </c>
    </row>
    <row r="274" spans="1:19" ht="11.25" customHeight="1" x14ac:dyDescent="0.3">
      <c r="A274" s="10" t="str">
        <f t="shared" si="65"/>
        <v/>
      </c>
      <c r="B274" s="11">
        <f>Weekly!$C$3</f>
        <v>45915</v>
      </c>
      <c r="C274" s="12">
        <v>0.94444444444444398</v>
      </c>
      <c r="D274" s="13">
        <f>Weekly!C276</f>
        <v>0</v>
      </c>
      <c r="E274" s="13" t="str">
        <f t="shared" si="66"/>
        <v/>
      </c>
      <c r="F274" s="13" t="str">
        <f t="shared" si="69"/>
        <v/>
      </c>
      <c r="G274" s="13" t="str">
        <f t="shared" si="67"/>
        <v/>
      </c>
      <c r="H274" s="13" t="str">
        <f t="shared" si="68"/>
        <v/>
      </c>
      <c r="I274" s="14" t="str">
        <f t="array" ref="I274">IF(getRGB1(Weekly!C276)="FFFF00","초방","재방")</f>
        <v>재방</v>
      </c>
      <c r="K274" s="30" t="str">
        <f t="shared" si="70"/>
        <v/>
      </c>
      <c r="L274" s="31" t="str">
        <f t="shared" si="71"/>
        <v/>
      </c>
      <c r="M274" s="32" t="str">
        <f t="shared" si="72"/>
        <v/>
      </c>
      <c r="N274" s="32" t="str">
        <f t="shared" si="73"/>
        <v/>
      </c>
      <c r="O274" s="13" t="str">
        <f t="shared" si="74"/>
        <v/>
      </c>
      <c r="P274" s="33" t="str">
        <f t="shared" si="75"/>
        <v/>
      </c>
      <c r="Q274" s="14" t="str">
        <f t="shared" si="76"/>
        <v/>
      </c>
      <c r="R274" s="14" t="str">
        <f t="shared" si="77"/>
        <v/>
      </c>
      <c r="S274" s="14" t="str">
        <f>IF(O274&lt;&gt;"",VLOOKUP(O274,P.Info!$A$2:$B$120,2,0),"")</f>
        <v/>
      </c>
    </row>
    <row r="275" spans="1:19" ht="11.25" customHeight="1" x14ac:dyDescent="0.3">
      <c r="A275" s="10" t="str">
        <f t="shared" si="65"/>
        <v/>
      </c>
      <c r="B275" s="11">
        <f>Weekly!$C$3</f>
        <v>45915</v>
      </c>
      <c r="C275" s="12">
        <v>0.94791666666666696</v>
      </c>
      <c r="D275" s="13">
        <f>Weekly!C277</f>
        <v>0</v>
      </c>
      <c r="E275" s="13" t="str">
        <f t="shared" si="66"/>
        <v/>
      </c>
      <c r="F275" s="13" t="str">
        <f t="shared" si="69"/>
        <v/>
      </c>
      <c r="G275" s="13" t="str">
        <f t="shared" si="67"/>
        <v/>
      </c>
      <c r="H275" s="13" t="str">
        <f t="shared" si="68"/>
        <v/>
      </c>
      <c r="I275" s="14" t="str">
        <f t="array" ref="I275">IF(getRGB1(Weekly!C277)="FFFF00","초방","재방")</f>
        <v>재방</v>
      </c>
      <c r="K275" s="30" t="str">
        <f t="shared" si="70"/>
        <v/>
      </c>
      <c r="L275" s="31" t="str">
        <f t="shared" si="71"/>
        <v/>
      </c>
      <c r="M275" s="32" t="str">
        <f t="shared" si="72"/>
        <v/>
      </c>
      <c r="N275" s="32" t="str">
        <f t="shared" si="73"/>
        <v/>
      </c>
      <c r="O275" s="13" t="str">
        <f t="shared" si="74"/>
        <v/>
      </c>
      <c r="P275" s="33" t="str">
        <f t="shared" si="75"/>
        <v/>
      </c>
      <c r="Q275" s="14" t="str">
        <f t="shared" si="76"/>
        <v/>
      </c>
      <c r="R275" s="14" t="str">
        <f t="shared" si="77"/>
        <v/>
      </c>
      <c r="S275" s="14" t="str">
        <f>IF(O275&lt;&gt;"",VLOOKUP(O275,P.Info!$A$2:$B$120,2,0),"")</f>
        <v/>
      </c>
    </row>
    <row r="276" spans="1:19" ht="11.25" customHeight="1" x14ac:dyDescent="0.3">
      <c r="A276" s="10" t="str">
        <f t="shared" si="65"/>
        <v/>
      </c>
      <c r="B276" s="11">
        <f>Weekly!$C$3</f>
        <v>45915</v>
      </c>
      <c r="C276" s="12">
        <v>0.95138888888888895</v>
      </c>
      <c r="D276" s="13">
        <f>Weekly!C278</f>
        <v>0</v>
      </c>
      <c r="E276" s="13" t="str">
        <f t="shared" si="66"/>
        <v/>
      </c>
      <c r="F276" s="13" t="str">
        <f t="shared" si="69"/>
        <v/>
      </c>
      <c r="G276" s="13" t="str">
        <f t="shared" si="67"/>
        <v/>
      </c>
      <c r="H276" s="13" t="str">
        <f t="shared" si="68"/>
        <v/>
      </c>
      <c r="I276" s="14" t="str">
        <f t="array" ref="I276">IF(getRGB1(Weekly!C278)="FFFF00","초방","재방")</f>
        <v>재방</v>
      </c>
      <c r="K276" s="30" t="str">
        <f t="shared" si="70"/>
        <v/>
      </c>
      <c r="L276" s="31" t="str">
        <f t="shared" si="71"/>
        <v/>
      </c>
      <c r="M276" s="32" t="str">
        <f t="shared" si="72"/>
        <v/>
      </c>
      <c r="N276" s="32" t="str">
        <f t="shared" si="73"/>
        <v/>
      </c>
      <c r="O276" s="13" t="str">
        <f t="shared" si="74"/>
        <v/>
      </c>
      <c r="P276" s="33" t="str">
        <f t="shared" si="75"/>
        <v/>
      </c>
      <c r="Q276" s="14" t="str">
        <f t="shared" si="76"/>
        <v/>
      </c>
      <c r="R276" s="14" t="str">
        <f t="shared" si="77"/>
        <v/>
      </c>
      <c r="S276" s="14" t="str">
        <f>IF(O276&lt;&gt;"",VLOOKUP(O276,P.Info!$A$2:$B$120,2,0),"")</f>
        <v/>
      </c>
    </row>
    <row r="277" spans="1:19" ht="11.25" customHeight="1" x14ac:dyDescent="0.3">
      <c r="A277" s="10" t="str">
        <f t="shared" si="65"/>
        <v/>
      </c>
      <c r="B277" s="11">
        <f>Weekly!$C$3</f>
        <v>45915</v>
      </c>
      <c r="C277" s="12">
        <v>0.95486111111111105</v>
      </c>
      <c r="D277" s="13">
        <f>Weekly!C279</f>
        <v>0</v>
      </c>
      <c r="E277" s="13" t="str">
        <f t="shared" si="66"/>
        <v/>
      </c>
      <c r="F277" s="13" t="str">
        <f t="shared" si="69"/>
        <v/>
      </c>
      <c r="G277" s="13" t="str">
        <f t="shared" si="67"/>
        <v/>
      </c>
      <c r="H277" s="13" t="str">
        <f t="shared" si="68"/>
        <v/>
      </c>
      <c r="I277" s="14" t="str">
        <f t="array" ref="I277">IF(getRGB1(Weekly!C279)="FFFF00","초방","재방")</f>
        <v>재방</v>
      </c>
      <c r="K277" s="30" t="str">
        <f t="shared" si="70"/>
        <v/>
      </c>
      <c r="L277" s="31" t="str">
        <f t="shared" si="71"/>
        <v/>
      </c>
      <c r="M277" s="32" t="str">
        <f t="shared" si="72"/>
        <v/>
      </c>
      <c r="N277" s="32" t="str">
        <f t="shared" si="73"/>
        <v/>
      </c>
      <c r="O277" s="13" t="str">
        <f t="shared" si="74"/>
        <v/>
      </c>
      <c r="P277" s="33" t="str">
        <f t="shared" si="75"/>
        <v/>
      </c>
      <c r="Q277" s="14" t="str">
        <f t="shared" si="76"/>
        <v/>
      </c>
      <c r="R277" s="14" t="str">
        <f t="shared" si="77"/>
        <v/>
      </c>
      <c r="S277" s="14" t="str">
        <f>IF(O277&lt;&gt;"",VLOOKUP(O277,P.Info!$A$2:$B$120,2,0),"")</f>
        <v/>
      </c>
    </row>
    <row r="278" spans="1:19" ht="11.25" customHeight="1" x14ac:dyDescent="0.3">
      <c r="A278" s="10">
        <f t="shared" si="65"/>
        <v>45915.958333333336</v>
      </c>
      <c r="B278" s="11">
        <f>Weekly!$C$3</f>
        <v>45915</v>
      </c>
      <c r="C278" s="12">
        <v>0.95833333333333304</v>
      </c>
      <c r="D278" s="13" t="str">
        <f>Weekly!C280</f>
        <v>특집 2026 지방선거_서울특별시의회 생생중계_상임위
&lt;15</v>
      </c>
      <c r="E278" s="13" t="str">
        <f t="shared" si="66"/>
        <v>특집 2026 지방선거_서울특별시의회 생생중계_상임위</v>
      </c>
      <c r="F278" s="13">
        <f t="shared" si="69"/>
        <v>15</v>
      </c>
      <c r="G278" s="13" t="str">
        <f t="shared" si="67"/>
        <v/>
      </c>
      <c r="H278" s="13" t="str">
        <f t="shared" si="68"/>
        <v/>
      </c>
      <c r="I278" s="14" t="str">
        <f t="array" ref="I278">IF(getRGB1(Weekly!C280)="FFFF00","초방","재방")</f>
        <v>재방</v>
      </c>
      <c r="K278" s="30" t="str">
        <f t="shared" si="70"/>
        <v/>
      </c>
      <c r="L278" s="31" t="str">
        <f t="shared" si="71"/>
        <v/>
      </c>
      <c r="M278" s="32" t="str">
        <f t="shared" si="72"/>
        <v/>
      </c>
      <c r="N278" s="32" t="str">
        <f t="shared" si="73"/>
        <v/>
      </c>
      <c r="O278" s="13" t="str">
        <f t="shared" si="74"/>
        <v/>
      </c>
      <c r="P278" s="33" t="str">
        <f t="shared" si="75"/>
        <v/>
      </c>
      <c r="Q278" s="14" t="str">
        <f t="shared" si="76"/>
        <v/>
      </c>
      <c r="R278" s="14" t="str">
        <f t="shared" si="77"/>
        <v/>
      </c>
      <c r="S278" s="14" t="str">
        <f>IF(O278&lt;&gt;"",VLOOKUP(O278,P.Info!$A$2:$B$120,2,0),"")</f>
        <v/>
      </c>
    </row>
    <row r="279" spans="1:19" ht="11.25" customHeight="1" x14ac:dyDescent="0.3">
      <c r="A279" s="10" t="str">
        <f t="shared" si="65"/>
        <v/>
      </c>
      <c r="B279" s="11">
        <f>Weekly!$C$3</f>
        <v>45915</v>
      </c>
      <c r="C279" s="12">
        <v>0.96180555555555503</v>
      </c>
      <c r="D279" s="13">
        <f>Weekly!C281</f>
        <v>0</v>
      </c>
      <c r="E279" s="13" t="str">
        <f t="shared" si="66"/>
        <v/>
      </c>
      <c r="F279" s="13" t="str">
        <f t="shared" si="69"/>
        <v/>
      </c>
      <c r="G279" s="13" t="str">
        <f t="shared" si="67"/>
        <v/>
      </c>
      <c r="H279" s="13" t="str">
        <f t="shared" si="68"/>
        <v/>
      </c>
      <c r="I279" s="14" t="str">
        <f t="array" ref="I279">IF(getRGB1(Weekly!C281)="FFFF00","초방","재방")</f>
        <v>재방</v>
      </c>
      <c r="K279" s="30" t="str">
        <f t="shared" si="70"/>
        <v/>
      </c>
      <c r="L279" s="31" t="str">
        <f t="shared" si="71"/>
        <v/>
      </c>
      <c r="M279" s="32" t="str">
        <f t="shared" si="72"/>
        <v/>
      </c>
      <c r="N279" s="32" t="str">
        <f t="shared" si="73"/>
        <v/>
      </c>
      <c r="O279" s="13" t="str">
        <f t="shared" si="74"/>
        <v/>
      </c>
      <c r="P279" s="33" t="str">
        <f t="shared" si="75"/>
        <v/>
      </c>
      <c r="Q279" s="14" t="str">
        <f t="shared" si="76"/>
        <v/>
      </c>
      <c r="R279" s="14" t="str">
        <f t="shared" si="77"/>
        <v/>
      </c>
      <c r="S279" s="14" t="str">
        <f>IF(O279&lt;&gt;"",VLOOKUP(O279,P.Info!$A$2:$B$120,2,0),"")</f>
        <v/>
      </c>
    </row>
    <row r="280" spans="1:19" ht="11.25" customHeight="1" x14ac:dyDescent="0.3">
      <c r="A280" s="10" t="str">
        <f t="shared" si="65"/>
        <v/>
      </c>
      <c r="B280" s="11">
        <f>Weekly!$C$3</f>
        <v>45915</v>
      </c>
      <c r="C280" s="12">
        <v>0.96527777777777801</v>
      </c>
      <c r="D280" s="13">
        <f>Weekly!C282</f>
        <v>0</v>
      </c>
      <c r="E280" s="13" t="str">
        <f t="shared" si="66"/>
        <v/>
      </c>
      <c r="F280" s="13" t="str">
        <f t="shared" si="69"/>
        <v/>
      </c>
      <c r="G280" s="13" t="str">
        <f t="shared" si="67"/>
        <v/>
      </c>
      <c r="H280" s="13" t="str">
        <f t="shared" si="68"/>
        <v/>
      </c>
      <c r="I280" s="14" t="str">
        <f t="array" ref="I280">IF(getRGB1(Weekly!C282)="FFFF00","초방","재방")</f>
        <v>재방</v>
      </c>
      <c r="K280" s="30" t="str">
        <f t="shared" si="70"/>
        <v/>
      </c>
      <c r="L280" s="31" t="str">
        <f t="shared" si="71"/>
        <v/>
      </c>
      <c r="M280" s="32" t="str">
        <f t="shared" si="72"/>
        <v/>
      </c>
      <c r="N280" s="32" t="str">
        <f t="shared" si="73"/>
        <v/>
      </c>
      <c r="O280" s="13" t="str">
        <f t="shared" si="74"/>
        <v/>
      </c>
      <c r="P280" s="33" t="str">
        <f t="shared" si="75"/>
        <v/>
      </c>
      <c r="Q280" s="14" t="str">
        <f t="shared" si="76"/>
        <v/>
      </c>
      <c r="R280" s="14" t="str">
        <f t="shared" si="77"/>
        <v/>
      </c>
      <c r="S280" s="14" t="str">
        <f>IF(O280&lt;&gt;"",VLOOKUP(O280,P.Info!$A$2:$B$120,2,0),"")</f>
        <v/>
      </c>
    </row>
    <row r="281" spans="1:19" ht="11.25" customHeight="1" x14ac:dyDescent="0.3">
      <c r="A281" s="10" t="str">
        <f t="shared" si="65"/>
        <v/>
      </c>
      <c r="B281" s="11">
        <f>Weekly!$C$3</f>
        <v>45915</v>
      </c>
      <c r="C281" s="12">
        <v>0.96875</v>
      </c>
      <c r="D281" s="13">
        <f>Weekly!C283</f>
        <v>0</v>
      </c>
      <c r="E281" s="13" t="str">
        <f t="shared" si="66"/>
        <v/>
      </c>
      <c r="F281" s="13" t="str">
        <f t="shared" si="69"/>
        <v/>
      </c>
      <c r="G281" s="13" t="str">
        <f t="shared" si="67"/>
        <v/>
      </c>
      <c r="H281" s="13" t="str">
        <f t="shared" si="68"/>
        <v/>
      </c>
      <c r="I281" s="14" t="str">
        <f t="array" ref="I281">IF(getRGB1(Weekly!C283)="FFFF00","초방","재방")</f>
        <v>재방</v>
      </c>
      <c r="K281" s="30" t="str">
        <f t="shared" si="70"/>
        <v/>
      </c>
      <c r="L281" s="31" t="str">
        <f t="shared" si="71"/>
        <v/>
      </c>
      <c r="M281" s="32" t="str">
        <f t="shared" si="72"/>
        <v/>
      </c>
      <c r="N281" s="32" t="str">
        <f t="shared" si="73"/>
        <v/>
      </c>
      <c r="O281" s="13" t="str">
        <f t="shared" si="74"/>
        <v/>
      </c>
      <c r="P281" s="33" t="str">
        <f t="shared" si="75"/>
        <v/>
      </c>
      <c r="Q281" s="14" t="str">
        <f t="shared" si="76"/>
        <v/>
      </c>
      <c r="R281" s="14" t="str">
        <f t="shared" si="77"/>
        <v/>
      </c>
      <c r="S281" s="14" t="str">
        <f>IF(O281&lt;&gt;"",VLOOKUP(O281,P.Info!$A$2:$B$120,2,0),"")</f>
        <v/>
      </c>
    </row>
    <row r="282" spans="1:19" ht="11.25" customHeight="1" x14ac:dyDescent="0.3">
      <c r="A282" s="10" t="str">
        <f t="shared" si="65"/>
        <v/>
      </c>
      <c r="B282" s="11">
        <f>Weekly!$C$3</f>
        <v>45915</v>
      </c>
      <c r="C282" s="12">
        <v>0.97222222222222199</v>
      </c>
      <c r="D282" s="13">
        <f>Weekly!C284</f>
        <v>0</v>
      </c>
      <c r="E282" s="13" t="str">
        <f t="shared" si="66"/>
        <v/>
      </c>
      <c r="F282" s="13" t="str">
        <f t="shared" si="69"/>
        <v/>
      </c>
      <c r="G282" s="13" t="str">
        <f t="shared" si="67"/>
        <v/>
      </c>
      <c r="H282" s="13" t="str">
        <f t="shared" si="68"/>
        <v/>
      </c>
      <c r="I282" s="14" t="str">
        <f t="array" ref="I282">IF(getRGB1(Weekly!C284)="FFFF00","초방","재방")</f>
        <v>재방</v>
      </c>
      <c r="K282" s="30" t="str">
        <f t="shared" si="70"/>
        <v/>
      </c>
      <c r="L282" s="31" t="str">
        <f t="shared" si="71"/>
        <v/>
      </c>
      <c r="M282" s="32" t="str">
        <f t="shared" si="72"/>
        <v/>
      </c>
      <c r="N282" s="32" t="str">
        <f t="shared" si="73"/>
        <v/>
      </c>
      <c r="O282" s="13" t="str">
        <f t="shared" si="74"/>
        <v/>
      </c>
      <c r="P282" s="33" t="str">
        <f t="shared" si="75"/>
        <v/>
      </c>
      <c r="Q282" s="14" t="str">
        <f t="shared" si="76"/>
        <v/>
      </c>
      <c r="R282" s="14" t="str">
        <f t="shared" si="77"/>
        <v/>
      </c>
      <c r="S282" s="14" t="str">
        <f>IF(O282&lt;&gt;"",VLOOKUP(O282,P.Info!$A$2:$B$120,2,0),"")</f>
        <v/>
      </c>
    </row>
    <row r="283" spans="1:19" ht="11.25" customHeight="1" x14ac:dyDescent="0.3">
      <c r="A283" s="10" t="str">
        <f t="shared" si="65"/>
        <v/>
      </c>
      <c r="B283" s="11">
        <f>Weekly!$C$3</f>
        <v>45915</v>
      </c>
      <c r="C283" s="12">
        <v>0.97569444444444398</v>
      </c>
      <c r="D283" s="13">
        <f>Weekly!C285</f>
        <v>0</v>
      </c>
      <c r="E283" s="13" t="str">
        <f t="shared" si="66"/>
        <v/>
      </c>
      <c r="F283" s="13" t="str">
        <f t="shared" si="69"/>
        <v/>
      </c>
      <c r="G283" s="13" t="str">
        <f t="shared" si="67"/>
        <v/>
      </c>
      <c r="H283" s="13" t="str">
        <f t="shared" si="68"/>
        <v/>
      </c>
      <c r="I283" s="14" t="str">
        <f t="array" ref="I283">IF(getRGB1(Weekly!C285)="FFFF00","초방","재방")</f>
        <v>재방</v>
      </c>
      <c r="K283" s="30" t="str">
        <f t="shared" si="70"/>
        <v/>
      </c>
      <c r="L283" s="31" t="str">
        <f t="shared" si="71"/>
        <v/>
      </c>
      <c r="M283" s="32" t="str">
        <f t="shared" si="72"/>
        <v/>
      </c>
      <c r="N283" s="32" t="str">
        <f t="shared" si="73"/>
        <v/>
      </c>
      <c r="O283" s="13" t="str">
        <f t="shared" si="74"/>
        <v/>
      </c>
      <c r="P283" s="33" t="str">
        <f t="shared" si="75"/>
        <v/>
      </c>
      <c r="Q283" s="14" t="str">
        <f t="shared" si="76"/>
        <v/>
      </c>
      <c r="R283" s="14" t="str">
        <f t="shared" si="77"/>
        <v/>
      </c>
      <c r="S283" s="14" t="str">
        <f>IF(O283&lt;&gt;"",VLOOKUP(O283,P.Info!$A$2:$B$120,2,0),"")</f>
        <v/>
      </c>
    </row>
    <row r="284" spans="1:19" ht="11.25" customHeight="1" x14ac:dyDescent="0.3">
      <c r="A284" s="10" t="str">
        <f t="shared" si="65"/>
        <v/>
      </c>
      <c r="B284" s="11">
        <f>Weekly!$C$3</f>
        <v>45915</v>
      </c>
      <c r="C284" s="12">
        <v>0.97916666666666696</v>
      </c>
      <c r="D284" s="13">
        <f>Weekly!C286</f>
        <v>0</v>
      </c>
      <c r="E284" s="13" t="str">
        <f t="shared" si="66"/>
        <v/>
      </c>
      <c r="F284" s="13" t="str">
        <f t="shared" si="69"/>
        <v/>
      </c>
      <c r="G284" s="13" t="str">
        <f t="shared" si="67"/>
        <v/>
      </c>
      <c r="H284" s="13" t="str">
        <f t="shared" si="68"/>
        <v/>
      </c>
      <c r="I284" s="14" t="str">
        <f t="array" ref="I284">IF(getRGB1(Weekly!C286)="FFFF00","초방","재방")</f>
        <v>재방</v>
      </c>
      <c r="K284" s="30" t="str">
        <f t="shared" si="70"/>
        <v/>
      </c>
      <c r="L284" s="31" t="str">
        <f t="shared" si="71"/>
        <v/>
      </c>
      <c r="M284" s="32" t="str">
        <f t="shared" si="72"/>
        <v/>
      </c>
      <c r="N284" s="32" t="str">
        <f t="shared" si="73"/>
        <v/>
      </c>
      <c r="O284" s="13" t="str">
        <f t="shared" si="74"/>
        <v/>
      </c>
      <c r="P284" s="33" t="str">
        <f t="shared" si="75"/>
        <v/>
      </c>
      <c r="Q284" s="14" t="str">
        <f t="shared" si="76"/>
        <v/>
      </c>
      <c r="R284" s="14" t="str">
        <f t="shared" si="77"/>
        <v/>
      </c>
      <c r="S284" s="14" t="str">
        <f>IF(O284&lt;&gt;"",VLOOKUP(O284,P.Info!$A$2:$B$120,2,0),"")</f>
        <v/>
      </c>
    </row>
    <row r="285" spans="1:19" ht="11.25" customHeight="1" x14ac:dyDescent="0.3">
      <c r="A285" s="10" t="str">
        <f t="shared" si="65"/>
        <v/>
      </c>
      <c r="B285" s="11">
        <f>Weekly!$C$3</f>
        <v>45915</v>
      </c>
      <c r="C285" s="12">
        <v>0.98263888888888895</v>
      </c>
      <c r="D285" s="13">
        <f>Weekly!C287</f>
        <v>0</v>
      </c>
      <c r="E285" s="13" t="str">
        <f t="shared" si="66"/>
        <v/>
      </c>
      <c r="F285" s="13" t="str">
        <f t="shared" si="69"/>
        <v/>
      </c>
      <c r="G285" s="13" t="str">
        <f t="shared" si="67"/>
        <v/>
      </c>
      <c r="H285" s="13" t="str">
        <f t="shared" si="68"/>
        <v/>
      </c>
      <c r="I285" s="14" t="str">
        <f t="array" ref="I285">IF(getRGB1(Weekly!C287)="FFFF00","초방","재방")</f>
        <v>재방</v>
      </c>
      <c r="K285" s="30" t="str">
        <f t="shared" si="70"/>
        <v/>
      </c>
      <c r="L285" s="31" t="str">
        <f t="shared" si="71"/>
        <v/>
      </c>
      <c r="M285" s="32" t="str">
        <f t="shared" si="72"/>
        <v/>
      </c>
      <c r="N285" s="32" t="str">
        <f t="shared" si="73"/>
        <v/>
      </c>
      <c r="O285" s="13" t="str">
        <f t="shared" si="74"/>
        <v/>
      </c>
      <c r="P285" s="33" t="str">
        <f t="shared" si="75"/>
        <v/>
      </c>
      <c r="Q285" s="14" t="str">
        <f t="shared" si="76"/>
        <v/>
      </c>
      <c r="R285" s="14" t="str">
        <f t="shared" si="77"/>
        <v/>
      </c>
      <c r="S285" s="14" t="str">
        <f>IF(O285&lt;&gt;"",VLOOKUP(O285,P.Info!$A$2:$B$120,2,0),"")</f>
        <v/>
      </c>
    </row>
    <row r="286" spans="1:19" ht="11.25" customHeight="1" x14ac:dyDescent="0.3">
      <c r="A286" s="10" t="str">
        <f t="shared" si="65"/>
        <v/>
      </c>
      <c r="B286" s="11">
        <f>Weekly!$C$3</f>
        <v>45915</v>
      </c>
      <c r="C286" s="12">
        <v>0.98611111111111105</v>
      </c>
      <c r="D286" s="13">
        <f>Weekly!C288</f>
        <v>0</v>
      </c>
      <c r="E286" s="13" t="str">
        <f t="shared" si="66"/>
        <v/>
      </c>
      <c r="F286" s="13" t="str">
        <f t="shared" si="69"/>
        <v/>
      </c>
      <c r="G286" s="13" t="str">
        <f t="shared" si="67"/>
        <v/>
      </c>
      <c r="H286" s="13" t="str">
        <f t="shared" si="68"/>
        <v/>
      </c>
      <c r="I286" s="14" t="str">
        <f t="array" ref="I286">IF(getRGB1(Weekly!C288)="FFFF00","초방","재방")</f>
        <v>재방</v>
      </c>
      <c r="K286" s="30" t="str">
        <f t="shared" si="70"/>
        <v/>
      </c>
      <c r="L286" s="31" t="str">
        <f t="shared" si="71"/>
        <v/>
      </c>
      <c r="M286" s="32" t="str">
        <f t="shared" si="72"/>
        <v/>
      </c>
      <c r="N286" s="32" t="str">
        <f t="shared" si="73"/>
        <v/>
      </c>
      <c r="O286" s="13" t="str">
        <f t="shared" si="74"/>
        <v/>
      </c>
      <c r="P286" s="33" t="str">
        <f t="shared" si="75"/>
        <v/>
      </c>
      <c r="Q286" s="14" t="str">
        <f t="shared" si="76"/>
        <v/>
      </c>
      <c r="R286" s="14" t="str">
        <f t="shared" si="77"/>
        <v/>
      </c>
      <c r="S286" s="14" t="str">
        <f>IF(O286&lt;&gt;"",VLOOKUP(O286,P.Info!$A$2:$B$120,2,0),"")</f>
        <v/>
      </c>
    </row>
    <row r="287" spans="1:19" ht="11.25" customHeight="1" x14ac:dyDescent="0.3">
      <c r="A287" s="10" t="str">
        <f t="shared" si="65"/>
        <v/>
      </c>
      <c r="B287" s="11">
        <f>Weekly!$C$3</f>
        <v>45915</v>
      </c>
      <c r="C287" s="12">
        <v>0.98958333333333304</v>
      </c>
      <c r="D287" s="13">
        <f>Weekly!C289</f>
        <v>0</v>
      </c>
      <c r="E287" s="13" t="str">
        <f t="shared" si="66"/>
        <v/>
      </c>
      <c r="F287" s="13" t="str">
        <f t="shared" si="69"/>
        <v/>
      </c>
      <c r="G287" s="13" t="str">
        <f t="shared" si="67"/>
        <v/>
      </c>
      <c r="H287" s="13" t="str">
        <f t="shared" si="68"/>
        <v/>
      </c>
      <c r="I287" s="14" t="str">
        <f t="array" ref="I287">IF(getRGB1(Weekly!C289)="FFFF00","초방","재방")</f>
        <v>재방</v>
      </c>
      <c r="K287" s="30" t="str">
        <f t="shared" si="70"/>
        <v/>
      </c>
      <c r="L287" s="31" t="str">
        <f t="shared" si="71"/>
        <v/>
      </c>
      <c r="M287" s="32" t="str">
        <f t="shared" si="72"/>
        <v/>
      </c>
      <c r="N287" s="32" t="str">
        <f t="shared" si="73"/>
        <v/>
      </c>
      <c r="O287" s="13" t="str">
        <f t="shared" si="74"/>
        <v/>
      </c>
      <c r="P287" s="33" t="str">
        <f t="shared" si="75"/>
        <v/>
      </c>
      <c r="Q287" s="14" t="str">
        <f t="shared" si="76"/>
        <v/>
      </c>
      <c r="R287" s="14" t="str">
        <f t="shared" si="77"/>
        <v/>
      </c>
      <c r="S287" s="14" t="str">
        <f>IF(O287&lt;&gt;"",VLOOKUP(O287,P.Info!$A$2:$B$120,2,0),"")</f>
        <v/>
      </c>
    </row>
    <row r="288" spans="1:19" ht="11.25" customHeight="1" x14ac:dyDescent="0.3">
      <c r="A288" s="10" t="str">
        <f t="shared" si="65"/>
        <v/>
      </c>
      <c r="B288" s="11">
        <f>Weekly!$C$3</f>
        <v>45915</v>
      </c>
      <c r="C288" s="12">
        <v>0.99305555555555503</v>
      </c>
      <c r="D288" s="13">
        <f>Weekly!C290</f>
        <v>0</v>
      </c>
      <c r="E288" s="13" t="str">
        <f t="shared" si="66"/>
        <v/>
      </c>
      <c r="F288" s="13" t="str">
        <f t="shared" si="69"/>
        <v/>
      </c>
      <c r="G288" s="13" t="str">
        <f t="shared" si="67"/>
        <v/>
      </c>
      <c r="H288" s="13" t="str">
        <f t="shared" si="68"/>
        <v/>
      </c>
      <c r="I288" s="14" t="str">
        <f t="array" ref="I288">IF(getRGB1(Weekly!C290)="FFFF00","초방","재방")</f>
        <v>재방</v>
      </c>
      <c r="K288" s="30" t="str">
        <f t="shared" si="70"/>
        <v/>
      </c>
      <c r="L288" s="31" t="str">
        <f t="shared" si="71"/>
        <v/>
      </c>
      <c r="M288" s="32" t="str">
        <f t="shared" si="72"/>
        <v/>
      </c>
      <c r="N288" s="32" t="str">
        <f t="shared" si="73"/>
        <v/>
      </c>
      <c r="O288" s="13" t="str">
        <f t="shared" si="74"/>
        <v/>
      </c>
      <c r="P288" s="33" t="str">
        <f t="shared" si="75"/>
        <v/>
      </c>
      <c r="Q288" s="14" t="str">
        <f t="shared" si="76"/>
        <v/>
      </c>
      <c r="R288" s="14" t="str">
        <f t="shared" si="77"/>
        <v/>
      </c>
      <c r="S288" s="14" t="str">
        <f>IF(O288&lt;&gt;"",VLOOKUP(O288,P.Info!$A$2:$B$120,2,0),"")</f>
        <v/>
      </c>
    </row>
    <row r="289" spans="1:19" ht="11.25" customHeight="1" x14ac:dyDescent="0.3">
      <c r="A289" s="10" t="str">
        <f t="shared" si="65"/>
        <v/>
      </c>
      <c r="B289" s="11">
        <f>Weekly!$C$3</f>
        <v>45915</v>
      </c>
      <c r="C289" s="12">
        <v>0.99652777777777801</v>
      </c>
      <c r="D289" s="13">
        <f>Weekly!C291</f>
        <v>0</v>
      </c>
      <c r="E289" s="13" t="str">
        <f t="shared" si="66"/>
        <v/>
      </c>
      <c r="F289" s="13" t="str">
        <f t="shared" si="69"/>
        <v/>
      </c>
      <c r="G289" s="13" t="str">
        <f t="shared" si="67"/>
        <v/>
      </c>
      <c r="H289" s="13" t="str">
        <f t="shared" si="68"/>
        <v/>
      </c>
      <c r="I289" s="14" t="str">
        <f t="array" ref="I289">IF(getRGB1(Weekly!C291)="FFFF00","초방","재방")</f>
        <v>재방</v>
      </c>
      <c r="K289" s="30" t="str">
        <f t="shared" si="70"/>
        <v/>
      </c>
      <c r="L289" s="31" t="str">
        <f t="shared" si="71"/>
        <v/>
      </c>
      <c r="M289" s="32" t="str">
        <f t="shared" si="72"/>
        <v/>
      </c>
      <c r="N289" s="32" t="str">
        <f t="shared" si="73"/>
        <v/>
      </c>
      <c r="O289" s="13" t="str">
        <f t="shared" si="74"/>
        <v/>
      </c>
      <c r="P289" s="33" t="str">
        <f t="shared" si="75"/>
        <v/>
      </c>
      <c r="Q289" s="14" t="str">
        <f t="shared" si="76"/>
        <v/>
      </c>
      <c r="R289" s="14" t="str">
        <f t="shared" si="77"/>
        <v/>
      </c>
      <c r="S289" s="14" t="str">
        <f>IF(O289&lt;&gt;"",VLOOKUP(O289,P.Info!$A$2:$B$120,2,0),"")</f>
        <v/>
      </c>
    </row>
    <row r="290" spans="1:19" ht="11.25" customHeight="1" x14ac:dyDescent="0.3">
      <c r="A290" s="10">
        <f t="shared" ref="A290:A321" si="78">IF(D290&lt;&gt;0,B290+C290,"")</f>
        <v>45916</v>
      </c>
      <c r="B290" s="11">
        <f>Weekly!$D$3</f>
        <v>45916</v>
      </c>
      <c r="C290" s="12">
        <v>0</v>
      </c>
      <c r="D290" s="13" t="str">
        <f>Weekly!D4</f>
        <v>특집 2026 지방선거_경기도의회 생생중계_본회의
&lt;14</v>
      </c>
      <c r="E290" s="13" t="str">
        <f t="shared" ref="E290:E321" si="79">IFERROR(SUBSTITUTE(SUBSTITUTE(TRIM(LEFT(D290,FIND("&lt;",D290)-1)),CHAR(10),""),"⑮ ",""),"")</f>
        <v>특집 2026 지방선거_경기도의회 생생중계_본회의</v>
      </c>
      <c r="F290" s="13">
        <f t="shared" ref="F290:F322" si="80">IFERROR((MID(D290,FIND("&lt;",D290)+1,4))*1,"")</f>
        <v>14</v>
      </c>
      <c r="G290" s="13" t="str">
        <f t="shared" ref="G290:G321" si="81">IFERROR(MID(D290,FIND("&gt;",D290)+1,10),"")</f>
        <v/>
      </c>
      <c r="H290" s="13" t="str">
        <f t="shared" ref="H290:H321" si="82">IFERROR(VLOOKUP(LEFT(D290,2),$W$1:$X$6,2,0),"")</f>
        <v/>
      </c>
      <c r="I290" s="14" t="e">
        <f t="array" aca="1" ref="I290" ca="1">IF(getRGB1(Weekly!D4)="FFFF00","초방","재방")</f>
        <v>#NAME?</v>
      </c>
      <c r="K290" s="30" t="str">
        <f t="shared" si="70"/>
        <v/>
      </c>
      <c r="L290" s="31" t="str">
        <f t="shared" si="71"/>
        <v/>
      </c>
      <c r="M290" s="32" t="str">
        <f t="shared" si="72"/>
        <v/>
      </c>
      <c r="N290" s="32" t="str">
        <f t="shared" si="73"/>
        <v/>
      </c>
      <c r="O290" s="13" t="str">
        <f t="shared" si="74"/>
        <v/>
      </c>
      <c r="P290" s="33" t="str">
        <f t="shared" si="75"/>
        <v/>
      </c>
      <c r="Q290" s="14" t="str">
        <f t="shared" si="76"/>
        <v/>
      </c>
      <c r="R290" s="14" t="str">
        <f t="shared" si="77"/>
        <v/>
      </c>
      <c r="S290" s="14" t="str">
        <f>IF(O290&lt;&gt;"",VLOOKUP(O290,P.Info!$A$2:$B$120,2,0),"")</f>
        <v/>
      </c>
    </row>
    <row r="291" spans="1:19" ht="11.25" customHeight="1" x14ac:dyDescent="0.3">
      <c r="A291" s="10" t="str">
        <f t="shared" si="78"/>
        <v/>
      </c>
      <c r="B291" s="11">
        <f>Weekly!$D$3</f>
        <v>45916</v>
      </c>
      <c r="C291" s="12">
        <v>3.472222222222222E-3</v>
      </c>
      <c r="D291" s="13">
        <f>Weekly!D5</f>
        <v>0</v>
      </c>
      <c r="E291" s="13" t="str">
        <f t="shared" si="79"/>
        <v/>
      </c>
      <c r="F291" s="13" t="str">
        <f t="shared" si="80"/>
        <v/>
      </c>
      <c r="G291" s="13" t="str">
        <f t="shared" si="81"/>
        <v/>
      </c>
      <c r="H291" s="13" t="str">
        <f t="shared" si="82"/>
        <v/>
      </c>
      <c r="I291" s="14" t="e">
        <f t="array" aca="1" ref="I291" ca="1">IF(getRGB1(Weekly!D5)="FFFF00","초방","재방")</f>
        <v>#NAME?</v>
      </c>
      <c r="K291" s="30" t="str">
        <f t="shared" si="70"/>
        <v/>
      </c>
      <c r="L291" s="31" t="str">
        <f t="shared" si="71"/>
        <v/>
      </c>
      <c r="M291" s="32" t="str">
        <f t="shared" si="72"/>
        <v/>
      </c>
      <c r="N291" s="32" t="str">
        <f t="shared" si="73"/>
        <v/>
      </c>
      <c r="O291" s="13" t="str">
        <f t="shared" si="74"/>
        <v/>
      </c>
      <c r="P291" s="33" t="str">
        <f t="shared" si="75"/>
        <v/>
      </c>
      <c r="Q291" s="14" t="str">
        <f t="shared" si="76"/>
        <v/>
      </c>
      <c r="R291" s="14" t="str">
        <f t="shared" si="77"/>
        <v/>
      </c>
      <c r="S291" s="14" t="str">
        <f>IF(O291&lt;&gt;"",VLOOKUP(O291,P.Info!$A$2:$B$120,2,0),"")</f>
        <v/>
      </c>
    </row>
    <row r="292" spans="1:19" ht="11.25" customHeight="1" x14ac:dyDescent="0.3">
      <c r="A292" s="10" t="str">
        <f t="shared" si="78"/>
        <v/>
      </c>
      <c r="B292" s="11">
        <f>Weekly!$D$3</f>
        <v>45916</v>
      </c>
      <c r="C292" s="12">
        <v>6.9444444444444397E-3</v>
      </c>
      <c r="D292" s="13">
        <f>Weekly!D6</f>
        <v>0</v>
      </c>
      <c r="E292" s="13" t="str">
        <f t="shared" si="79"/>
        <v/>
      </c>
      <c r="F292" s="13" t="str">
        <f t="shared" si="80"/>
        <v/>
      </c>
      <c r="G292" s="13" t="str">
        <f t="shared" si="81"/>
        <v/>
      </c>
      <c r="H292" s="13" t="str">
        <f t="shared" si="82"/>
        <v/>
      </c>
      <c r="I292" s="14" t="e">
        <f t="array" aca="1" ref="I292" ca="1">IF(getRGB1(Weekly!D6)="FFFF00","초방","재방")</f>
        <v>#NAME?</v>
      </c>
      <c r="K292" s="30" t="str">
        <f t="shared" si="70"/>
        <v/>
      </c>
      <c r="L292" s="31" t="str">
        <f t="shared" si="71"/>
        <v/>
      </c>
      <c r="M292" s="32" t="str">
        <f t="shared" si="72"/>
        <v/>
      </c>
      <c r="N292" s="32" t="str">
        <f t="shared" si="73"/>
        <v/>
      </c>
      <c r="O292" s="13" t="str">
        <f t="shared" si="74"/>
        <v/>
      </c>
      <c r="P292" s="33" t="str">
        <f t="shared" si="75"/>
        <v/>
      </c>
      <c r="Q292" s="14" t="str">
        <f t="shared" si="76"/>
        <v/>
      </c>
      <c r="R292" s="14" t="str">
        <f t="shared" si="77"/>
        <v/>
      </c>
      <c r="S292" s="14" t="str">
        <f>IF(O292&lt;&gt;"",VLOOKUP(O292,P.Info!$A$2:$B$120,2,0),"")</f>
        <v/>
      </c>
    </row>
    <row r="293" spans="1:19" ht="11.25" customHeight="1" x14ac:dyDescent="0.3">
      <c r="A293" s="10" t="str">
        <f t="shared" si="78"/>
        <v/>
      </c>
      <c r="B293" s="11">
        <f>Weekly!$D$3</f>
        <v>45916</v>
      </c>
      <c r="C293" s="12">
        <v>1.0416666666666701E-2</v>
      </c>
      <c r="D293" s="13">
        <f>Weekly!D7</f>
        <v>0</v>
      </c>
      <c r="E293" s="13" t="str">
        <f t="shared" si="79"/>
        <v/>
      </c>
      <c r="F293" s="13" t="str">
        <f t="shared" si="80"/>
        <v/>
      </c>
      <c r="G293" s="13" t="str">
        <f t="shared" si="81"/>
        <v/>
      </c>
      <c r="H293" s="13" t="str">
        <f t="shared" si="82"/>
        <v/>
      </c>
      <c r="I293" s="14" t="e">
        <f t="array" aca="1" ref="I293" ca="1">IF(getRGB1(Weekly!D7)="FFFF00","초방","재방")</f>
        <v>#NAME?</v>
      </c>
      <c r="K293" s="30" t="str">
        <f t="shared" si="70"/>
        <v/>
      </c>
      <c r="L293" s="31" t="str">
        <f t="shared" si="71"/>
        <v/>
      </c>
      <c r="M293" s="32" t="str">
        <f t="shared" si="72"/>
        <v/>
      </c>
      <c r="N293" s="32" t="str">
        <f t="shared" si="73"/>
        <v/>
      </c>
      <c r="O293" s="13" t="str">
        <f t="shared" si="74"/>
        <v/>
      </c>
      <c r="P293" s="33" t="str">
        <f t="shared" si="75"/>
        <v/>
      </c>
      <c r="Q293" s="14" t="str">
        <f t="shared" si="76"/>
        <v/>
      </c>
      <c r="R293" s="14" t="str">
        <f t="shared" si="77"/>
        <v/>
      </c>
      <c r="S293" s="14" t="str">
        <f>IF(O293&lt;&gt;"",VLOOKUP(O293,P.Info!$A$2:$B$120,2,0),"")</f>
        <v/>
      </c>
    </row>
    <row r="294" spans="1:19" ht="11.25" customHeight="1" x14ac:dyDescent="0.3">
      <c r="A294" s="10" t="str">
        <f t="shared" si="78"/>
        <v/>
      </c>
      <c r="B294" s="11">
        <f>Weekly!$D$3</f>
        <v>45916</v>
      </c>
      <c r="C294" s="12">
        <v>1.38888888888889E-2</v>
      </c>
      <c r="D294" s="13">
        <f>Weekly!D8</f>
        <v>0</v>
      </c>
      <c r="E294" s="13" t="str">
        <f t="shared" si="79"/>
        <v/>
      </c>
      <c r="F294" s="13" t="str">
        <f t="shared" si="80"/>
        <v/>
      </c>
      <c r="G294" s="13" t="str">
        <f t="shared" si="81"/>
        <v/>
      </c>
      <c r="H294" s="13" t="str">
        <f t="shared" si="82"/>
        <v/>
      </c>
      <c r="I294" s="14" t="e">
        <f t="array" aca="1" ref="I294" ca="1">IF(getRGB1(Weekly!D8)="FFFF00","초방","재방")</f>
        <v>#NAME?</v>
      </c>
      <c r="K294" s="30" t="str">
        <f t="shared" si="70"/>
        <v/>
      </c>
      <c r="L294" s="31" t="str">
        <f t="shared" si="71"/>
        <v/>
      </c>
      <c r="M294" s="32" t="str">
        <f t="shared" si="72"/>
        <v/>
      </c>
      <c r="N294" s="32" t="str">
        <f t="shared" si="73"/>
        <v/>
      </c>
      <c r="O294" s="13" t="str">
        <f t="shared" si="74"/>
        <v/>
      </c>
      <c r="P294" s="33" t="str">
        <f t="shared" si="75"/>
        <v/>
      </c>
      <c r="Q294" s="14" t="str">
        <f t="shared" si="76"/>
        <v/>
      </c>
      <c r="R294" s="14" t="str">
        <f t="shared" si="77"/>
        <v/>
      </c>
      <c r="S294" s="14" t="str">
        <f>IF(O294&lt;&gt;"",VLOOKUP(O294,P.Info!$A$2:$B$120,2,0),"")</f>
        <v/>
      </c>
    </row>
    <row r="295" spans="1:19" ht="11.25" customHeight="1" x14ac:dyDescent="0.3">
      <c r="A295" s="10" t="str">
        <f t="shared" si="78"/>
        <v/>
      </c>
      <c r="B295" s="11">
        <f>Weekly!$D$3</f>
        <v>45916</v>
      </c>
      <c r="C295" s="12">
        <v>1.7361111111111101E-2</v>
      </c>
      <c r="D295" s="13">
        <f>Weekly!D9</f>
        <v>0</v>
      </c>
      <c r="E295" s="13" t="str">
        <f t="shared" si="79"/>
        <v/>
      </c>
      <c r="F295" s="13" t="str">
        <f t="shared" si="80"/>
        <v/>
      </c>
      <c r="G295" s="13" t="str">
        <f t="shared" si="81"/>
        <v/>
      </c>
      <c r="H295" s="13" t="str">
        <f t="shared" si="82"/>
        <v/>
      </c>
      <c r="I295" s="14" t="e">
        <f t="array" aca="1" ref="I295" ca="1">IF(getRGB1(Weekly!D9)="FFFF00","초방","재방")</f>
        <v>#NAME?</v>
      </c>
      <c r="K295" s="30" t="str">
        <f t="shared" si="70"/>
        <v/>
      </c>
      <c r="L295" s="31" t="str">
        <f t="shared" si="71"/>
        <v/>
      </c>
      <c r="M295" s="32" t="str">
        <f t="shared" si="72"/>
        <v/>
      </c>
      <c r="N295" s="32" t="str">
        <f t="shared" si="73"/>
        <v/>
      </c>
      <c r="O295" s="13" t="str">
        <f t="shared" si="74"/>
        <v/>
      </c>
      <c r="P295" s="33" t="str">
        <f t="shared" si="75"/>
        <v/>
      </c>
      <c r="Q295" s="14" t="str">
        <f t="shared" si="76"/>
        <v/>
      </c>
      <c r="R295" s="14" t="str">
        <f t="shared" si="77"/>
        <v/>
      </c>
      <c r="S295" s="14" t="str">
        <f>IF(O295&lt;&gt;"",VLOOKUP(O295,P.Info!$A$2:$B$120,2,0),"")</f>
        <v/>
      </c>
    </row>
    <row r="296" spans="1:19" ht="11.25" customHeight="1" x14ac:dyDescent="0.3">
      <c r="A296" s="10" t="str">
        <f t="shared" si="78"/>
        <v/>
      </c>
      <c r="B296" s="11">
        <f>Weekly!$D$3</f>
        <v>45916</v>
      </c>
      <c r="C296" s="12">
        <v>2.0833333333333301E-2</v>
      </c>
      <c r="D296" s="13">
        <f>Weekly!D10</f>
        <v>0</v>
      </c>
      <c r="E296" s="13" t="str">
        <f t="shared" si="79"/>
        <v/>
      </c>
      <c r="F296" s="13" t="str">
        <f t="shared" si="80"/>
        <v/>
      </c>
      <c r="G296" s="13" t="str">
        <f t="shared" si="81"/>
        <v/>
      </c>
      <c r="H296" s="13" t="str">
        <f t="shared" si="82"/>
        <v/>
      </c>
      <c r="I296" s="14" t="e">
        <f t="array" aca="1" ref="I296" ca="1">IF(getRGB1(Weekly!D10)="FFFF00","초방","재방")</f>
        <v>#NAME?</v>
      </c>
      <c r="K296" s="30" t="str">
        <f t="shared" si="70"/>
        <v/>
      </c>
      <c r="L296" s="31" t="str">
        <f t="shared" si="71"/>
        <v/>
      </c>
      <c r="M296" s="32" t="str">
        <f t="shared" si="72"/>
        <v/>
      </c>
      <c r="N296" s="32" t="str">
        <f t="shared" si="73"/>
        <v/>
      </c>
      <c r="O296" s="13" t="str">
        <f t="shared" si="74"/>
        <v/>
      </c>
      <c r="P296" s="33" t="str">
        <f t="shared" si="75"/>
        <v/>
      </c>
      <c r="Q296" s="14" t="str">
        <f t="shared" si="76"/>
        <v/>
      </c>
      <c r="R296" s="14" t="str">
        <f t="shared" si="77"/>
        <v/>
      </c>
      <c r="S296" s="14" t="str">
        <f>IF(O296&lt;&gt;"",VLOOKUP(O296,P.Info!$A$2:$B$120,2,0),"")</f>
        <v/>
      </c>
    </row>
    <row r="297" spans="1:19" ht="11.25" customHeight="1" x14ac:dyDescent="0.3">
      <c r="A297" s="10" t="str">
        <f t="shared" si="78"/>
        <v/>
      </c>
      <c r="B297" s="11">
        <f>Weekly!$D$3</f>
        <v>45916</v>
      </c>
      <c r="C297" s="12">
        <v>2.4305555555555601E-2</v>
      </c>
      <c r="D297" s="13">
        <f>Weekly!D11</f>
        <v>0</v>
      </c>
      <c r="E297" s="13" t="str">
        <f t="shared" si="79"/>
        <v/>
      </c>
      <c r="F297" s="13" t="str">
        <f t="shared" si="80"/>
        <v/>
      </c>
      <c r="G297" s="13" t="str">
        <f t="shared" si="81"/>
        <v/>
      </c>
      <c r="H297" s="13" t="str">
        <f t="shared" si="82"/>
        <v/>
      </c>
      <c r="I297" s="14" t="e">
        <f t="array" aca="1" ref="I297" ca="1">IF(getRGB1(Weekly!D11)="FFFF00","초방","재방")</f>
        <v>#NAME?</v>
      </c>
      <c r="K297" s="30" t="str">
        <f t="shared" si="70"/>
        <v/>
      </c>
      <c r="L297" s="31" t="str">
        <f t="shared" si="71"/>
        <v/>
      </c>
      <c r="M297" s="32" t="str">
        <f t="shared" si="72"/>
        <v/>
      </c>
      <c r="N297" s="32" t="str">
        <f t="shared" si="73"/>
        <v/>
      </c>
      <c r="O297" s="13" t="str">
        <f t="shared" si="74"/>
        <v/>
      </c>
      <c r="P297" s="33" t="str">
        <f t="shared" si="75"/>
        <v/>
      </c>
      <c r="Q297" s="14" t="str">
        <f t="shared" si="76"/>
        <v/>
      </c>
      <c r="R297" s="14" t="str">
        <f t="shared" si="77"/>
        <v/>
      </c>
      <c r="S297" s="14" t="str">
        <f>IF(O297&lt;&gt;"",VLOOKUP(O297,P.Info!$A$2:$B$120,2,0),"")</f>
        <v/>
      </c>
    </row>
    <row r="298" spans="1:19" ht="11.25" customHeight="1" x14ac:dyDescent="0.3">
      <c r="A298" s="10" t="str">
        <f t="shared" si="78"/>
        <v/>
      </c>
      <c r="B298" s="11">
        <f>Weekly!$D$3</f>
        <v>45916</v>
      </c>
      <c r="C298" s="12">
        <v>2.7777777777777801E-2</v>
      </c>
      <c r="D298" s="13">
        <f>Weekly!D12</f>
        <v>0</v>
      </c>
      <c r="E298" s="13" t="str">
        <f t="shared" si="79"/>
        <v/>
      </c>
      <c r="F298" s="13" t="str">
        <f t="shared" si="80"/>
        <v/>
      </c>
      <c r="G298" s="13" t="str">
        <f t="shared" si="81"/>
        <v/>
      </c>
      <c r="H298" s="13" t="str">
        <f t="shared" si="82"/>
        <v/>
      </c>
      <c r="I298" s="14" t="e">
        <f t="array" aca="1" ref="I298" ca="1">IF(getRGB1(Weekly!D12)="FFFF00","초방","재방")</f>
        <v>#NAME?</v>
      </c>
      <c r="K298" s="30" t="str">
        <f t="shared" si="70"/>
        <v/>
      </c>
      <c r="L298" s="31" t="str">
        <f t="shared" si="71"/>
        <v/>
      </c>
      <c r="M298" s="32" t="str">
        <f t="shared" si="72"/>
        <v/>
      </c>
      <c r="N298" s="32" t="str">
        <f t="shared" si="73"/>
        <v/>
      </c>
      <c r="O298" s="13" t="str">
        <f t="shared" si="74"/>
        <v/>
      </c>
      <c r="P298" s="33" t="str">
        <f t="shared" si="75"/>
        <v/>
      </c>
      <c r="Q298" s="14" t="str">
        <f t="shared" si="76"/>
        <v/>
      </c>
      <c r="R298" s="14" t="str">
        <f t="shared" si="77"/>
        <v/>
      </c>
      <c r="S298" s="14" t="str">
        <f>IF(O298&lt;&gt;"",VLOOKUP(O298,P.Info!$A$2:$B$120,2,0),"")</f>
        <v/>
      </c>
    </row>
    <row r="299" spans="1:19" ht="11.25" customHeight="1" x14ac:dyDescent="0.3">
      <c r="A299" s="10" t="str">
        <f t="shared" si="78"/>
        <v/>
      </c>
      <c r="B299" s="11">
        <f>Weekly!$D$3</f>
        <v>45916</v>
      </c>
      <c r="C299" s="12">
        <v>3.125E-2</v>
      </c>
      <c r="D299" s="13">
        <f>Weekly!D13</f>
        <v>0</v>
      </c>
      <c r="E299" s="13" t="str">
        <f t="shared" si="79"/>
        <v/>
      </c>
      <c r="F299" s="13" t="str">
        <f t="shared" si="80"/>
        <v/>
      </c>
      <c r="G299" s="13" t="str">
        <f t="shared" si="81"/>
        <v/>
      </c>
      <c r="H299" s="13" t="str">
        <f t="shared" si="82"/>
        <v/>
      </c>
      <c r="I299" s="14" t="e">
        <f t="array" aca="1" ref="I299" ca="1">IF(getRGB1(Weekly!D13)="FFFF00","초방","재방")</f>
        <v>#NAME?</v>
      </c>
      <c r="K299" s="30" t="str">
        <f t="shared" si="70"/>
        <v/>
      </c>
      <c r="L299" s="31" t="str">
        <f t="shared" si="71"/>
        <v/>
      </c>
      <c r="M299" s="32" t="str">
        <f t="shared" si="72"/>
        <v/>
      </c>
      <c r="N299" s="32" t="str">
        <f t="shared" si="73"/>
        <v/>
      </c>
      <c r="O299" s="13" t="str">
        <f t="shared" si="74"/>
        <v/>
      </c>
      <c r="P299" s="33" t="str">
        <f t="shared" si="75"/>
        <v/>
      </c>
      <c r="Q299" s="14" t="str">
        <f t="shared" si="76"/>
        <v/>
      </c>
      <c r="R299" s="14" t="str">
        <f t="shared" si="77"/>
        <v/>
      </c>
      <c r="S299" s="14" t="str">
        <f>IF(O299&lt;&gt;"",VLOOKUP(O299,P.Info!$A$2:$B$120,2,0),"")</f>
        <v/>
      </c>
    </row>
    <row r="300" spans="1:19" ht="11.25" customHeight="1" x14ac:dyDescent="0.3">
      <c r="A300" s="10" t="str">
        <f t="shared" si="78"/>
        <v/>
      </c>
      <c r="B300" s="11">
        <f>Weekly!$D$3</f>
        <v>45916</v>
      </c>
      <c r="C300" s="12">
        <v>3.4722222222222203E-2</v>
      </c>
      <c r="D300" s="13">
        <f>Weekly!D14</f>
        <v>0</v>
      </c>
      <c r="E300" s="13" t="str">
        <f t="shared" si="79"/>
        <v/>
      </c>
      <c r="F300" s="13" t="str">
        <f t="shared" si="80"/>
        <v/>
      </c>
      <c r="G300" s="13" t="str">
        <f t="shared" si="81"/>
        <v/>
      </c>
      <c r="H300" s="13" t="str">
        <f t="shared" si="82"/>
        <v/>
      </c>
      <c r="I300" s="14" t="e">
        <f t="array" aca="1" ref="I300" ca="1">IF(getRGB1(Weekly!D14)="FFFF00","초방","재방")</f>
        <v>#NAME?</v>
      </c>
      <c r="K300" s="30" t="str">
        <f t="shared" si="70"/>
        <v/>
      </c>
      <c r="L300" s="31" t="str">
        <f t="shared" si="71"/>
        <v/>
      </c>
      <c r="M300" s="32" t="str">
        <f t="shared" si="72"/>
        <v/>
      </c>
      <c r="N300" s="32" t="str">
        <f t="shared" si="73"/>
        <v/>
      </c>
      <c r="O300" s="13" t="str">
        <f t="shared" si="74"/>
        <v/>
      </c>
      <c r="P300" s="33" t="str">
        <f t="shared" si="75"/>
        <v/>
      </c>
      <c r="Q300" s="14" t="str">
        <f t="shared" si="76"/>
        <v/>
      </c>
      <c r="R300" s="14" t="str">
        <f t="shared" si="77"/>
        <v/>
      </c>
      <c r="S300" s="14" t="str">
        <f>IF(O300&lt;&gt;"",VLOOKUP(O300,P.Info!$A$2:$B$120,2,0),"")</f>
        <v/>
      </c>
    </row>
    <row r="301" spans="1:19" ht="11.25" customHeight="1" x14ac:dyDescent="0.3">
      <c r="A301" s="10" t="str">
        <f t="shared" si="78"/>
        <v/>
      </c>
      <c r="B301" s="11">
        <f>Weekly!$D$3</f>
        <v>45916</v>
      </c>
      <c r="C301" s="12">
        <v>3.8194444444444399E-2</v>
      </c>
      <c r="D301" s="13">
        <f>Weekly!D15</f>
        <v>0</v>
      </c>
      <c r="E301" s="13" t="str">
        <f t="shared" si="79"/>
        <v/>
      </c>
      <c r="F301" s="13" t="str">
        <f t="shared" si="80"/>
        <v/>
      </c>
      <c r="G301" s="13" t="str">
        <f t="shared" si="81"/>
        <v/>
      </c>
      <c r="H301" s="13" t="str">
        <f t="shared" si="82"/>
        <v/>
      </c>
      <c r="I301" s="14" t="e">
        <f t="array" aca="1" ref="I301" ca="1">IF(getRGB1(Weekly!D15)="FFFF00","초방","재방")</f>
        <v>#NAME?</v>
      </c>
      <c r="K301" s="30" t="str">
        <f t="shared" si="70"/>
        <v/>
      </c>
      <c r="L301" s="31" t="str">
        <f t="shared" si="71"/>
        <v/>
      </c>
      <c r="M301" s="32" t="str">
        <f t="shared" si="72"/>
        <v/>
      </c>
      <c r="N301" s="32" t="str">
        <f t="shared" si="73"/>
        <v/>
      </c>
      <c r="O301" s="13" t="str">
        <f t="shared" si="74"/>
        <v/>
      </c>
      <c r="P301" s="33" t="str">
        <f t="shared" si="75"/>
        <v/>
      </c>
      <c r="Q301" s="14" t="str">
        <f t="shared" si="76"/>
        <v/>
      </c>
      <c r="R301" s="14" t="str">
        <f t="shared" si="77"/>
        <v/>
      </c>
      <c r="S301" s="14" t="str">
        <f>IF(O301&lt;&gt;"",VLOOKUP(O301,P.Info!$A$2:$B$120,2,0),"")</f>
        <v/>
      </c>
    </row>
    <row r="302" spans="1:19" ht="11.25" customHeight="1" x14ac:dyDescent="0.3">
      <c r="A302" s="10">
        <f t="shared" si="78"/>
        <v>45916.041666666664</v>
      </c>
      <c r="B302" s="11">
        <f>Weekly!$D$3</f>
        <v>45916</v>
      </c>
      <c r="C302" s="12">
        <v>4.1666666666666699E-2</v>
      </c>
      <c r="D302" s="13" t="str">
        <f>Weekly!D16</f>
        <v>특집 2026 지방선거_경기도의회 생생중계_상임위
&lt;14</v>
      </c>
      <c r="E302" s="13" t="str">
        <f t="shared" si="79"/>
        <v>특집 2026 지방선거_경기도의회 생생중계_상임위</v>
      </c>
      <c r="F302" s="13">
        <f t="shared" si="80"/>
        <v>14</v>
      </c>
      <c r="G302" s="13" t="str">
        <f t="shared" si="81"/>
        <v/>
      </c>
      <c r="H302" s="13" t="str">
        <f t="shared" si="82"/>
        <v/>
      </c>
      <c r="I302" s="14" t="e">
        <f t="array" aca="1" ref="I302" ca="1">IF(getRGB1(Weekly!D16)="FFFF00","초방","재방")</f>
        <v>#NAME?</v>
      </c>
    </row>
    <row r="303" spans="1:19" ht="11.25" customHeight="1" x14ac:dyDescent="0.3">
      <c r="A303" s="10" t="str">
        <f t="shared" si="78"/>
        <v/>
      </c>
      <c r="B303" s="11">
        <f>Weekly!$D$3</f>
        <v>45916</v>
      </c>
      <c r="C303" s="12">
        <v>4.5138888888888902E-2</v>
      </c>
      <c r="D303" s="13">
        <f>Weekly!D17</f>
        <v>0</v>
      </c>
      <c r="E303" s="13" t="str">
        <f t="shared" si="79"/>
        <v/>
      </c>
      <c r="F303" s="13" t="str">
        <f t="shared" si="80"/>
        <v/>
      </c>
      <c r="G303" s="13" t="str">
        <f t="shared" si="81"/>
        <v/>
      </c>
      <c r="H303" s="13" t="str">
        <f t="shared" si="82"/>
        <v/>
      </c>
      <c r="I303" s="14" t="e">
        <f t="array" aca="1" ref="I303" ca="1">IF(getRGB1(Weekly!D17)="FFFF00","초방","재방")</f>
        <v>#NAME?</v>
      </c>
    </row>
    <row r="304" spans="1:19" ht="11.25" customHeight="1" x14ac:dyDescent="0.3">
      <c r="A304" s="10" t="str">
        <f t="shared" si="78"/>
        <v/>
      </c>
      <c r="B304" s="11">
        <f>Weekly!$D$3</f>
        <v>45916</v>
      </c>
      <c r="C304" s="12">
        <v>4.8611111111111098E-2</v>
      </c>
      <c r="D304" s="13">
        <f>Weekly!D18</f>
        <v>0</v>
      </c>
      <c r="E304" s="13" t="str">
        <f t="shared" si="79"/>
        <v/>
      </c>
      <c r="F304" s="13" t="str">
        <f t="shared" si="80"/>
        <v/>
      </c>
      <c r="G304" s="13" t="str">
        <f t="shared" si="81"/>
        <v/>
      </c>
      <c r="H304" s="13" t="str">
        <f t="shared" si="82"/>
        <v/>
      </c>
      <c r="I304" s="14" t="e">
        <f t="array" aca="1" ref="I304" ca="1">IF(getRGB1(Weekly!D18)="FFFF00","초방","재방")</f>
        <v>#NAME?</v>
      </c>
    </row>
    <row r="305" spans="1:9" ht="11.25" customHeight="1" x14ac:dyDescent="0.3">
      <c r="A305" s="10" t="str">
        <f t="shared" si="78"/>
        <v/>
      </c>
      <c r="B305" s="11">
        <f>Weekly!$D$3</f>
        <v>45916</v>
      </c>
      <c r="C305" s="12">
        <v>5.2083333333333301E-2</v>
      </c>
      <c r="D305" s="13">
        <f>Weekly!D19</f>
        <v>0</v>
      </c>
      <c r="E305" s="13" t="str">
        <f t="shared" si="79"/>
        <v/>
      </c>
      <c r="F305" s="13" t="str">
        <f t="shared" si="80"/>
        <v/>
      </c>
      <c r="G305" s="13" t="str">
        <f t="shared" si="81"/>
        <v/>
      </c>
      <c r="H305" s="13" t="str">
        <f t="shared" si="82"/>
        <v/>
      </c>
      <c r="I305" s="14" t="e">
        <f t="array" aca="1" ref="I305" ca="1">IF(getRGB1(Weekly!D19)="FFFF00","초방","재방")</f>
        <v>#NAME?</v>
      </c>
    </row>
    <row r="306" spans="1:9" ht="11.25" customHeight="1" x14ac:dyDescent="0.3">
      <c r="A306" s="10" t="str">
        <f t="shared" si="78"/>
        <v/>
      </c>
      <c r="B306" s="11">
        <f>Weekly!$D$3</f>
        <v>45916</v>
      </c>
      <c r="C306" s="12">
        <v>5.5555555555555601E-2</v>
      </c>
      <c r="D306" s="13">
        <f>Weekly!D20</f>
        <v>0</v>
      </c>
      <c r="E306" s="13" t="str">
        <f t="shared" si="79"/>
        <v/>
      </c>
      <c r="F306" s="13" t="str">
        <f t="shared" si="80"/>
        <v/>
      </c>
      <c r="G306" s="13" t="str">
        <f t="shared" si="81"/>
        <v/>
      </c>
      <c r="H306" s="13" t="str">
        <f t="shared" si="82"/>
        <v/>
      </c>
      <c r="I306" s="14" t="e">
        <f t="array" aca="1" ref="I306" ca="1">IF(getRGB1(Weekly!D20)="FFFF00","초방","재방")</f>
        <v>#NAME?</v>
      </c>
    </row>
    <row r="307" spans="1:9" ht="11.25" customHeight="1" x14ac:dyDescent="0.3">
      <c r="A307" s="10" t="str">
        <f t="shared" si="78"/>
        <v/>
      </c>
      <c r="B307" s="11">
        <f>Weekly!$D$3</f>
        <v>45916</v>
      </c>
      <c r="C307" s="12">
        <v>5.9027777777777797E-2</v>
      </c>
      <c r="D307" s="13">
        <f>Weekly!D21</f>
        <v>0</v>
      </c>
      <c r="E307" s="13" t="str">
        <f t="shared" si="79"/>
        <v/>
      </c>
      <c r="F307" s="13" t="str">
        <f t="shared" si="80"/>
        <v/>
      </c>
      <c r="G307" s="13" t="str">
        <f t="shared" si="81"/>
        <v/>
      </c>
      <c r="H307" s="13" t="str">
        <f t="shared" si="82"/>
        <v/>
      </c>
      <c r="I307" s="14" t="e">
        <f t="array" aca="1" ref="I307" ca="1">IF(getRGB1(Weekly!D21)="FFFF00","초방","재방")</f>
        <v>#NAME?</v>
      </c>
    </row>
    <row r="308" spans="1:9" ht="11.25" customHeight="1" x14ac:dyDescent="0.3">
      <c r="A308" s="10" t="str">
        <f t="shared" si="78"/>
        <v/>
      </c>
      <c r="B308" s="11">
        <f>Weekly!$D$3</f>
        <v>45916</v>
      </c>
      <c r="C308" s="12">
        <v>6.25E-2</v>
      </c>
      <c r="D308" s="13">
        <f>Weekly!D22</f>
        <v>0</v>
      </c>
      <c r="E308" s="13" t="str">
        <f t="shared" si="79"/>
        <v/>
      </c>
      <c r="F308" s="13" t="str">
        <f t="shared" si="80"/>
        <v/>
      </c>
      <c r="G308" s="13" t="str">
        <f t="shared" si="81"/>
        <v/>
      </c>
      <c r="H308" s="13" t="str">
        <f t="shared" si="82"/>
        <v/>
      </c>
      <c r="I308" s="14" t="e">
        <f t="array" aca="1" ref="I308" ca="1">IF(getRGB1(Weekly!D22)="FFFF00","초방","재방")</f>
        <v>#NAME?</v>
      </c>
    </row>
    <row r="309" spans="1:9" ht="11.25" customHeight="1" x14ac:dyDescent="0.3">
      <c r="A309" s="10" t="str">
        <f t="shared" si="78"/>
        <v/>
      </c>
      <c r="B309" s="11">
        <f>Weekly!$D$3</f>
        <v>45916</v>
      </c>
      <c r="C309" s="12">
        <v>6.5972222222222196E-2</v>
      </c>
      <c r="D309" s="13">
        <f>Weekly!D23</f>
        <v>0</v>
      </c>
      <c r="E309" s="13" t="str">
        <f t="shared" si="79"/>
        <v/>
      </c>
      <c r="F309" s="13" t="str">
        <f t="shared" si="80"/>
        <v/>
      </c>
      <c r="G309" s="13" t="str">
        <f t="shared" si="81"/>
        <v/>
      </c>
      <c r="H309" s="13" t="str">
        <f t="shared" si="82"/>
        <v/>
      </c>
      <c r="I309" s="14" t="e">
        <f t="array" aca="1" ref="I309" ca="1">IF(getRGB1(Weekly!D23)="FFFF00","초방","재방")</f>
        <v>#NAME?</v>
      </c>
    </row>
    <row r="310" spans="1:9" ht="11.25" customHeight="1" x14ac:dyDescent="0.3">
      <c r="A310" s="10" t="str">
        <f t="shared" si="78"/>
        <v/>
      </c>
      <c r="B310" s="11">
        <f>Weekly!$D$3</f>
        <v>45916</v>
      </c>
      <c r="C310" s="12">
        <v>6.9444444444444406E-2</v>
      </c>
      <c r="D310" s="13">
        <f>Weekly!D24</f>
        <v>0</v>
      </c>
      <c r="E310" s="13" t="str">
        <f t="shared" si="79"/>
        <v/>
      </c>
      <c r="F310" s="13" t="str">
        <f t="shared" si="80"/>
        <v/>
      </c>
      <c r="G310" s="13" t="str">
        <f t="shared" si="81"/>
        <v/>
      </c>
      <c r="H310" s="13" t="str">
        <f t="shared" si="82"/>
        <v/>
      </c>
      <c r="I310" s="14" t="e">
        <f t="array" aca="1" ref="I310" ca="1">IF(getRGB1(Weekly!D24)="FFFF00","초방","재방")</f>
        <v>#NAME?</v>
      </c>
    </row>
    <row r="311" spans="1:9" ht="11.25" customHeight="1" x14ac:dyDescent="0.3">
      <c r="A311" s="10" t="str">
        <f t="shared" si="78"/>
        <v/>
      </c>
      <c r="B311" s="11">
        <f>Weekly!$D$3</f>
        <v>45916</v>
      </c>
      <c r="C311" s="12">
        <v>7.2916666666666699E-2</v>
      </c>
      <c r="D311" s="13">
        <f>Weekly!D25</f>
        <v>0</v>
      </c>
      <c r="E311" s="13" t="str">
        <f t="shared" si="79"/>
        <v/>
      </c>
      <c r="F311" s="13" t="str">
        <f t="shared" si="80"/>
        <v/>
      </c>
      <c r="G311" s="13" t="str">
        <f t="shared" si="81"/>
        <v/>
      </c>
      <c r="H311" s="13" t="str">
        <f t="shared" si="82"/>
        <v/>
      </c>
      <c r="I311" s="14" t="e">
        <f t="array" aca="1" ref="I311" ca="1">IF(getRGB1(Weekly!D25)="FFFF00","초방","재방")</f>
        <v>#NAME?</v>
      </c>
    </row>
    <row r="312" spans="1:9" ht="11.25" customHeight="1" x14ac:dyDescent="0.3">
      <c r="A312" s="10" t="str">
        <f t="shared" si="78"/>
        <v/>
      </c>
      <c r="B312" s="11">
        <f>Weekly!$D$3</f>
        <v>45916</v>
      </c>
      <c r="C312" s="12">
        <v>7.6388888888888895E-2</v>
      </c>
      <c r="D312" s="13">
        <f>Weekly!D26</f>
        <v>0</v>
      </c>
      <c r="E312" s="13" t="str">
        <f t="shared" si="79"/>
        <v/>
      </c>
      <c r="F312" s="13" t="str">
        <f t="shared" si="80"/>
        <v/>
      </c>
      <c r="G312" s="13" t="str">
        <f t="shared" si="81"/>
        <v/>
      </c>
      <c r="H312" s="13" t="str">
        <f t="shared" si="82"/>
        <v/>
      </c>
      <c r="I312" s="14" t="e">
        <f t="array" aca="1" ref="I312" ca="1">IF(getRGB1(Weekly!D26)="FFFF00","초방","재방")</f>
        <v>#NAME?</v>
      </c>
    </row>
    <row r="313" spans="1:9" ht="11.25" customHeight="1" x14ac:dyDescent="0.3">
      <c r="A313" s="10" t="str">
        <f t="shared" si="78"/>
        <v/>
      </c>
      <c r="B313" s="11">
        <f>Weekly!$D$3</f>
        <v>45916</v>
      </c>
      <c r="C313" s="12">
        <v>7.9861111111111105E-2</v>
      </c>
      <c r="D313" s="13">
        <f>Weekly!D27</f>
        <v>0</v>
      </c>
      <c r="E313" s="13" t="str">
        <f t="shared" si="79"/>
        <v/>
      </c>
      <c r="F313" s="13" t="str">
        <f t="shared" si="80"/>
        <v/>
      </c>
      <c r="G313" s="13" t="str">
        <f t="shared" si="81"/>
        <v/>
      </c>
      <c r="H313" s="13" t="str">
        <f t="shared" si="82"/>
        <v/>
      </c>
      <c r="I313" s="14" t="e">
        <f t="array" aca="1" ref="I313" ca="1">IF(getRGB1(Weekly!D27)="FFFF00","초방","재방")</f>
        <v>#NAME?</v>
      </c>
    </row>
    <row r="314" spans="1:9" ht="11.25" customHeight="1" x14ac:dyDescent="0.3">
      <c r="A314" s="10">
        <f t="shared" si="78"/>
        <v>45916.083333333336</v>
      </c>
      <c r="B314" s="11">
        <f>Weekly!$D$3</f>
        <v>45916</v>
      </c>
      <c r="C314" s="12">
        <v>8.3333333333333301E-2</v>
      </c>
      <c r="D314" s="13" t="str">
        <f>Weekly!D28</f>
        <v>휴먼다큐 시장사람들
&lt;16</v>
      </c>
      <c r="E314" s="13" t="str">
        <f t="shared" si="79"/>
        <v>휴먼다큐 시장사람들</v>
      </c>
      <c r="F314" s="13">
        <f t="shared" si="80"/>
        <v>16</v>
      </c>
      <c r="G314" s="13" t="str">
        <f t="shared" si="81"/>
        <v/>
      </c>
      <c r="H314" s="13" t="str">
        <f t="shared" si="82"/>
        <v/>
      </c>
      <c r="I314" s="14" t="str">
        <f t="array" ref="I314">IF(getRGB1(Weekly!D28)="FFFF00","초방","재방")</f>
        <v>재방</v>
      </c>
    </row>
    <row r="315" spans="1:9" ht="11.25" customHeight="1" x14ac:dyDescent="0.3">
      <c r="A315" s="10" t="str">
        <f t="shared" si="78"/>
        <v/>
      </c>
      <c r="B315" s="11">
        <f>Weekly!$D$3</f>
        <v>45916</v>
      </c>
      <c r="C315" s="12">
        <v>8.6805555555555594E-2</v>
      </c>
      <c r="D315" s="13">
        <f>Weekly!D29</f>
        <v>0</v>
      </c>
      <c r="E315" s="13" t="str">
        <f t="shared" si="79"/>
        <v/>
      </c>
      <c r="F315" s="13" t="str">
        <f t="shared" si="80"/>
        <v/>
      </c>
      <c r="G315" s="13" t="str">
        <f t="shared" si="81"/>
        <v/>
      </c>
      <c r="H315" s="13" t="str">
        <f t="shared" si="82"/>
        <v/>
      </c>
      <c r="I315" s="14" t="str">
        <f t="array" ref="I315">IF(getRGB1(Weekly!D29)="FFFF00","초방","재방")</f>
        <v>재방</v>
      </c>
    </row>
    <row r="316" spans="1:9" ht="11.25" customHeight="1" x14ac:dyDescent="0.3">
      <c r="A316" s="10" t="str">
        <f t="shared" si="78"/>
        <v/>
      </c>
      <c r="B316" s="11">
        <f>Weekly!$D$3</f>
        <v>45916</v>
      </c>
      <c r="C316" s="12">
        <v>9.0277777777777804E-2</v>
      </c>
      <c r="D316" s="13">
        <f>Weekly!D30</f>
        <v>0</v>
      </c>
      <c r="E316" s="13" t="str">
        <f t="shared" si="79"/>
        <v/>
      </c>
      <c r="F316" s="13" t="str">
        <f t="shared" si="80"/>
        <v/>
      </c>
      <c r="G316" s="13" t="str">
        <f t="shared" si="81"/>
        <v/>
      </c>
      <c r="H316" s="13" t="str">
        <f t="shared" si="82"/>
        <v/>
      </c>
      <c r="I316" s="14" t="str">
        <f t="array" ref="I316">IF(getRGB1(Weekly!D30)="FFFF00","초방","재방")</f>
        <v>재방</v>
      </c>
    </row>
    <row r="317" spans="1:9" ht="11.25" customHeight="1" x14ac:dyDescent="0.3">
      <c r="A317" s="10" t="str">
        <f t="shared" si="78"/>
        <v/>
      </c>
      <c r="B317" s="11">
        <f>Weekly!$D$3</f>
        <v>45916</v>
      </c>
      <c r="C317" s="12">
        <v>9.375E-2</v>
      </c>
      <c r="D317" s="13">
        <f>Weekly!D31</f>
        <v>0</v>
      </c>
      <c r="E317" s="13" t="str">
        <f t="shared" si="79"/>
        <v/>
      </c>
      <c r="F317" s="13" t="str">
        <f t="shared" si="80"/>
        <v/>
      </c>
      <c r="G317" s="13" t="str">
        <f t="shared" si="81"/>
        <v/>
      </c>
      <c r="H317" s="13" t="str">
        <f t="shared" si="82"/>
        <v/>
      </c>
      <c r="I317" s="14" t="str">
        <f t="array" ref="I317">IF(getRGB1(Weekly!D31)="FFFF00","초방","재방")</f>
        <v>재방</v>
      </c>
    </row>
    <row r="318" spans="1:9" ht="11.25" customHeight="1" x14ac:dyDescent="0.3">
      <c r="A318" s="10" t="str">
        <f t="shared" si="78"/>
        <v/>
      </c>
      <c r="B318" s="11">
        <f>Weekly!$D$3</f>
        <v>45916</v>
      </c>
      <c r="C318" s="12">
        <v>9.7222222222222196E-2</v>
      </c>
      <c r="D318" s="13">
        <f>Weekly!D32</f>
        <v>0</v>
      </c>
      <c r="E318" s="13" t="str">
        <f t="shared" si="79"/>
        <v/>
      </c>
      <c r="F318" s="13" t="str">
        <f t="shared" si="80"/>
        <v/>
      </c>
      <c r="G318" s="13" t="str">
        <f t="shared" si="81"/>
        <v/>
      </c>
      <c r="H318" s="13" t="str">
        <f t="shared" si="82"/>
        <v/>
      </c>
      <c r="I318" s="14" t="str">
        <f t="array" ref="I318">IF(getRGB1(Weekly!D32)="FFFF00","초방","재방")</f>
        <v>재방</v>
      </c>
    </row>
    <row r="319" spans="1:9" ht="11.25" customHeight="1" x14ac:dyDescent="0.3">
      <c r="A319" s="10" t="str">
        <f t="shared" si="78"/>
        <v/>
      </c>
      <c r="B319" s="11">
        <f>Weekly!$D$3</f>
        <v>45916</v>
      </c>
      <c r="C319" s="12">
        <v>0.100694444444444</v>
      </c>
      <c r="D319" s="13">
        <f>Weekly!D33</f>
        <v>0</v>
      </c>
      <c r="E319" s="13" t="str">
        <f t="shared" si="79"/>
        <v/>
      </c>
      <c r="F319" s="13" t="str">
        <f t="shared" si="80"/>
        <v/>
      </c>
      <c r="G319" s="13" t="str">
        <f t="shared" si="81"/>
        <v/>
      </c>
      <c r="H319" s="13" t="str">
        <f t="shared" si="82"/>
        <v/>
      </c>
      <c r="I319" s="14" t="str">
        <f t="array" ref="I319">IF(getRGB1(Weekly!D33)="FFFF00","초방","재방")</f>
        <v>재방</v>
      </c>
    </row>
    <row r="320" spans="1:9" ht="11.25" customHeight="1" x14ac:dyDescent="0.3">
      <c r="A320" s="10" t="str">
        <f t="shared" si="78"/>
        <v/>
      </c>
      <c r="B320" s="11">
        <f>Weekly!$D$3</f>
        <v>45916</v>
      </c>
      <c r="C320" s="12">
        <v>0.104166666666667</v>
      </c>
      <c r="D320" s="13">
        <f>Weekly!D34</f>
        <v>0</v>
      </c>
      <c r="E320" s="13" t="str">
        <f t="shared" si="79"/>
        <v/>
      </c>
      <c r="F320" s="13" t="str">
        <f t="shared" si="80"/>
        <v/>
      </c>
      <c r="G320" s="13" t="str">
        <f t="shared" si="81"/>
        <v/>
      </c>
      <c r="H320" s="13" t="str">
        <f t="shared" si="82"/>
        <v/>
      </c>
      <c r="I320" s="14" t="str">
        <f t="array" ref="I320">IF(getRGB1(Weekly!D34)="FFFF00","초방","재방")</f>
        <v>재방</v>
      </c>
    </row>
    <row r="321" spans="1:9" ht="11.25" customHeight="1" x14ac:dyDescent="0.3">
      <c r="A321" s="10" t="str">
        <f t="shared" si="78"/>
        <v/>
      </c>
      <c r="B321" s="11">
        <f>Weekly!$D$3</f>
        <v>45916</v>
      </c>
      <c r="C321" s="12">
        <v>0.10763888888888901</v>
      </c>
      <c r="D321" s="13">
        <f>Weekly!D35</f>
        <v>0</v>
      </c>
      <c r="E321" s="13" t="str">
        <f t="shared" si="79"/>
        <v/>
      </c>
      <c r="F321" s="13" t="str">
        <f t="shared" si="80"/>
        <v/>
      </c>
      <c r="G321" s="13" t="str">
        <f t="shared" si="81"/>
        <v/>
      </c>
      <c r="H321" s="13" t="str">
        <f t="shared" si="82"/>
        <v/>
      </c>
      <c r="I321" s="14" t="str">
        <f t="array" ref="I321">IF(getRGB1(Weekly!D35)="FFFF00","초방","재방")</f>
        <v>재방</v>
      </c>
    </row>
    <row r="322" spans="1:9" ht="11.25" customHeight="1" x14ac:dyDescent="0.3">
      <c r="A322" s="10">
        <f t="shared" ref="A322:A385" si="83">IF(D322&lt;&gt;0,B322+C322,"")</f>
        <v>45916.111111111109</v>
      </c>
      <c r="B322" s="11">
        <f>Weekly!$D$3</f>
        <v>45916</v>
      </c>
      <c r="C322" s="12">
        <v>0.11111111111111099</v>
      </c>
      <c r="D322" s="13" t="str">
        <f>Weekly!D36</f>
        <v>최선규의 이제는 지방시대 시즌2
&lt;05</v>
      </c>
      <c r="E322" s="13" t="str">
        <f t="shared" ref="E322:E385" si="84">IFERROR(SUBSTITUTE(SUBSTITUTE(TRIM(LEFT(D322,FIND("&lt;",D322)-1)),CHAR(10),""),"⑮ ",""),"")</f>
        <v>최선규의 이제는 지방시대 시즌2</v>
      </c>
      <c r="F322" s="13">
        <f t="shared" si="80"/>
        <v>5</v>
      </c>
      <c r="G322" s="13" t="str">
        <f t="shared" ref="G322:G385" si="85">IFERROR(MID(D322,FIND("&gt;",D322)+1,10),"")</f>
        <v/>
      </c>
      <c r="H322" s="13" t="str">
        <f t="shared" ref="H322:H385" si="86">IFERROR(VLOOKUP(LEFT(D322,2),$W$1:$X$6,2,0),"")</f>
        <v/>
      </c>
      <c r="I322" s="14" t="str">
        <f t="array" ref="I322">IF(getRGB1(Weekly!D36)="FFFF00","초방","재방")</f>
        <v>재방</v>
      </c>
    </row>
    <row r="323" spans="1:9" ht="11.25" customHeight="1" x14ac:dyDescent="0.3">
      <c r="A323" s="10" t="str">
        <f t="shared" si="83"/>
        <v/>
      </c>
      <c r="B323" s="11">
        <f>Weekly!$D$3</f>
        <v>45916</v>
      </c>
      <c r="C323" s="12">
        <v>0.114583333333333</v>
      </c>
      <c r="D323" s="13">
        <f>Weekly!D37</f>
        <v>0</v>
      </c>
      <c r="E323" s="13" t="str">
        <f t="shared" si="84"/>
        <v/>
      </c>
      <c r="F323" s="13" t="str">
        <f t="shared" ref="F323:F386" si="87">IFERROR((MID(D323,FIND("&lt;",D323)+1,4))*1,"")</f>
        <v/>
      </c>
      <c r="G323" s="13" t="str">
        <f t="shared" si="85"/>
        <v/>
      </c>
      <c r="H323" s="13" t="str">
        <f t="shared" si="86"/>
        <v/>
      </c>
      <c r="I323" s="14" t="str">
        <f t="array" ref="I323">IF(getRGB1(Weekly!D37)="FFFF00","초방","재방")</f>
        <v>재방</v>
      </c>
    </row>
    <row r="324" spans="1:9" ht="11.25" customHeight="1" x14ac:dyDescent="0.3">
      <c r="A324" s="10" t="str">
        <f t="shared" si="83"/>
        <v/>
      </c>
      <c r="B324" s="11">
        <f>Weekly!$D$3</f>
        <v>45916</v>
      </c>
      <c r="C324" s="12">
        <v>0.118055555555556</v>
      </c>
      <c r="D324" s="13">
        <f>Weekly!D38</f>
        <v>0</v>
      </c>
      <c r="E324" s="13" t="str">
        <f t="shared" si="84"/>
        <v/>
      </c>
      <c r="F324" s="13" t="str">
        <f t="shared" si="87"/>
        <v/>
      </c>
      <c r="G324" s="13" t="str">
        <f t="shared" si="85"/>
        <v/>
      </c>
      <c r="H324" s="13" t="str">
        <f t="shared" si="86"/>
        <v/>
      </c>
      <c r="I324" s="14" t="str">
        <f t="array" ref="I324">IF(getRGB1(Weekly!D38)="FFFF00","초방","재방")</f>
        <v>재방</v>
      </c>
    </row>
    <row r="325" spans="1:9" ht="11.25" customHeight="1" x14ac:dyDescent="0.3">
      <c r="A325" s="10" t="str">
        <f t="shared" si="83"/>
        <v/>
      </c>
      <c r="B325" s="11">
        <f>Weekly!$D$3</f>
        <v>45916</v>
      </c>
      <c r="C325" s="12">
        <v>0.121527777777778</v>
      </c>
      <c r="D325" s="13">
        <f>Weekly!D39</f>
        <v>0</v>
      </c>
      <c r="E325" s="13" t="str">
        <f t="shared" si="84"/>
        <v/>
      </c>
      <c r="F325" s="13" t="str">
        <f t="shared" si="87"/>
        <v/>
      </c>
      <c r="G325" s="13" t="str">
        <f t="shared" si="85"/>
        <v/>
      </c>
      <c r="H325" s="13" t="str">
        <f t="shared" si="86"/>
        <v/>
      </c>
      <c r="I325" s="14" t="str">
        <f t="array" ref="I325">IF(getRGB1(Weekly!D39)="FFFF00","초방","재방")</f>
        <v>재방</v>
      </c>
    </row>
    <row r="326" spans="1:9" ht="11.25" customHeight="1" x14ac:dyDescent="0.3">
      <c r="A326" s="10" t="str">
        <f t="shared" si="83"/>
        <v/>
      </c>
      <c r="B326" s="11">
        <f>Weekly!$D$3</f>
        <v>45916</v>
      </c>
      <c r="C326" s="12">
        <v>0.125</v>
      </c>
      <c r="D326" s="13">
        <f>Weekly!D40</f>
        <v>0</v>
      </c>
      <c r="E326" s="13" t="str">
        <f t="shared" si="84"/>
        <v/>
      </c>
      <c r="F326" s="13" t="str">
        <f t="shared" si="87"/>
        <v/>
      </c>
      <c r="G326" s="13" t="str">
        <f t="shared" si="85"/>
        <v/>
      </c>
      <c r="H326" s="13" t="str">
        <f t="shared" si="86"/>
        <v/>
      </c>
      <c r="I326" s="14" t="str">
        <f t="array" ref="I326">IF(getRGB1(Weekly!D40)="FFFF00","초방","재방")</f>
        <v>재방</v>
      </c>
    </row>
    <row r="327" spans="1:9" ht="11.25" customHeight="1" x14ac:dyDescent="0.3">
      <c r="A327" s="10" t="str">
        <f t="shared" si="83"/>
        <v/>
      </c>
      <c r="B327" s="11">
        <f>Weekly!$D$3</f>
        <v>45916</v>
      </c>
      <c r="C327" s="12">
        <v>0.12847222222222199</v>
      </c>
      <c r="D327" s="13">
        <f>Weekly!D41</f>
        <v>0</v>
      </c>
      <c r="E327" s="13" t="str">
        <f t="shared" si="84"/>
        <v/>
      </c>
      <c r="F327" s="13" t="str">
        <f t="shared" si="87"/>
        <v/>
      </c>
      <c r="G327" s="13" t="str">
        <f t="shared" si="85"/>
        <v/>
      </c>
      <c r="H327" s="13" t="str">
        <f t="shared" si="86"/>
        <v/>
      </c>
      <c r="I327" s="14" t="str">
        <f t="array" ref="I327">IF(getRGB1(Weekly!D41)="FFFF00","초방","재방")</f>
        <v>재방</v>
      </c>
    </row>
    <row r="328" spans="1:9" ht="11.25" customHeight="1" x14ac:dyDescent="0.3">
      <c r="A328" s="10" t="str">
        <f t="shared" si="83"/>
        <v/>
      </c>
      <c r="B328" s="11">
        <f>Weekly!$D$3</f>
        <v>45916</v>
      </c>
      <c r="C328" s="12">
        <v>0.131944444444444</v>
      </c>
      <c r="D328" s="13">
        <f>Weekly!D42</f>
        <v>0</v>
      </c>
      <c r="E328" s="13" t="str">
        <f t="shared" si="84"/>
        <v/>
      </c>
      <c r="F328" s="13" t="str">
        <f t="shared" si="87"/>
        <v/>
      </c>
      <c r="G328" s="13" t="str">
        <f t="shared" si="85"/>
        <v/>
      </c>
      <c r="H328" s="13" t="str">
        <f t="shared" si="86"/>
        <v/>
      </c>
      <c r="I328" s="14" t="str">
        <f t="array" ref="I328">IF(getRGB1(Weekly!D42)="FFFF00","초방","재방")</f>
        <v>재방</v>
      </c>
    </row>
    <row r="329" spans="1:9" ht="11.25" customHeight="1" x14ac:dyDescent="0.3">
      <c r="A329" s="10" t="str">
        <f t="shared" si="83"/>
        <v/>
      </c>
      <c r="B329" s="11">
        <f>Weekly!$D$3</f>
        <v>45916</v>
      </c>
      <c r="C329" s="12">
        <v>0.13541666666666699</v>
      </c>
      <c r="D329" s="13">
        <f>Weekly!D43</f>
        <v>0</v>
      </c>
      <c r="E329" s="13" t="str">
        <f t="shared" si="84"/>
        <v/>
      </c>
      <c r="F329" s="13" t="str">
        <f t="shared" si="87"/>
        <v/>
      </c>
      <c r="G329" s="13" t="str">
        <f t="shared" si="85"/>
        <v/>
      </c>
      <c r="H329" s="13" t="str">
        <f t="shared" si="86"/>
        <v/>
      </c>
      <c r="I329" s="14" t="str">
        <f t="array" ref="I329">IF(getRGB1(Weekly!D43)="FFFF00","초방","재방")</f>
        <v>재방</v>
      </c>
    </row>
    <row r="330" spans="1:9" ht="11.25" customHeight="1" x14ac:dyDescent="0.3">
      <c r="A330" s="10" t="str">
        <f t="shared" si="83"/>
        <v/>
      </c>
      <c r="B330" s="11">
        <f>Weekly!$D$3</f>
        <v>45916</v>
      </c>
      <c r="C330" s="12">
        <v>0.13888888888888901</v>
      </c>
      <c r="D330" s="13">
        <f>Weekly!D44</f>
        <v>0</v>
      </c>
      <c r="E330" s="13" t="str">
        <f t="shared" si="84"/>
        <v/>
      </c>
      <c r="F330" s="13" t="str">
        <f t="shared" si="87"/>
        <v/>
      </c>
      <c r="G330" s="13" t="str">
        <f t="shared" si="85"/>
        <v/>
      </c>
      <c r="H330" s="13" t="str">
        <f t="shared" si="86"/>
        <v/>
      </c>
      <c r="I330" s="14" t="str">
        <f t="array" ref="I330">IF(getRGB1(Weekly!D44)="FFFF00","초방","재방")</f>
        <v>재방</v>
      </c>
    </row>
    <row r="331" spans="1:9" ht="11.25" customHeight="1" x14ac:dyDescent="0.3">
      <c r="A331" s="10" t="str">
        <f t="shared" si="83"/>
        <v/>
      </c>
      <c r="B331" s="11">
        <f>Weekly!$D$3</f>
        <v>45916</v>
      </c>
      <c r="C331" s="12">
        <v>0.14236111111111099</v>
      </c>
      <c r="D331" s="13">
        <f>Weekly!D45</f>
        <v>0</v>
      </c>
      <c r="E331" s="13" t="str">
        <f t="shared" si="84"/>
        <v/>
      </c>
      <c r="F331" s="13" t="str">
        <f t="shared" si="87"/>
        <v/>
      </c>
      <c r="G331" s="13" t="str">
        <f t="shared" si="85"/>
        <v/>
      </c>
      <c r="H331" s="13" t="str">
        <f t="shared" si="86"/>
        <v/>
      </c>
      <c r="I331" s="14" t="str">
        <f t="array" ref="I331">IF(getRGB1(Weekly!D45)="FFFF00","초방","재방")</f>
        <v>재방</v>
      </c>
    </row>
    <row r="332" spans="1:9" ht="11.25" customHeight="1" x14ac:dyDescent="0.3">
      <c r="A332" s="10" t="str">
        <f t="shared" si="83"/>
        <v/>
      </c>
      <c r="B332" s="11">
        <f>Weekly!$D$3</f>
        <v>45916</v>
      </c>
      <c r="C332" s="12">
        <v>0.14583333333333301</v>
      </c>
      <c r="D332" s="13">
        <f>Weekly!D46</f>
        <v>0</v>
      </c>
      <c r="E332" s="13" t="str">
        <f t="shared" si="84"/>
        <v/>
      </c>
      <c r="F332" s="13" t="str">
        <f t="shared" si="87"/>
        <v/>
      </c>
      <c r="G332" s="13" t="str">
        <f t="shared" si="85"/>
        <v/>
      </c>
      <c r="H332" s="13" t="str">
        <f t="shared" si="86"/>
        <v/>
      </c>
      <c r="I332" s="14" t="str">
        <f t="array" ref="I332">IF(getRGB1(Weekly!D46)="FFFF00","초방","재방")</f>
        <v>재방</v>
      </c>
    </row>
    <row r="333" spans="1:9" ht="11.25" customHeight="1" x14ac:dyDescent="0.3">
      <c r="A333" s="10" t="str">
        <f t="shared" si="83"/>
        <v/>
      </c>
      <c r="B333" s="11">
        <f>Weekly!$D$3</f>
        <v>45916</v>
      </c>
      <c r="C333" s="12">
        <v>0.149305555555556</v>
      </c>
      <c r="D333" s="13">
        <f>Weekly!D47</f>
        <v>0</v>
      </c>
      <c r="E333" s="13" t="str">
        <f t="shared" si="84"/>
        <v/>
      </c>
      <c r="F333" s="13" t="str">
        <f t="shared" si="87"/>
        <v/>
      </c>
      <c r="G333" s="13" t="str">
        <f t="shared" si="85"/>
        <v/>
      </c>
      <c r="H333" s="13" t="str">
        <f t="shared" si="86"/>
        <v/>
      </c>
      <c r="I333" s="14" t="str">
        <f t="array" ref="I333">IF(getRGB1(Weekly!D47)="FFFF00","초방","재방")</f>
        <v>재방</v>
      </c>
    </row>
    <row r="334" spans="1:9" ht="11.25" customHeight="1" x14ac:dyDescent="0.3">
      <c r="A334" s="10">
        <f t="shared" si="83"/>
        <v>45916.152777777781</v>
      </c>
      <c r="B334" s="11">
        <f>Weekly!$D$3</f>
        <v>45916</v>
      </c>
      <c r="C334" s="12">
        <v>0.15277777777777801</v>
      </c>
      <c r="D334" s="13" t="str">
        <f>Weekly!D48</f>
        <v>태군노래자랑
&lt;09</v>
      </c>
      <c r="E334" s="13" t="str">
        <f t="shared" si="84"/>
        <v>태군노래자랑</v>
      </c>
      <c r="F334" s="13">
        <f t="shared" si="87"/>
        <v>9</v>
      </c>
      <c r="G334" s="13" t="str">
        <f t="shared" si="85"/>
        <v/>
      </c>
      <c r="H334" s="13" t="str">
        <f t="shared" si="86"/>
        <v/>
      </c>
      <c r="I334" s="14" t="str">
        <f t="array" ref="I334">IF(getRGB1(Weekly!D48)="FFFF00","초방","재방")</f>
        <v>재방</v>
      </c>
    </row>
    <row r="335" spans="1:9" ht="11.25" customHeight="1" x14ac:dyDescent="0.3">
      <c r="A335" s="10" t="str">
        <f t="shared" si="83"/>
        <v/>
      </c>
      <c r="B335" s="11">
        <f>Weekly!$D$3</f>
        <v>45916</v>
      </c>
      <c r="C335" s="12">
        <v>0.15625</v>
      </c>
      <c r="D335" s="13">
        <f>Weekly!D49</f>
        <v>0</v>
      </c>
      <c r="E335" s="13" t="str">
        <f t="shared" si="84"/>
        <v/>
      </c>
      <c r="F335" s="13" t="str">
        <f t="shared" si="87"/>
        <v/>
      </c>
      <c r="G335" s="13" t="str">
        <f t="shared" si="85"/>
        <v/>
      </c>
      <c r="H335" s="13" t="str">
        <f t="shared" si="86"/>
        <v/>
      </c>
      <c r="I335" s="14" t="str">
        <f t="array" ref="I335">IF(getRGB1(Weekly!D49)="FFFF00","초방","재방")</f>
        <v>재방</v>
      </c>
    </row>
    <row r="336" spans="1:9" ht="11.25" customHeight="1" x14ac:dyDescent="0.3">
      <c r="A336" s="10" t="str">
        <f t="shared" si="83"/>
        <v/>
      </c>
      <c r="B336" s="11">
        <f>Weekly!$D$3</f>
        <v>45916</v>
      </c>
      <c r="C336" s="12">
        <v>0.15972222222222199</v>
      </c>
      <c r="D336" s="13">
        <f>Weekly!D50</f>
        <v>0</v>
      </c>
      <c r="E336" s="13" t="str">
        <f t="shared" si="84"/>
        <v/>
      </c>
      <c r="F336" s="13" t="str">
        <f t="shared" si="87"/>
        <v/>
      </c>
      <c r="G336" s="13" t="str">
        <f t="shared" si="85"/>
        <v/>
      </c>
      <c r="H336" s="13" t="str">
        <f t="shared" si="86"/>
        <v/>
      </c>
      <c r="I336" s="14" t="str">
        <f t="array" ref="I336">IF(getRGB1(Weekly!D50)="FFFF00","초방","재방")</f>
        <v>재방</v>
      </c>
    </row>
    <row r="337" spans="1:9" ht="11.25" customHeight="1" x14ac:dyDescent="0.3">
      <c r="A337" s="10" t="str">
        <f t="shared" si="83"/>
        <v/>
      </c>
      <c r="B337" s="11">
        <f>Weekly!$D$3</f>
        <v>45916</v>
      </c>
      <c r="C337" s="12">
        <v>0.163194444444444</v>
      </c>
      <c r="D337" s="13">
        <f>Weekly!D51</f>
        <v>0</v>
      </c>
      <c r="E337" s="13" t="str">
        <f t="shared" si="84"/>
        <v/>
      </c>
      <c r="F337" s="13" t="str">
        <f t="shared" si="87"/>
        <v/>
      </c>
      <c r="G337" s="13" t="str">
        <f t="shared" si="85"/>
        <v/>
      </c>
      <c r="H337" s="13" t="str">
        <f t="shared" si="86"/>
        <v/>
      </c>
      <c r="I337" s="14" t="str">
        <f t="array" ref="I337">IF(getRGB1(Weekly!D51)="FFFF00","초방","재방")</f>
        <v>재방</v>
      </c>
    </row>
    <row r="338" spans="1:9" ht="11.25" customHeight="1" x14ac:dyDescent="0.3">
      <c r="A338" s="10" t="str">
        <f t="shared" si="83"/>
        <v/>
      </c>
      <c r="B338" s="11">
        <f>Weekly!$D$3</f>
        <v>45916</v>
      </c>
      <c r="C338" s="12">
        <v>0.16666666666666699</v>
      </c>
      <c r="D338" s="13">
        <f>Weekly!D52</f>
        <v>0</v>
      </c>
      <c r="E338" s="13" t="str">
        <f t="shared" si="84"/>
        <v/>
      </c>
      <c r="F338" s="13" t="str">
        <f t="shared" si="87"/>
        <v/>
      </c>
      <c r="G338" s="13" t="str">
        <f t="shared" si="85"/>
        <v/>
      </c>
      <c r="H338" s="13" t="str">
        <f t="shared" si="86"/>
        <v/>
      </c>
      <c r="I338" s="14" t="str">
        <f t="array" ref="I338">IF(getRGB1(Weekly!D52)="FFFF00","초방","재방")</f>
        <v>재방</v>
      </c>
    </row>
    <row r="339" spans="1:9" ht="11.25" customHeight="1" x14ac:dyDescent="0.3">
      <c r="A339" s="10" t="str">
        <f t="shared" si="83"/>
        <v/>
      </c>
      <c r="B339" s="11">
        <f>Weekly!$D$3</f>
        <v>45916</v>
      </c>
      <c r="C339" s="12">
        <v>0.17013888888888901</v>
      </c>
      <c r="D339" s="13">
        <f>Weekly!D53</f>
        <v>0</v>
      </c>
      <c r="E339" s="13" t="str">
        <f t="shared" si="84"/>
        <v/>
      </c>
      <c r="F339" s="13" t="str">
        <f t="shared" si="87"/>
        <v/>
      </c>
      <c r="G339" s="13" t="str">
        <f t="shared" si="85"/>
        <v/>
      </c>
      <c r="H339" s="13" t="str">
        <f t="shared" si="86"/>
        <v/>
      </c>
      <c r="I339" s="14" t="str">
        <f t="array" ref="I339">IF(getRGB1(Weekly!D53)="FFFF00","초방","재방")</f>
        <v>재방</v>
      </c>
    </row>
    <row r="340" spans="1:9" ht="11.25" customHeight="1" x14ac:dyDescent="0.3">
      <c r="A340" s="10" t="str">
        <f t="shared" si="83"/>
        <v/>
      </c>
      <c r="B340" s="11">
        <f>Weekly!$D$3</f>
        <v>45916</v>
      </c>
      <c r="C340" s="12">
        <v>0.17361111111111099</v>
      </c>
      <c r="D340" s="13">
        <f>Weekly!D54</f>
        <v>0</v>
      </c>
      <c r="E340" s="13" t="str">
        <f t="shared" si="84"/>
        <v/>
      </c>
      <c r="F340" s="13" t="str">
        <f t="shared" si="87"/>
        <v/>
      </c>
      <c r="G340" s="13" t="str">
        <f t="shared" si="85"/>
        <v/>
      </c>
      <c r="H340" s="13" t="str">
        <f t="shared" si="86"/>
        <v/>
      </c>
      <c r="I340" s="14" t="str">
        <f t="array" ref="I340">IF(getRGB1(Weekly!D54)="FFFF00","초방","재방")</f>
        <v>재방</v>
      </c>
    </row>
    <row r="341" spans="1:9" ht="11.25" customHeight="1" x14ac:dyDescent="0.3">
      <c r="A341" s="10" t="str">
        <f t="shared" si="83"/>
        <v/>
      </c>
      <c r="B341" s="11">
        <f>Weekly!$D$3</f>
        <v>45916</v>
      </c>
      <c r="C341" s="12">
        <v>0.17708333333333301</v>
      </c>
      <c r="D341" s="13">
        <f>Weekly!D55</f>
        <v>0</v>
      </c>
      <c r="E341" s="13" t="str">
        <f t="shared" si="84"/>
        <v/>
      </c>
      <c r="F341" s="13" t="str">
        <f t="shared" si="87"/>
        <v/>
      </c>
      <c r="G341" s="13" t="str">
        <f t="shared" si="85"/>
        <v/>
      </c>
      <c r="H341" s="13" t="str">
        <f t="shared" si="86"/>
        <v/>
      </c>
      <c r="I341" s="14" t="str">
        <f t="array" ref="I341">IF(getRGB1(Weekly!D55)="FFFF00","초방","재방")</f>
        <v>재방</v>
      </c>
    </row>
    <row r="342" spans="1:9" ht="11.25" customHeight="1" x14ac:dyDescent="0.3">
      <c r="A342" s="10" t="str">
        <f t="shared" si="83"/>
        <v/>
      </c>
      <c r="B342" s="11">
        <f>Weekly!$D$3</f>
        <v>45916</v>
      </c>
      <c r="C342" s="12">
        <v>0.180555555555556</v>
      </c>
      <c r="D342" s="13">
        <f>Weekly!D56</f>
        <v>0</v>
      </c>
      <c r="E342" s="13" t="str">
        <f t="shared" si="84"/>
        <v/>
      </c>
      <c r="F342" s="13" t="str">
        <f t="shared" si="87"/>
        <v/>
      </c>
      <c r="G342" s="13" t="str">
        <f t="shared" si="85"/>
        <v/>
      </c>
      <c r="H342" s="13" t="str">
        <f t="shared" si="86"/>
        <v/>
      </c>
      <c r="I342" s="14" t="str">
        <f t="array" ref="I342">IF(getRGB1(Weekly!D56)="FFFF00","초방","재방")</f>
        <v>재방</v>
      </c>
    </row>
    <row r="343" spans="1:9" ht="11.25" customHeight="1" x14ac:dyDescent="0.3">
      <c r="A343" s="10" t="str">
        <f t="shared" si="83"/>
        <v/>
      </c>
      <c r="B343" s="11">
        <f>Weekly!$D$3</f>
        <v>45916</v>
      </c>
      <c r="C343" s="12">
        <v>0.18402777777777801</v>
      </c>
      <c r="D343" s="13">
        <f>Weekly!D57</f>
        <v>0</v>
      </c>
      <c r="E343" s="13" t="str">
        <f t="shared" si="84"/>
        <v/>
      </c>
      <c r="F343" s="13" t="str">
        <f t="shared" si="87"/>
        <v/>
      </c>
      <c r="G343" s="13" t="str">
        <f t="shared" si="85"/>
        <v/>
      </c>
      <c r="H343" s="13" t="str">
        <f t="shared" si="86"/>
        <v/>
      </c>
      <c r="I343" s="14" t="str">
        <f t="array" ref="I343">IF(getRGB1(Weekly!D57)="FFFF00","초방","재방")</f>
        <v>재방</v>
      </c>
    </row>
    <row r="344" spans="1:9" ht="11.25" customHeight="1" x14ac:dyDescent="0.3">
      <c r="A344" s="10" t="str">
        <f t="shared" si="83"/>
        <v/>
      </c>
      <c r="B344" s="11">
        <f>Weekly!$D$3</f>
        <v>45916</v>
      </c>
      <c r="C344" s="12">
        <v>0.1875</v>
      </c>
      <c r="D344" s="13">
        <f>Weekly!D58</f>
        <v>0</v>
      </c>
      <c r="E344" s="13" t="str">
        <f t="shared" si="84"/>
        <v/>
      </c>
      <c r="F344" s="13" t="str">
        <f t="shared" si="87"/>
        <v/>
      </c>
      <c r="G344" s="13" t="str">
        <f t="shared" si="85"/>
        <v/>
      </c>
      <c r="H344" s="13" t="str">
        <f t="shared" si="86"/>
        <v/>
      </c>
      <c r="I344" s="14" t="str">
        <f t="array" ref="I344">IF(getRGB1(Weekly!D58)="FFFF00","초방","재방")</f>
        <v>재방</v>
      </c>
    </row>
    <row r="345" spans="1:9" ht="11.25" customHeight="1" x14ac:dyDescent="0.3">
      <c r="A345" s="10" t="str">
        <f t="shared" si="83"/>
        <v/>
      </c>
      <c r="B345" s="11">
        <f>Weekly!$D$3</f>
        <v>45916</v>
      </c>
      <c r="C345" s="12">
        <v>0.19097222222222199</v>
      </c>
      <c r="D345" s="13">
        <f>Weekly!D59</f>
        <v>0</v>
      </c>
      <c r="E345" s="13" t="str">
        <f t="shared" si="84"/>
        <v/>
      </c>
      <c r="F345" s="13" t="str">
        <f t="shared" si="87"/>
        <v/>
      </c>
      <c r="G345" s="13" t="str">
        <f t="shared" si="85"/>
        <v/>
      </c>
      <c r="H345" s="13" t="str">
        <f t="shared" si="86"/>
        <v/>
      </c>
      <c r="I345" s="14" t="str">
        <f t="array" ref="I345">IF(getRGB1(Weekly!D59)="FFFF00","초방","재방")</f>
        <v>재방</v>
      </c>
    </row>
    <row r="346" spans="1:9" ht="11.25" customHeight="1" x14ac:dyDescent="0.3">
      <c r="A346" s="10">
        <f t="shared" si="83"/>
        <v>45916.194444444445</v>
      </c>
      <c r="B346" s="11">
        <f>Weekly!$D$3</f>
        <v>45916</v>
      </c>
      <c r="C346" s="12">
        <v>0.194444444444444</v>
      </c>
      <c r="D346" s="13" t="str">
        <f>Weekly!D60</f>
        <v xml:space="preserve"> NEWS4
&lt;63</v>
      </c>
      <c r="E346" s="13" t="str">
        <f t="shared" si="84"/>
        <v>NEWS4</v>
      </c>
      <c r="F346" s="13">
        <f t="shared" si="87"/>
        <v>63</v>
      </c>
      <c r="G346" s="13" t="str">
        <f t="shared" si="85"/>
        <v/>
      </c>
      <c r="H346" s="13" t="str">
        <f t="shared" si="86"/>
        <v/>
      </c>
      <c r="I346" s="14" t="str">
        <f t="array" ref="I346">IF(getRGB1(Weekly!D60)="FFFF00","초방","재방")</f>
        <v>재방</v>
      </c>
    </row>
    <row r="347" spans="1:9" ht="11.25" customHeight="1" x14ac:dyDescent="0.3">
      <c r="A347" s="10" t="str">
        <f t="shared" si="83"/>
        <v/>
      </c>
      <c r="B347" s="11">
        <f>Weekly!$D$3</f>
        <v>45916</v>
      </c>
      <c r="C347" s="12">
        <v>0.19791666666666699</v>
      </c>
      <c r="D347" s="13">
        <f>Weekly!D61</f>
        <v>0</v>
      </c>
      <c r="E347" s="13" t="str">
        <f t="shared" si="84"/>
        <v/>
      </c>
      <c r="F347" s="13" t="str">
        <f t="shared" si="87"/>
        <v/>
      </c>
      <c r="G347" s="13" t="str">
        <f t="shared" si="85"/>
        <v/>
      </c>
      <c r="H347" s="13" t="str">
        <f t="shared" si="86"/>
        <v/>
      </c>
      <c r="I347" s="14" t="str">
        <f t="array" ref="I347">IF(getRGB1(Weekly!D61)="FFFF00","초방","재방")</f>
        <v>재방</v>
      </c>
    </row>
    <row r="348" spans="1:9" ht="11.25" customHeight="1" x14ac:dyDescent="0.3">
      <c r="A348" s="10" t="str">
        <f t="shared" si="83"/>
        <v/>
      </c>
      <c r="B348" s="11">
        <f>Weekly!$D$3</f>
        <v>45916</v>
      </c>
      <c r="C348" s="12">
        <v>0.20138888888888901</v>
      </c>
      <c r="D348" s="13">
        <f>Weekly!D62</f>
        <v>0</v>
      </c>
      <c r="E348" s="13" t="str">
        <f t="shared" si="84"/>
        <v/>
      </c>
      <c r="F348" s="13" t="str">
        <f t="shared" si="87"/>
        <v/>
      </c>
      <c r="G348" s="13" t="str">
        <f t="shared" si="85"/>
        <v/>
      </c>
      <c r="H348" s="13" t="str">
        <f t="shared" si="86"/>
        <v/>
      </c>
      <c r="I348" s="14" t="str">
        <f t="array" ref="I348">IF(getRGB1(Weekly!D62)="FFFF00","초방","재방")</f>
        <v>재방</v>
      </c>
    </row>
    <row r="349" spans="1:9" ht="11.25" customHeight="1" x14ac:dyDescent="0.3">
      <c r="A349" s="10" t="str">
        <f t="shared" si="83"/>
        <v/>
      </c>
      <c r="B349" s="11">
        <f>Weekly!$D$3</f>
        <v>45916</v>
      </c>
      <c r="C349" s="12">
        <v>0.20486111111111099</v>
      </c>
      <c r="D349" s="13">
        <f>Weekly!D63</f>
        <v>0</v>
      </c>
      <c r="E349" s="13" t="str">
        <f t="shared" si="84"/>
        <v/>
      </c>
      <c r="F349" s="13" t="str">
        <f t="shared" si="87"/>
        <v/>
      </c>
      <c r="G349" s="13" t="str">
        <f t="shared" si="85"/>
        <v/>
      </c>
      <c r="H349" s="13" t="str">
        <f t="shared" si="86"/>
        <v/>
      </c>
      <c r="I349" s="14" t="str">
        <f t="array" ref="I349">IF(getRGB1(Weekly!D63)="FFFF00","초방","재방")</f>
        <v>재방</v>
      </c>
    </row>
    <row r="350" spans="1:9" ht="11.25" customHeight="1" x14ac:dyDescent="0.3">
      <c r="A350" s="10" t="str">
        <f t="shared" si="83"/>
        <v/>
      </c>
      <c r="B350" s="11">
        <f>Weekly!$D$3</f>
        <v>45916</v>
      </c>
      <c r="C350" s="12">
        <v>0.20833333333333301</v>
      </c>
      <c r="D350" s="13">
        <f>Weekly!D64</f>
        <v>0</v>
      </c>
      <c r="E350" s="13" t="str">
        <f t="shared" si="84"/>
        <v/>
      </c>
      <c r="F350" s="13" t="str">
        <f t="shared" si="87"/>
        <v/>
      </c>
      <c r="G350" s="13" t="str">
        <f t="shared" si="85"/>
        <v/>
      </c>
      <c r="H350" s="13" t="str">
        <f t="shared" si="86"/>
        <v/>
      </c>
      <c r="I350" s="14" t="str">
        <f t="array" ref="I350">IF(getRGB1(Weekly!D64)="FFFF00","초방","재방")</f>
        <v>재방</v>
      </c>
    </row>
    <row r="351" spans="1:9" ht="11.25" customHeight="1" x14ac:dyDescent="0.3">
      <c r="A351" s="10" t="str">
        <f t="shared" si="83"/>
        <v/>
      </c>
      <c r="B351" s="11">
        <f>Weekly!$D$3</f>
        <v>45916</v>
      </c>
      <c r="C351" s="12">
        <v>0.211805555555556</v>
      </c>
      <c r="D351" s="13">
        <f>Weekly!D65</f>
        <v>0</v>
      </c>
      <c r="E351" s="13" t="str">
        <f t="shared" si="84"/>
        <v/>
      </c>
      <c r="F351" s="13" t="str">
        <f t="shared" si="87"/>
        <v/>
      </c>
      <c r="G351" s="13" t="str">
        <f t="shared" si="85"/>
        <v/>
      </c>
      <c r="H351" s="13" t="str">
        <f t="shared" si="86"/>
        <v/>
      </c>
      <c r="I351" s="14" t="str">
        <f t="array" ref="I351">IF(getRGB1(Weekly!D65)="FFFF00","초방","재방")</f>
        <v>재방</v>
      </c>
    </row>
    <row r="352" spans="1:9" ht="11.25" customHeight="1" x14ac:dyDescent="0.3">
      <c r="A352" s="10">
        <f t="shared" si="83"/>
        <v>45916.215277777781</v>
      </c>
      <c r="B352" s="11">
        <f>Weekly!$D$3</f>
        <v>45916</v>
      </c>
      <c r="C352" s="12">
        <v>0.21527777777777801</v>
      </c>
      <c r="D352" s="13" t="str">
        <f>Weekly!D66</f>
        <v xml:space="preserve"> 내삶을바꾸는정책
&lt;2190</v>
      </c>
      <c r="E352" s="13" t="str">
        <f t="shared" si="84"/>
        <v>내삶을바꾸는정책</v>
      </c>
      <c r="F352" s="13">
        <f t="shared" si="87"/>
        <v>2190</v>
      </c>
      <c r="G352" s="13" t="str">
        <f t="shared" si="85"/>
        <v/>
      </c>
      <c r="H352" s="13" t="str">
        <f t="shared" si="86"/>
        <v/>
      </c>
      <c r="I352" s="14" t="str">
        <f t="array" ref="I352">IF(getRGB1(Weekly!D66)="FFFF00","초방","재방")</f>
        <v>초방</v>
      </c>
    </row>
    <row r="353" spans="1:9" ht="11.25" customHeight="1" x14ac:dyDescent="0.3">
      <c r="A353" s="10" t="str">
        <f t="shared" si="83"/>
        <v/>
      </c>
      <c r="B353" s="11">
        <f>Weekly!$D$3</f>
        <v>45916</v>
      </c>
      <c r="C353" s="12">
        <v>0.21875</v>
      </c>
      <c r="D353" s="13">
        <f>Weekly!D67</f>
        <v>0</v>
      </c>
      <c r="E353" s="13" t="str">
        <f t="shared" si="84"/>
        <v/>
      </c>
      <c r="F353" s="13" t="str">
        <f t="shared" si="87"/>
        <v/>
      </c>
      <c r="G353" s="13" t="str">
        <f t="shared" si="85"/>
        <v/>
      </c>
      <c r="H353" s="13" t="str">
        <f t="shared" si="86"/>
        <v/>
      </c>
      <c r="I353" s="14" t="str">
        <f t="array" ref="I353">IF(getRGB1(Weekly!D67)="FFFF00","초방","재방")</f>
        <v>초방</v>
      </c>
    </row>
    <row r="354" spans="1:9" ht="11.25" customHeight="1" x14ac:dyDescent="0.3">
      <c r="A354" s="10" t="str">
        <f t="shared" si="83"/>
        <v/>
      </c>
      <c r="B354" s="11">
        <f>Weekly!$D$3</f>
        <v>45916</v>
      </c>
      <c r="C354" s="12">
        <v>0.22222222222222199</v>
      </c>
      <c r="D354" s="13">
        <f>Weekly!D68</f>
        <v>0</v>
      </c>
      <c r="E354" s="13" t="str">
        <f t="shared" si="84"/>
        <v/>
      </c>
      <c r="F354" s="13" t="str">
        <f t="shared" si="87"/>
        <v/>
      </c>
      <c r="G354" s="13" t="str">
        <f t="shared" si="85"/>
        <v/>
      </c>
      <c r="H354" s="13" t="str">
        <f t="shared" si="86"/>
        <v/>
      </c>
      <c r="I354" s="14" t="str">
        <f t="array" ref="I354">IF(getRGB1(Weekly!D68)="FFFF00","초방","재방")</f>
        <v>초방</v>
      </c>
    </row>
    <row r="355" spans="1:9" ht="11.25" customHeight="1" x14ac:dyDescent="0.3">
      <c r="A355" s="10" t="str">
        <f t="shared" si="83"/>
        <v/>
      </c>
      <c r="B355" s="11">
        <f>Weekly!$D$3</f>
        <v>45916</v>
      </c>
      <c r="C355" s="12">
        <v>0.225694444444444</v>
      </c>
      <c r="D355" s="13">
        <f>Weekly!D69</f>
        <v>0</v>
      </c>
      <c r="E355" s="13" t="str">
        <f t="shared" si="84"/>
        <v/>
      </c>
      <c r="F355" s="13" t="str">
        <f t="shared" si="87"/>
        <v/>
      </c>
      <c r="G355" s="13" t="str">
        <f t="shared" si="85"/>
        <v/>
      </c>
      <c r="H355" s="13" t="str">
        <f t="shared" si="86"/>
        <v/>
      </c>
      <c r="I355" s="14" t="str">
        <f t="array" ref="I355">IF(getRGB1(Weekly!D69)="FFFF00","초방","재방")</f>
        <v>초방</v>
      </c>
    </row>
    <row r="356" spans="1:9" ht="11.25" customHeight="1" x14ac:dyDescent="0.3">
      <c r="A356" s="10" t="str">
        <f t="shared" si="83"/>
        <v/>
      </c>
      <c r="B356" s="11">
        <f>Weekly!$D$3</f>
        <v>45916</v>
      </c>
      <c r="C356" s="12">
        <v>0.22916666666666699</v>
      </c>
      <c r="D356" s="13">
        <f>Weekly!D70</f>
        <v>0</v>
      </c>
      <c r="E356" s="13" t="str">
        <f t="shared" si="84"/>
        <v/>
      </c>
      <c r="F356" s="13" t="str">
        <f t="shared" si="87"/>
        <v/>
      </c>
      <c r="G356" s="13" t="str">
        <f t="shared" si="85"/>
        <v/>
      </c>
      <c r="H356" s="13" t="str">
        <f t="shared" si="86"/>
        <v/>
      </c>
      <c r="I356" s="14" t="str">
        <f t="array" ref="I356">IF(getRGB1(Weekly!D70)="FFFF00","초방","재방")</f>
        <v>초방</v>
      </c>
    </row>
    <row r="357" spans="1:9" ht="11.25" customHeight="1" x14ac:dyDescent="0.3">
      <c r="A357" s="10" t="str">
        <f t="shared" si="83"/>
        <v/>
      </c>
      <c r="B357" s="11">
        <f>Weekly!$D$3</f>
        <v>45916</v>
      </c>
      <c r="C357" s="12">
        <v>0.23263888888888901</v>
      </c>
      <c r="D357" s="13">
        <f>Weekly!D71</f>
        <v>0</v>
      </c>
      <c r="E357" s="13" t="str">
        <f t="shared" si="84"/>
        <v/>
      </c>
      <c r="F357" s="13" t="str">
        <f t="shared" si="87"/>
        <v/>
      </c>
      <c r="G357" s="13" t="str">
        <f t="shared" si="85"/>
        <v/>
      </c>
      <c r="H357" s="13" t="str">
        <f t="shared" si="86"/>
        <v/>
      </c>
      <c r="I357" s="14" t="str">
        <f t="array" ref="I357">IF(getRGB1(Weekly!D71)="FFFF00","초방","재방")</f>
        <v>초방</v>
      </c>
    </row>
    <row r="358" spans="1:9" ht="11.25" customHeight="1" x14ac:dyDescent="0.3">
      <c r="A358" s="10" t="str">
        <f t="shared" si="83"/>
        <v/>
      </c>
      <c r="B358" s="11">
        <f>Weekly!$D$3</f>
        <v>45916</v>
      </c>
      <c r="C358" s="12">
        <v>0.23611111111111099</v>
      </c>
      <c r="D358" s="13">
        <f>Weekly!D72</f>
        <v>0</v>
      </c>
      <c r="E358" s="13" t="str">
        <f t="shared" si="84"/>
        <v/>
      </c>
      <c r="F358" s="13" t="str">
        <f t="shared" si="87"/>
        <v/>
      </c>
      <c r="G358" s="13" t="str">
        <f t="shared" si="85"/>
        <v/>
      </c>
      <c r="H358" s="13" t="str">
        <f t="shared" si="86"/>
        <v/>
      </c>
      <c r="I358" s="14" t="str">
        <f t="array" ref="I358">IF(getRGB1(Weekly!D72)="FFFF00","초방","재방")</f>
        <v>초방</v>
      </c>
    </row>
    <row r="359" spans="1:9" ht="11.25" customHeight="1" x14ac:dyDescent="0.3">
      <c r="A359" s="10" t="str">
        <f t="shared" si="83"/>
        <v/>
      </c>
      <c r="B359" s="11">
        <f>Weekly!$D$3</f>
        <v>45916</v>
      </c>
      <c r="C359" s="12">
        <v>0.23958333333333301</v>
      </c>
      <c r="D359" s="13">
        <f>Weekly!D73</f>
        <v>0</v>
      </c>
      <c r="E359" s="13" t="str">
        <f t="shared" si="84"/>
        <v/>
      </c>
      <c r="F359" s="13" t="str">
        <f t="shared" si="87"/>
        <v/>
      </c>
      <c r="G359" s="13" t="str">
        <f t="shared" si="85"/>
        <v/>
      </c>
      <c r="H359" s="13" t="str">
        <f t="shared" si="86"/>
        <v/>
      </c>
      <c r="I359" s="14" t="str">
        <f t="array" ref="I359">IF(getRGB1(Weekly!D73)="FFFF00","초방","재방")</f>
        <v>초방</v>
      </c>
    </row>
    <row r="360" spans="1:9" ht="11.25" customHeight="1" x14ac:dyDescent="0.3">
      <c r="A360" s="10" t="str">
        <f t="shared" si="83"/>
        <v/>
      </c>
      <c r="B360" s="11">
        <f>Weekly!$D$3</f>
        <v>45916</v>
      </c>
      <c r="C360" s="12">
        <v>0.243055555555556</v>
      </c>
      <c r="D360" s="13">
        <f>Weekly!D74</f>
        <v>0</v>
      </c>
      <c r="E360" s="13" t="str">
        <f t="shared" si="84"/>
        <v/>
      </c>
      <c r="F360" s="13" t="str">
        <f t="shared" si="87"/>
        <v/>
      </c>
      <c r="G360" s="13" t="str">
        <f t="shared" si="85"/>
        <v/>
      </c>
      <c r="H360" s="13" t="str">
        <f t="shared" si="86"/>
        <v/>
      </c>
      <c r="I360" s="14" t="str">
        <f t="array" ref="I360">IF(getRGB1(Weekly!D74)="FFFF00","초방","재방")</f>
        <v>초방</v>
      </c>
    </row>
    <row r="361" spans="1:9" ht="11.25" customHeight="1" x14ac:dyDescent="0.3">
      <c r="A361" s="10" t="str">
        <f t="shared" si="83"/>
        <v/>
      </c>
      <c r="B361" s="11">
        <f>Weekly!$D$3</f>
        <v>45916</v>
      </c>
      <c r="C361" s="12">
        <v>0.24652777777777801</v>
      </c>
      <c r="D361" s="13">
        <f>Weekly!D75</f>
        <v>0</v>
      </c>
      <c r="E361" s="13" t="str">
        <f t="shared" si="84"/>
        <v/>
      </c>
      <c r="F361" s="13" t="str">
        <f t="shared" si="87"/>
        <v/>
      </c>
      <c r="G361" s="13" t="str">
        <f t="shared" si="85"/>
        <v/>
      </c>
      <c r="H361" s="13" t="str">
        <f t="shared" si="86"/>
        <v/>
      </c>
      <c r="I361" s="14" t="str">
        <f t="array" ref="I361">IF(getRGB1(Weekly!D75)="FFFF00","초방","재방")</f>
        <v>초방</v>
      </c>
    </row>
    <row r="362" spans="1:9" ht="11.25" customHeight="1" x14ac:dyDescent="0.3">
      <c r="A362" s="10" t="str">
        <f t="shared" si="83"/>
        <v/>
      </c>
      <c r="B362" s="11">
        <f>Weekly!$D$3</f>
        <v>45916</v>
      </c>
      <c r="C362" s="12">
        <v>0.25</v>
      </c>
      <c r="D362" s="13">
        <f>Weekly!D76</f>
        <v>0</v>
      </c>
      <c r="E362" s="13" t="str">
        <f t="shared" si="84"/>
        <v/>
      </c>
      <c r="F362" s="13" t="str">
        <f t="shared" si="87"/>
        <v/>
      </c>
      <c r="G362" s="13" t="str">
        <f t="shared" si="85"/>
        <v/>
      </c>
      <c r="H362" s="13" t="str">
        <f t="shared" si="86"/>
        <v/>
      </c>
      <c r="I362" s="14" t="str">
        <f t="array" ref="I362">IF(getRGB1(Weekly!D76)="FFFF00","초방","재방")</f>
        <v>초방</v>
      </c>
    </row>
    <row r="363" spans="1:9" ht="11.25" customHeight="1" x14ac:dyDescent="0.3">
      <c r="A363" s="10" t="str">
        <f t="shared" si="83"/>
        <v/>
      </c>
      <c r="B363" s="11">
        <f>Weekly!$D$3</f>
        <v>45916</v>
      </c>
      <c r="C363" s="12">
        <v>0.25347222222222199</v>
      </c>
      <c r="D363" s="13">
        <f>Weekly!D77</f>
        <v>0</v>
      </c>
      <c r="E363" s="13" t="str">
        <f t="shared" si="84"/>
        <v/>
      </c>
      <c r="F363" s="13" t="str">
        <f t="shared" si="87"/>
        <v/>
      </c>
      <c r="G363" s="13" t="str">
        <f t="shared" si="85"/>
        <v/>
      </c>
      <c r="H363" s="13" t="str">
        <f t="shared" si="86"/>
        <v/>
      </c>
      <c r="I363" s="14" t="str">
        <f t="array" ref="I363">IF(getRGB1(Weekly!D77)="FFFF00","초방","재방")</f>
        <v>초방</v>
      </c>
    </row>
    <row r="364" spans="1:9" ht="11.25" customHeight="1" x14ac:dyDescent="0.3">
      <c r="A364" s="10">
        <f t="shared" si="83"/>
        <v>45916.256944444445</v>
      </c>
      <c r="B364" s="11">
        <f>Weekly!$D$3</f>
        <v>45916</v>
      </c>
      <c r="C364" s="12">
        <v>0.25694444444444398</v>
      </c>
      <c r="D364" s="13" t="str">
        <f>Weekly!D78</f>
        <v>도시락
&lt;59</v>
      </c>
      <c r="E364" s="13" t="str">
        <f t="shared" si="84"/>
        <v>도시락</v>
      </c>
      <c r="F364" s="13">
        <f t="shared" si="87"/>
        <v>59</v>
      </c>
      <c r="G364" s="13" t="str">
        <f t="shared" si="85"/>
        <v/>
      </c>
      <c r="H364" s="13" t="str">
        <f t="shared" si="86"/>
        <v/>
      </c>
      <c r="I364" s="14" t="str">
        <f t="array" ref="I364">IF(getRGB1(Weekly!D78)="FFFF00","초방","재방")</f>
        <v>재방</v>
      </c>
    </row>
    <row r="365" spans="1:9" ht="11.25" customHeight="1" x14ac:dyDescent="0.3">
      <c r="A365" s="10" t="str">
        <f t="shared" si="83"/>
        <v/>
      </c>
      <c r="B365" s="11">
        <f>Weekly!$D$3</f>
        <v>45916</v>
      </c>
      <c r="C365" s="12">
        <v>0.26041666666666702</v>
      </c>
      <c r="D365" s="13">
        <f>Weekly!D79</f>
        <v>0</v>
      </c>
      <c r="E365" s="13" t="str">
        <f t="shared" si="84"/>
        <v/>
      </c>
      <c r="F365" s="13" t="str">
        <f t="shared" si="87"/>
        <v/>
      </c>
      <c r="G365" s="13" t="str">
        <f t="shared" si="85"/>
        <v/>
      </c>
      <c r="H365" s="13" t="str">
        <f t="shared" si="86"/>
        <v/>
      </c>
      <c r="I365" s="14" t="str">
        <f t="array" ref="I365">IF(getRGB1(Weekly!D79)="FFFF00","초방","재방")</f>
        <v>재방</v>
      </c>
    </row>
    <row r="366" spans="1:9" ht="11.25" customHeight="1" x14ac:dyDescent="0.3">
      <c r="A366" s="10" t="str">
        <f t="shared" si="83"/>
        <v/>
      </c>
      <c r="B366" s="11">
        <f>Weekly!$D$3</f>
        <v>45916</v>
      </c>
      <c r="C366" s="12">
        <v>0.26388888888888901</v>
      </c>
      <c r="D366" s="13">
        <f>Weekly!D80</f>
        <v>0</v>
      </c>
      <c r="E366" s="13" t="str">
        <f t="shared" si="84"/>
        <v/>
      </c>
      <c r="F366" s="13" t="str">
        <f t="shared" si="87"/>
        <v/>
      </c>
      <c r="G366" s="13" t="str">
        <f t="shared" si="85"/>
        <v/>
      </c>
      <c r="H366" s="13" t="str">
        <f t="shared" si="86"/>
        <v/>
      </c>
      <c r="I366" s="14" t="str">
        <f t="array" ref="I366">IF(getRGB1(Weekly!D80)="FFFF00","초방","재방")</f>
        <v>재방</v>
      </c>
    </row>
    <row r="367" spans="1:9" ht="11.25" customHeight="1" x14ac:dyDescent="0.3">
      <c r="A367" s="10" t="str">
        <f t="shared" si="83"/>
        <v/>
      </c>
      <c r="B367" s="11">
        <f>Weekly!$D$3</f>
        <v>45916</v>
      </c>
      <c r="C367" s="12">
        <v>0.26736111111111099</v>
      </c>
      <c r="D367" s="13">
        <f>Weekly!D81</f>
        <v>0</v>
      </c>
      <c r="E367" s="13" t="str">
        <f t="shared" si="84"/>
        <v/>
      </c>
      <c r="F367" s="13" t="str">
        <f t="shared" si="87"/>
        <v/>
      </c>
      <c r="G367" s="13" t="str">
        <f t="shared" si="85"/>
        <v/>
      </c>
      <c r="H367" s="13" t="str">
        <f t="shared" si="86"/>
        <v/>
      </c>
      <c r="I367" s="14" t="str">
        <f t="array" ref="I367">IF(getRGB1(Weekly!D81)="FFFF00","초방","재방")</f>
        <v>재방</v>
      </c>
    </row>
    <row r="368" spans="1:9" ht="11.25" customHeight="1" x14ac:dyDescent="0.3">
      <c r="A368" s="10" t="str">
        <f t="shared" si="83"/>
        <v/>
      </c>
      <c r="B368" s="11">
        <f>Weekly!$D$3</f>
        <v>45916</v>
      </c>
      <c r="C368" s="12">
        <v>0.27083333333333298</v>
      </c>
      <c r="D368" s="13">
        <f>Weekly!D82</f>
        <v>0</v>
      </c>
      <c r="E368" s="13" t="str">
        <f t="shared" si="84"/>
        <v/>
      </c>
      <c r="F368" s="13" t="str">
        <f t="shared" si="87"/>
        <v/>
      </c>
      <c r="G368" s="13" t="str">
        <f t="shared" si="85"/>
        <v/>
      </c>
      <c r="H368" s="13" t="str">
        <f t="shared" si="86"/>
        <v/>
      </c>
      <c r="I368" s="14" t="str">
        <f t="array" ref="I368">IF(getRGB1(Weekly!D82)="FFFF00","초방","재방")</f>
        <v>재방</v>
      </c>
    </row>
    <row r="369" spans="1:9" ht="11.25" customHeight="1" x14ac:dyDescent="0.3">
      <c r="A369" s="10" t="str">
        <f t="shared" si="83"/>
        <v/>
      </c>
      <c r="B369" s="11">
        <f>Weekly!$D$3</f>
        <v>45916</v>
      </c>
      <c r="C369" s="12">
        <v>0.27430555555555602</v>
      </c>
      <c r="D369" s="13">
        <f>Weekly!D83</f>
        <v>0</v>
      </c>
      <c r="E369" s="13" t="str">
        <f t="shared" si="84"/>
        <v/>
      </c>
      <c r="F369" s="13" t="str">
        <f t="shared" si="87"/>
        <v/>
      </c>
      <c r="G369" s="13" t="str">
        <f t="shared" si="85"/>
        <v/>
      </c>
      <c r="H369" s="13" t="str">
        <f t="shared" si="86"/>
        <v/>
      </c>
      <c r="I369" s="14" t="str">
        <f t="array" ref="I369">IF(getRGB1(Weekly!D83)="FFFF00","초방","재방")</f>
        <v>재방</v>
      </c>
    </row>
    <row r="370" spans="1:9" ht="11.25" customHeight="1" x14ac:dyDescent="0.3">
      <c r="A370" s="10" t="str">
        <f t="shared" si="83"/>
        <v/>
      </c>
      <c r="B370" s="11">
        <f>Weekly!$D$3</f>
        <v>45916</v>
      </c>
      <c r="C370" s="12">
        <v>0.27777777777777801</v>
      </c>
      <c r="D370" s="13">
        <f>Weekly!D84</f>
        <v>0</v>
      </c>
      <c r="E370" s="13" t="str">
        <f t="shared" si="84"/>
        <v/>
      </c>
      <c r="F370" s="13" t="str">
        <f t="shared" si="87"/>
        <v/>
      </c>
      <c r="G370" s="13" t="str">
        <f t="shared" si="85"/>
        <v/>
      </c>
      <c r="H370" s="13" t="str">
        <f t="shared" si="86"/>
        <v/>
      </c>
      <c r="I370" s="14" t="str">
        <f t="array" ref="I370">IF(getRGB1(Weekly!D84)="FFFF00","초방","재방")</f>
        <v>재방</v>
      </c>
    </row>
    <row r="371" spans="1:9" ht="11.25" customHeight="1" x14ac:dyDescent="0.3">
      <c r="A371" s="10" t="str">
        <f t="shared" si="83"/>
        <v/>
      </c>
      <c r="B371" s="11">
        <f>Weekly!$D$3</f>
        <v>45916</v>
      </c>
      <c r="C371" s="12">
        <v>0.28125</v>
      </c>
      <c r="D371" s="13">
        <f>Weekly!D85</f>
        <v>0</v>
      </c>
      <c r="E371" s="13" t="str">
        <f t="shared" si="84"/>
        <v/>
      </c>
      <c r="F371" s="13" t="str">
        <f t="shared" si="87"/>
        <v/>
      </c>
      <c r="G371" s="13" t="str">
        <f t="shared" si="85"/>
        <v/>
      </c>
      <c r="H371" s="13" t="str">
        <f t="shared" si="86"/>
        <v/>
      </c>
      <c r="I371" s="14" t="str">
        <f t="array" ref="I371">IF(getRGB1(Weekly!D85)="FFFF00","초방","재방")</f>
        <v>재방</v>
      </c>
    </row>
    <row r="372" spans="1:9" ht="11.25" customHeight="1" x14ac:dyDescent="0.3">
      <c r="A372" s="10" t="str">
        <f t="shared" si="83"/>
        <v/>
      </c>
      <c r="B372" s="11">
        <f>Weekly!$D$3</f>
        <v>45916</v>
      </c>
      <c r="C372" s="12">
        <v>0.28472222222222199</v>
      </c>
      <c r="D372" s="13">
        <f>Weekly!D86</f>
        <v>0</v>
      </c>
      <c r="E372" s="13" t="str">
        <f t="shared" si="84"/>
        <v/>
      </c>
      <c r="F372" s="13" t="str">
        <f t="shared" si="87"/>
        <v/>
      </c>
      <c r="G372" s="13" t="str">
        <f t="shared" si="85"/>
        <v/>
      </c>
      <c r="H372" s="13" t="str">
        <f t="shared" si="86"/>
        <v/>
      </c>
      <c r="I372" s="14" t="str">
        <f t="array" ref="I372">IF(getRGB1(Weekly!D86)="FFFF00","초방","재방")</f>
        <v>재방</v>
      </c>
    </row>
    <row r="373" spans="1:9" ht="11.25" customHeight="1" x14ac:dyDescent="0.3">
      <c r="A373" s="10" t="str">
        <f t="shared" si="83"/>
        <v/>
      </c>
      <c r="B373" s="11">
        <f>Weekly!$D$3</f>
        <v>45916</v>
      </c>
      <c r="C373" s="12">
        <v>0.28819444444444398</v>
      </c>
      <c r="D373" s="13">
        <f>Weekly!D87</f>
        <v>0</v>
      </c>
      <c r="E373" s="13" t="str">
        <f t="shared" si="84"/>
        <v/>
      </c>
      <c r="F373" s="13" t="str">
        <f t="shared" si="87"/>
        <v/>
      </c>
      <c r="G373" s="13" t="str">
        <f t="shared" si="85"/>
        <v/>
      </c>
      <c r="H373" s="13" t="str">
        <f t="shared" si="86"/>
        <v/>
      </c>
      <c r="I373" s="14" t="str">
        <f t="array" ref="I373">IF(getRGB1(Weekly!D87)="FFFF00","초방","재방")</f>
        <v>재방</v>
      </c>
    </row>
    <row r="374" spans="1:9" ht="11.25" customHeight="1" x14ac:dyDescent="0.3">
      <c r="A374" s="10">
        <f t="shared" si="83"/>
        <v>45916.291666666664</v>
      </c>
      <c r="B374" s="11">
        <f>Weekly!$D$3</f>
        <v>45916</v>
      </c>
      <c r="C374" s="12">
        <v>0.29166666666666702</v>
      </c>
      <c r="D374" s="13" t="str">
        <f>Weekly!D88</f>
        <v>최선규의 이제는 지방시대 시즌2
&lt;23</v>
      </c>
      <c r="E374" s="13" t="str">
        <f t="shared" si="84"/>
        <v>최선규의 이제는 지방시대 시즌2</v>
      </c>
      <c r="F374" s="13">
        <f t="shared" si="87"/>
        <v>23</v>
      </c>
      <c r="G374" s="13" t="str">
        <f t="shared" si="85"/>
        <v/>
      </c>
      <c r="H374" s="13" t="str">
        <f t="shared" si="86"/>
        <v/>
      </c>
      <c r="I374" s="14" t="str">
        <f t="array" ref="I374">IF(getRGB1(Weekly!D88)="FFFF00","초방","재방")</f>
        <v>재방</v>
      </c>
    </row>
    <row r="375" spans="1:9" ht="11.25" customHeight="1" x14ac:dyDescent="0.3">
      <c r="A375" s="10" t="str">
        <f t="shared" si="83"/>
        <v/>
      </c>
      <c r="B375" s="11">
        <f>Weekly!$D$3</f>
        <v>45916</v>
      </c>
      <c r="C375" s="12">
        <v>0.29513888888888901</v>
      </c>
      <c r="D375" s="13">
        <f>Weekly!D89</f>
        <v>0</v>
      </c>
      <c r="E375" s="13" t="str">
        <f t="shared" si="84"/>
        <v/>
      </c>
      <c r="F375" s="13" t="str">
        <f t="shared" si="87"/>
        <v/>
      </c>
      <c r="G375" s="13" t="str">
        <f t="shared" si="85"/>
        <v/>
      </c>
      <c r="H375" s="13" t="str">
        <f t="shared" si="86"/>
        <v/>
      </c>
      <c r="I375" s="14" t="str">
        <f t="array" ref="I375">IF(getRGB1(Weekly!D89)="FFFF00","초방","재방")</f>
        <v>재방</v>
      </c>
    </row>
    <row r="376" spans="1:9" ht="11.25" customHeight="1" x14ac:dyDescent="0.3">
      <c r="A376" s="10" t="str">
        <f t="shared" si="83"/>
        <v/>
      </c>
      <c r="B376" s="11">
        <f>Weekly!$D$3</f>
        <v>45916</v>
      </c>
      <c r="C376" s="12">
        <v>0.29861111111111099</v>
      </c>
      <c r="D376" s="13">
        <f>Weekly!D90</f>
        <v>0</v>
      </c>
      <c r="E376" s="13" t="str">
        <f t="shared" si="84"/>
        <v/>
      </c>
      <c r="F376" s="13" t="str">
        <f t="shared" si="87"/>
        <v/>
      </c>
      <c r="G376" s="13" t="str">
        <f t="shared" si="85"/>
        <v/>
      </c>
      <c r="H376" s="13" t="str">
        <f t="shared" si="86"/>
        <v/>
      </c>
      <c r="I376" s="14" t="str">
        <f t="array" ref="I376">IF(getRGB1(Weekly!D90)="FFFF00","초방","재방")</f>
        <v>재방</v>
      </c>
    </row>
    <row r="377" spans="1:9" ht="11.25" customHeight="1" x14ac:dyDescent="0.3">
      <c r="A377" s="10" t="str">
        <f t="shared" si="83"/>
        <v/>
      </c>
      <c r="B377" s="11">
        <f>Weekly!$D$3</f>
        <v>45916</v>
      </c>
      <c r="C377" s="12">
        <v>0.30208333333333298</v>
      </c>
      <c r="D377" s="13">
        <f>Weekly!D91</f>
        <v>0</v>
      </c>
      <c r="E377" s="13" t="str">
        <f t="shared" si="84"/>
        <v/>
      </c>
      <c r="F377" s="13" t="str">
        <f t="shared" si="87"/>
        <v/>
      </c>
      <c r="G377" s="13" t="str">
        <f t="shared" si="85"/>
        <v/>
      </c>
      <c r="H377" s="13" t="str">
        <f t="shared" si="86"/>
        <v/>
      </c>
      <c r="I377" s="14" t="str">
        <f t="array" ref="I377">IF(getRGB1(Weekly!D91)="FFFF00","초방","재방")</f>
        <v>재방</v>
      </c>
    </row>
    <row r="378" spans="1:9" ht="11.25" customHeight="1" x14ac:dyDescent="0.3">
      <c r="A378" s="10" t="str">
        <f t="shared" si="83"/>
        <v/>
      </c>
      <c r="B378" s="11">
        <f>Weekly!$D$3</f>
        <v>45916</v>
      </c>
      <c r="C378" s="12">
        <v>0.30555555555555602</v>
      </c>
      <c r="D378" s="13">
        <f>Weekly!D92</f>
        <v>0</v>
      </c>
      <c r="E378" s="13" t="str">
        <f t="shared" si="84"/>
        <v/>
      </c>
      <c r="F378" s="13" t="str">
        <f t="shared" si="87"/>
        <v/>
      </c>
      <c r="G378" s="13" t="str">
        <f t="shared" si="85"/>
        <v/>
      </c>
      <c r="H378" s="13" t="str">
        <f t="shared" si="86"/>
        <v/>
      </c>
      <c r="I378" s="14" t="str">
        <f t="array" ref="I378">IF(getRGB1(Weekly!D92)="FFFF00","초방","재방")</f>
        <v>재방</v>
      </c>
    </row>
    <row r="379" spans="1:9" ht="11.25" customHeight="1" x14ac:dyDescent="0.3">
      <c r="A379" s="10" t="str">
        <f t="shared" si="83"/>
        <v/>
      </c>
      <c r="B379" s="11">
        <f>Weekly!$D$3</f>
        <v>45916</v>
      </c>
      <c r="C379" s="12">
        <v>0.30902777777777801</v>
      </c>
      <c r="D379" s="13">
        <f>Weekly!D93</f>
        <v>0</v>
      </c>
      <c r="E379" s="13" t="str">
        <f t="shared" si="84"/>
        <v/>
      </c>
      <c r="F379" s="13" t="str">
        <f t="shared" si="87"/>
        <v/>
      </c>
      <c r="G379" s="13" t="str">
        <f t="shared" si="85"/>
        <v/>
      </c>
      <c r="H379" s="13" t="str">
        <f t="shared" si="86"/>
        <v/>
      </c>
      <c r="I379" s="14" t="str">
        <f t="array" ref="I379">IF(getRGB1(Weekly!D93)="FFFF00","초방","재방")</f>
        <v>재방</v>
      </c>
    </row>
    <row r="380" spans="1:9" ht="11.25" customHeight="1" x14ac:dyDescent="0.3">
      <c r="A380" s="10" t="str">
        <f t="shared" si="83"/>
        <v/>
      </c>
      <c r="B380" s="11">
        <f>Weekly!$D$3</f>
        <v>45916</v>
      </c>
      <c r="C380" s="12">
        <v>0.3125</v>
      </c>
      <c r="D380" s="13">
        <f>Weekly!D94</f>
        <v>0</v>
      </c>
      <c r="E380" s="13" t="str">
        <f t="shared" si="84"/>
        <v/>
      </c>
      <c r="F380" s="13" t="str">
        <f t="shared" si="87"/>
        <v/>
      </c>
      <c r="G380" s="13" t="str">
        <f t="shared" si="85"/>
        <v/>
      </c>
      <c r="H380" s="13" t="str">
        <f t="shared" si="86"/>
        <v/>
      </c>
      <c r="I380" s="14" t="str">
        <f t="array" ref="I380">IF(getRGB1(Weekly!D94)="FFFF00","초방","재방")</f>
        <v>재방</v>
      </c>
    </row>
    <row r="381" spans="1:9" ht="11.25" customHeight="1" x14ac:dyDescent="0.3">
      <c r="A381" s="10" t="str">
        <f t="shared" si="83"/>
        <v/>
      </c>
      <c r="B381" s="11">
        <f>Weekly!$D$3</f>
        <v>45916</v>
      </c>
      <c r="C381" s="12">
        <v>0.31597222222222199</v>
      </c>
      <c r="D381" s="13">
        <f>Weekly!D95</f>
        <v>0</v>
      </c>
      <c r="E381" s="13" t="str">
        <f t="shared" si="84"/>
        <v/>
      </c>
      <c r="F381" s="13" t="str">
        <f t="shared" si="87"/>
        <v/>
      </c>
      <c r="G381" s="13" t="str">
        <f t="shared" si="85"/>
        <v/>
      </c>
      <c r="H381" s="13" t="str">
        <f t="shared" si="86"/>
        <v/>
      </c>
      <c r="I381" s="14" t="str">
        <f t="array" ref="I381">IF(getRGB1(Weekly!D95)="FFFF00","초방","재방")</f>
        <v>재방</v>
      </c>
    </row>
    <row r="382" spans="1:9" ht="11.25" customHeight="1" x14ac:dyDescent="0.3">
      <c r="A382" s="10" t="str">
        <f t="shared" si="83"/>
        <v/>
      </c>
      <c r="B382" s="11">
        <f>Weekly!$D$3</f>
        <v>45916</v>
      </c>
      <c r="C382" s="12">
        <v>0.31944444444444398</v>
      </c>
      <c r="D382" s="13">
        <f>Weekly!D96</f>
        <v>0</v>
      </c>
      <c r="E382" s="13" t="str">
        <f t="shared" si="84"/>
        <v/>
      </c>
      <c r="F382" s="13" t="str">
        <f t="shared" si="87"/>
        <v/>
      </c>
      <c r="G382" s="13" t="str">
        <f t="shared" si="85"/>
        <v/>
      </c>
      <c r="H382" s="13" t="str">
        <f t="shared" si="86"/>
        <v/>
      </c>
      <c r="I382" s="14" t="str">
        <f t="array" ref="I382">IF(getRGB1(Weekly!D96)="FFFF00","초방","재방")</f>
        <v>재방</v>
      </c>
    </row>
    <row r="383" spans="1:9" ht="11.25" customHeight="1" x14ac:dyDescent="0.3">
      <c r="A383" s="10" t="str">
        <f t="shared" si="83"/>
        <v/>
      </c>
      <c r="B383" s="11">
        <f>Weekly!$D$3</f>
        <v>45916</v>
      </c>
      <c r="C383" s="12">
        <v>0.32291666666666702</v>
      </c>
      <c r="D383" s="13">
        <f>Weekly!D97</f>
        <v>0</v>
      </c>
      <c r="E383" s="13" t="str">
        <f t="shared" si="84"/>
        <v/>
      </c>
      <c r="F383" s="13" t="str">
        <f t="shared" si="87"/>
        <v/>
      </c>
      <c r="G383" s="13" t="str">
        <f t="shared" si="85"/>
        <v/>
      </c>
      <c r="H383" s="13" t="str">
        <f t="shared" si="86"/>
        <v/>
      </c>
      <c r="I383" s="14" t="str">
        <f t="array" ref="I383">IF(getRGB1(Weekly!D97)="FFFF00","초방","재방")</f>
        <v>재방</v>
      </c>
    </row>
    <row r="384" spans="1:9" ht="11.25" customHeight="1" x14ac:dyDescent="0.3">
      <c r="A384" s="10" t="str">
        <f t="shared" si="83"/>
        <v/>
      </c>
      <c r="B384" s="11">
        <f>Weekly!$D$3</f>
        <v>45916</v>
      </c>
      <c r="C384" s="12">
        <v>0.32638888888888901</v>
      </c>
      <c r="D384" s="13">
        <f>Weekly!D98</f>
        <v>0</v>
      </c>
      <c r="E384" s="13" t="str">
        <f t="shared" si="84"/>
        <v/>
      </c>
      <c r="F384" s="13" t="str">
        <f t="shared" si="87"/>
        <v/>
      </c>
      <c r="G384" s="13" t="str">
        <f t="shared" si="85"/>
        <v/>
      </c>
      <c r="H384" s="13" t="str">
        <f t="shared" si="86"/>
        <v/>
      </c>
      <c r="I384" s="14" t="str">
        <f t="array" ref="I384">IF(getRGB1(Weekly!D98)="FFFF00","초방","재방")</f>
        <v>재방</v>
      </c>
    </row>
    <row r="385" spans="1:9" ht="11.25" customHeight="1" x14ac:dyDescent="0.3">
      <c r="A385" s="10" t="str">
        <f t="shared" si="83"/>
        <v/>
      </c>
      <c r="B385" s="11">
        <f>Weekly!$D$3</f>
        <v>45916</v>
      </c>
      <c r="C385" s="12">
        <v>0.32986111111111099</v>
      </c>
      <c r="D385" s="13">
        <f>Weekly!D99</f>
        <v>0</v>
      </c>
      <c r="E385" s="13" t="str">
        <f t="shared" si="84"/>
        <v/>
      </c>
      <c r="F385" s="13" t="str">
        <f t="shared" si="87"/>
        <v/>
      </c>
      <c r="G385" s="13" t="str">
        <f t="shared" si="85"/>
        <v/>
      </c>
      <c r="H385" s="13" t="str">
        <f t="shared" si="86"/>
        <v/>
      </c>
      <c r="I385" s="14" t="str">
        <f t="array" ref="I385">IF(getRGB1(Weekly!D99)="FFFF00","초방","재방")</f>
        <v>재방</v>
      </c>
    </row>
    <row r="386" spans="1:9" ht="11.25" customHeight="1" x14ac:dyDescent="0.3">
      <c r="A386" s="10">
        <f t="shared" ref="A386:A449" si="88">IF(D386&lt;&gt;0,B386+C386,"")</f>
        <v>45916.333333333336</v>
      </c>
      <c r="B386" s="11">
        <f>Weekly!$D$3</f>
        <v>45916</v>
      </c>
      <c r="C386" s="12">
        <v>0.33333333333333298</v>
      </c>
      <c r="D386" s="13" t="str">
        <f>Weekly!D100</f>
        <v xml:space="preserve"> NEWSPLUS
&lt;63</v>
      </c>
      <c r="E386" s="13" t="str">
        <f t="shared" ref="E386:E449" si="89">IFERROR(SUBSTITUTE(SUBSTITUTE(TRIM(LEFT(D386,FIND("&lt;",D386)-1)),CHAR(10),""),"⑮ ",""),"")</f>
        <v>NEWSPLUS</v>
      </c>
      <c r="F386" s="13">
        <f t="shared" si="87"/>
        <v>63</v>
      </c>
      <c r="G386" s="13" t="str">
        <f t="shared" ref="G386:G449" si="90">IFERROR(MID(D386,FIND("&gt;",D386)+1,10),"")</f>
        <v/>
      </c>
      <c r="H386" s="13" t="str">
        <f t="shared" ref="H386:H449" si="91">IFERROR(VLOOKUP(LEFT(D386,2),$W$1:$X$6,2,0),"")</f>
        <v/>
      </c>
      <c r="I386" s="14" t="str">
        <f t="array" ref="I386">IF(getRGB1(Weekly!D100)="FFFF00","초방","재방")</f>
        <v>재방</v>
      </c>
    </row>
    <row r="387" spans="1:9" ht="11.25" customHeight="1" x14ac:dyDescent="0.3">
      <c r="A387" s="10" t="str">
        <f t="shared" si="88"/>
        <v/>
      </c>
      <c r="B387" s="11">
        <f>Weekly!$D$3</f>
        <v>45916</v>
      </c>
      <c r="C387" s="12">
        <v>0.33680555555555602</v>
      </c>
      <c r="D387" s="13">
        <f>Weekly!D101</f>
        <v>0</v>
      </c>
      <c r="E387" s="13" t="str">
        <f t="shared" si="89"/>
        <v/>
      </c>
      <c r="F387" s="13" t="str">
        <f t="shared" ref="F387:F450" si="92">IFERROR((MID(D387,FIND("&lt;",D387)+1,4))*1,"")</f>
        <v/>
      </c>
      <c r="G387" s="13" t="str">
        <f t="shared" si="90"/>
        <v/>
      </c>
      <c r="H387" s="13" t="str">
        <f t="shared" si="91"/>
        <v/>
      </c>
      <c r="I387" s="14" t="str">
        <f t="array" ref="I387">IF(getRGB1(Weekly!D101)="FFFF00","초방","재방")</f>
        <v>재방</v>
      </c>
    </row>
    <row r="388" spans="1:9" ht="11.25" customHeight="1" x14ac:dyDescent="0.3">
      <c r="A388" s="10" t="str">
        <f t="shared" si="88"/>
        <v/>
      </c>
      <c r="B388" s="11">
        <f>Weekly!$D$3</f>
        <v>45916</v>
      </c>
      <c r="C388" s="12">
        <v>0.34027777777777801</v>
      </c>
      <c r="D388" s="13">
        <f>Weekly!D102</f>
        <v>0</v>
      </c>
      <c r="E388" s="13" t="str">
        <f t="shared" si="89"/>
        <v/>
      </c>
      <c r="F388" s="13" t="str">
        <f t="shared" si="92"/>
        <v/>
      </c>
      <c r="G388" s="13" t="str">
        <f t="shared" si="90"/>
        <v/>
      </c>
      <c r="H388" s="13" t="str">
        <f t="shared" si="91"/>
        <v/>
      </c>
      <c r="I388" s="14" t="str">
        <f t="array" ref="I388">IF(getRGB1(Weekly!D102)="FFFF00","초방","재방")</f>
        <v>재방</v>
      </c>
    </row>
    <row r="389" spans="1:9" ht="11.25" customHeight="1" x14ac:dyDescent="0.3">
      <c r="A389" s="10" t="str">
        <f t="shared" si="88"/>
        <v/>
      </c>
      <c r="B389" s="11">
        <f>Weekly!$D$3</f>
        <v>45916</v>
      </c>
      <c r="C389" s="12">
        <v>0.34375</v>
      </c>
      <c r="D389" s="13">
        <f>Weekly!D103</f>
        <v>0</v>
      </c>
      <c r="E389" s="13" t="str">
        <f t="shared" si="89"/>
        <v/>
      </c>
      <c r="F389" s="13" t="str">
        <f t="shared" si="92"/>
        <v/>
      </c>
      <c r="G389" s="13" t="str">
        <f t="shared" si="90"/>
        <v/>
      </c>
      <c r="H389" s="13" t="str">
        <f t="shared" si="91"/>
        <v/>
      </c>
      <c r="I389" s="14" t="str">
        <f t="array" ref="I389">IF(getRGB1(Weekly!D103)="FFFF00","초방","재방")</f>
        <v>재방</v>
      </c>
    </row>
    <row r="390" spans="1:9" ht="11.25" customHeight="1" x14ac:dyDescent="0.3">
      <c r="A390" s="10" t="str">
        <f t="shared" si="88"/>
        <v/>
      </c>
      <c r="B390" s="11">
        <f>Weekly!$D$3</f>
        <v>45916</v>
      </c>
      <c r="C390" s="12">
        <v>0.34722222222222199</v>
      </c>
      <c r="D390" s="13">
        <f>Weekly!D104</f>
        <v>0</v>
      </c>
      <c r="E390" s="13" t="str">
        <f t="shared" si="89"/>
        <v/>
      </c>
      <c r="F390" s="13" t="str">
        <f t="shared" si="92"/>
        <v/>
      </c>
      <c r="G390" s="13" t="str">
        <f t="shared" si="90"/>
        <v/>
      </c>
      <c r="H390" s="13" t="str">
        <f t="shared" si="91"/>
        <v/>
      </c>
      <c r="I390" s="14" t="str">
        <f t="array" ref="I390">IF(getRGB1(Weekly!D104)="FFFF00","초방","재방")</f>
        <v>재방</v>
      </c>
    </row>
    <row r="391" spans="1:9" ht="11.25" customHeight="1" x14ac:dyDescent="0.3">
      <c r="A391" s="10" t="str">
        <f t="shared" si="88"/>
        <v/>
      </c>
      <c r="B391" s="11">
        <f>Weekly!$D$3</f>
        <v>45916</v>
      </c>
      <c r="C391" s="12">
        <v>0.35069444444444398</v>
      </c>
      <c r="D391" s="13">
        <f>Weekly!D105</f>
        <v>0</v>
      </c>
      <c r="E391" s="13" t="str">
        <f t="shared" si="89"/>
        <v/>
      </c>
      <c r="F391" s="13" t="str">
        <f t="shared" si="92"/>
        <v/>
      </c>
      <c r="G391" s="13" t="str">
        <f t="shared" si="90"/>
        <v/>
      </c>
      <c r="H391" s="13" t="str">
        <f t="shared" si="91"/>
        <v/>
      </c>
      <c r="I391" s="14" t="str">
        <f t="array" ref="I391">IF(getRGB1(Weekly!D105)="FFFF00","초방","재방")</f>
        <v>재방</v>
      </c>
    </row>
    <row r="392" spans="1:9" ht="11.25" customHeight="1" x14ac:dyDescent="0.3">
      <c r="A392" s="10">
        <f t="shared" si="88"/>
        <v>45916.354166666664</v>
      </c>
      <c r="B392" s="11">
        <f>Weekly!$D$3</f>
        <v>45916</v>
      </c>
      <c r="C392" s="12">
        <v>0.35416666666666702</v>
      </c>
      <c r="D392" s="13" t="str">
        <f>Weekly!D106</f>
        <v>남도스럽게
&lt;04</v>
      </c>
      <c r="E392" s="13" t="str">
        <f t="shared" si="89"/>
        <v>남도스럽게</v>
      </c>
      <c r="F392" s="13">
        <f t="shared" si="92"/>
        <v>4</v>
      </c>
      <c r="G392" s="13" t="str">
        <f t="shared" si="90"/>
        <v/>
      </c>
      <c r="H392" s="13" t="str">
        <f t="shared" si="91"/>
        <v/>
      </c>
      <c r="I392" s="14" t="str">
        <f t="array" ref="I392">IF(getRGB1(Weekly!D106)="FFFF00","초방","재방")</f>
        <v>재방</v>
      </c>
    </row>
    <row r="393" spans="1:9" ht="11.25" customHeight="1" x14ac:dyDescent="0.3">
      <c r="A393" s="10" t="str">
        <f t="shared" si="88"/>
        <v/>
      </c>
      <c r="B393" s="11">
        <f>Weekly!$D$3</f>
        <v>45916</v>
      </c>
      <c r="C393" s="12">
        <v>0.35763888888888901</v>
      </c>
      <c r="D393" s="13">
        <f>Weekly!D107</f>
        <v>0</v>
      </c>
      <c r="E393" s="13" t="str">
        <f t="shared" si="89"/>
        <v/>
      </c>
      <c r="F393" s="13" t="str">
        <f t="shared" si="92"/>
        <v/>
      </c>
      <c r="G393" s="13" t="str">
        <f t="shared" si="90"/>
        <v/>
      </c>
      <c r="H393" s="13" t="str">
        <f t="shared" si="91"/>
        <v/>
      </c>
      <c r="I393" s="14" t="str">
        <f t="array" ref="I393">IF(getRGB1(Weekly!D107)="FFFF00","초방","재방")</f>
        <v>재방</v>
      </c>
    </row>
    <row r="394" spans="1:9" ht="11.25" customHeight="1" x14ac:dyDescent="0.3">
      <c r="A394" s="10" t="str">
        <f t="shared" si="88"/>
        <v/>
      </c>
      <c r="B394" s="11">
        <f>Weekly!$D$3</f>
        <v>45916</v>
      </c>
      <c r="C394" s="12">
        <v>0.36111111111111099</v>
      </c>
      <c r="D394" s="13">
        <f>Weekly!D108</f>
        <v>0</v>
      </c>
      <c r="E394" s="13" t="str">
        <f t="shared" si="89"/>
        <v/>
      </c>
      <c r="F394" s="13" t="str">
        <f t="shared" si="92"/>
        <v/>
      </c>
      <c r="G394" s="13" t="str">
        <f t="shared" si="90"/>
        <v/>
      </c>
      <c r="H394" s="13" t="str">
        <f t="shared" si="91"/>
        <v/>
      </c>
      <c r="I394" s="14" t="str">
        <f t="array" ref="I394">IF(getRGB1(Weekly!D108)="FFFF00","초방","재방")</f>
        <v>재방</v>
      </c>
    </row>
    <row r="395" spans="1:9" ht="11.25" customHeight="1" x14ac:dyDescent="0.3">
      <c r="A395" s="10" t="str">
        <f t="shared" si="88"/>
        <v/>
      </c>
      <c r="B395" s="11">
        <f>Weekly!$D$3</f>
        <v>45916</v>
      </c>
      <c r="C395" s="12">
        <v>0.36458333333333298</v>
      </c>
      <c r="D395" s="13">
        <f>Weekly!D109</f>
        <v>0</v>
      </c>
      <c r="E395" s="13" t="str">
        <f t="shared" si="89"/>
        <v/>
      </c>
      <c r="F395" s="13" t="str">
        <f t="shared" si="92"/>
        <v/>
      </c>
      <c r="G395" s="13" t="str">
        <f t="shared" si="90"/>
        <v/>
      </c>
      <c r="H395" s="13" t="str">
        <f t="shared" si="91"/>
        <v/>
      </c>
      <c r="I395" s="14" t="str">
        <f t="array" ref="I395">IF(getRGB1(Weekly!D109)="FFFF00","초방","재방")</f>
        <v>재방</v>
      </c>
    </row>
    <row r="396" spans="1:9" ht="11.25" customHeight="1" x14ac:dyDescent="0.3">
      <c r="A396" s="10" t="str">
        <f t="shared" si="88"/>
        <v/>
      </c>
      <c r="B396" s="11">
        <f>Weekly!$D$3</f>
        <v>45916</v>
      </c>
      <c r="C396" s="12">
        <v>0.36805555555555602</v>
      </c>
      <c r="D396" s="13">
        <f>Weekly!D110</f>
        <v>0</v>
      </c>
      <c r="E396" s="13" t="str">
        <f t="shared" si="89"/>
        <v/>
      </c>
      <c r="F396" s="13" t="str">
        <f t="shared" si="92"/>
        <v/>
      </c>
      <c r="G396" s="13" t="str">
        <f t="shared" si="90"/>
        <v/>
      </c>
      <c r="H396" s="13" t="str">
        <f t="shared" si="91"/>
        <v/>
      </c>
      <c r="I396" s="14" t="str">
        <f t="array" ref="I396">IF(getRGB1(Weekly!D110)="FFFF00","초방","재방")</f>
        <v>재방</v>
      </c>
    </row>
    <row r="397" spans="1:9" ht="11.25" customHeight="1" x14ac:dyDescent="0.3">
      <c r="A397" s="10" t="str">
        <f t="shared" si="88"/>
        <v/>
      </c>
      <c r="B397" s="11">
        <f>Weekly!$D$3</f>
        <v>45916</v>
      </c>
      <c r="C397" s="12">
        <v>0.37152777777777801</v>
      </c>
      <c r="D397" s="13">
        <f>Weekly!D111</f>
        <v>0</v>
      </c>
      <c r="E397" s="13" t="str">
        <f t="shared" si="89"/>
        <v/>
      </c>
      <c r="F397" s="13" t="str">
        <f t="shared" si="92"/>
        <v/>
      </c>
      <c r="G397" s="13" t="str">
        <f t="shared" si="90"/>
        <v/>
      </c>
      <c r="H397" s="13" t="str">
        <f t="shared" si="91"/>
        <v/>
      </c>
      <c r="I397" s="14" t="str">
        <f t="array" ref="I397">IF(getRGB1(Weekly!D111)="FFFF00","초방","재방")</f>
        <v>재방</v>
      </c>
    </row>
    <row r="398" spans="1:9" ht="11.25" customHeight="1" x14ac:dyDescent="0.3">
      <c r="A398" s="10" t="str">
        <f t="shared" si="88"/>
        <v/>
      </c>
      <c r="B398" s="11">
        <f>Weekly!$D$3</f>
        <v>45916</v>
      </c>
      <c r="C398" s="12">
        <v>0.375</v>
      </c>
      <c r="D398" s="13">
        <f>Weekly!D112</f>
        <v>0</v>
      </c>
      <c r="E398" s="13" t="str">
        <f t="shared" si="89"/>
        <v/>
      </c>
      <c r="F398" s="13" t="str">
        <f t="shared" si="92"/>
        <v/>
      </c>
      <c r="G398" s="13" t="str">
        <f t="shared" si="90"/>
        <v/>
      </c>
      <c r="H398" s="13" t="str">
        <f t="shared" si="91"/>
        <v/>
      </c>
      <c r="I398" s="14" t="str">
        <f t="array" ref="I398">IF(getRGB1(Weekly!D112)="FFFF00","초방","재방")</f>
        <v>재방</v>
      </c>
    </row>
    <row r="399" spans="1:9" ht="11.25" customHeight="1" x14ac:dyDescent="0.3">
      <c r="A399" s="10" t="str">
        <f t="shared" si="88"/>
        <v/>
      </c>
      <c r="B399" s="11">
        <f>Weekly!$D$3</f>
        <v>45916</v>
      </c>
      <c r="C399" s="12">
        <v>0.37847222222222199</v>
      </c>
      <c r="D399" s="13">
        <f>Weekly!D113</f>
        <v>0</v>
      </c>
      <c r="E399" s="13" t="str">
        <f t="shared" si="89"/>
        <v/>
      </c>
      <c r="F399" s="13" t="str">
        <f t="shared" si="92"/>
        <v/>
      </c>
      <c r="G399" s="13" t="str">
        <f t="shared" si="90"/>
        <v/>
      </c>
      <c r="H399" s="13" t="str">
        <f t="shared" si="91"/>
        <v/>
      </c>
      <c r="I399" s="14" t="str">
        <f t="array" ref="I399">IF(getRGB1(Weekly!D113)="FFFF00","초방","재방")</f>
        <v>재방</v>
      </c>
    </row>
    <row r="400" spans="1:9" ht="11.25" customHeight="1" x14ac:dyDescent="0.3">
      <c r="A400" s="10" t="str">
        <f t="shared" si="88"/>
        <v/>
      </c>
      <c r="B400" s="11">
        <f>Weekly!$D$3</f>
        <v>45916</v>
      </c>
      <c r="C400" s="12">
        <v>0.38194444444444398</v>
      </c>
      <c r="D400" s="13">
        <f>Weekly!D114</f>
        <v>0</v>
      </c>
      <c r="E400" s="13" t="str">
        <f t="shared" si="89"/>
        <v/>
      </c>
      <c r="F400" s="13" t="str">
        <f t="shared" si="92"/>
        <v/>
      </c>
      <c r="G400" s="13" t="str">
        <f t="shared" si="90"/>
        <v/>
      </c>
      <c r="H400" s="13" t="str">
        <f t="shared" si="91"/>
        <v/>
      </c>
      <c r="I400" s="14" t="str">
        <f t="array" ref="I400">IF(getRGB1(Weekly!D114)="FFFF00","초방","재방")</f>
        <v>재방</v>
      </c>
    </row>
    <row r="401" spans="1:9" ht="11.25" customHeight="1" x14ac:dyDescent="0.3">
      <c r="A401" s="10" t="str">
        <f t="shared" si="88"/>
        <v/>
      </c>
      <c r="B401" s="11">
        <f>Weekly!$D$3</f>
        <v>45916</v>
      </c>
      <c r="C401" s="12">
        <v>0.38541666666666702</v>
      </c>
      <c r="D401" s="13">
        <f>Weekly!D115</f>
        <v>0</v>
      </c>
      <c r="E401" s="13" t="str">
        <f t="shared" si="89"/>
        <v/>
      </c>
      <c r="F401" s="13" t="str">
        <f t="shared" si="92"/>
        <v/>
      </c>
      <c r="G401" s="13" t="str">
        <f t="shared" si="90"/>
        <v/>
      </c>
      <c r="H401" s="13" t="str">
        <f t="shared" si="91"/>
        <v/>
      </c>
      <c r="I401" s="14" t="str">
        <f t="array" ref="I401">IF(getRGB1(Weekly!D115)="FFFF00","초방","재방")</f>
        <v>재방</v>
      </c>
    </row>
    <row r="402" spans="1:9" ht="11.25" customHeight="1" x14ac:dyDescent="0.3">
      <c r="A402" s="10">
        <f t="shared" si="88"/>
        <v>45916.388888888891</v>
      </c>
      <c r="B402" s="11">
        <f>Weekly!$D$3</f>
        <v>45916</v>
      </c>
      <c r="C402" s="12">
        <v>0.38888888888888901</v>
      </c>
      <c r="D402" s="13" t="str">
        <f>Weekly!D116</f>
        <v>눈에 띄는 그녀들 시즌3
&lt;08</v>
      </c>
      <c r="E402" s="13" t="str">
        <f t="shared" si="89"/>
        <v>눈에 띄는 그녀들 시즌3</v>
      </c>
      <c r="F402" s="13">
        <f t="shared" si="92"/>
        <v>8</v>
      </c>
      <c r="G402" s="13" t="str">
        <f t="shared" si="90"/>
        <v/>
      </c>
      <c r="H402" s="13" t="str">
        <f t="shared" si="91"/>
        <v/>
      </c>
      <c r="I402" s="14" t="str">
        <f t="array" ref="I402">IF(getRGB1(Weekly!D116)="FFFF00","초방","재방")</f>
        <v>재방</v>
      </c>
    </row>
    <row r="403" spans="1:9" ht="11.25" customHeight="1" x14ac:dyDescent="0.3">
      <c r="A403" s="10" t="str">
        <f t="shared" si="88"/>
        <v/>
      </c>
      <c r="B403" s="11">
        <f>Weekly!$D$3</f>
        <v>45916</v>
      </c>
      <c r="C403" s="12">
        <v>0.39236111111111099</v>
      </c>
      <c r="D403" s="13">
        <f>Weekly!D117</f>
        <v>0</v>
      </c>
      <c r="E403" s="13" t="str">
        <f t="shared" si="89"/>
        <v/>
      </c>
      <c r="F403" s="13" t="str">
        <f t="shared" si="92"/>
        <v/>
      </c>
      <c r="G403" s="13" t="str">
        <f t="shared" si="90"/>
        <v/>
      </c>
      <c r="H403" s="13" t="str">
        <f t="shared" si="91"/>
        <v/>
      </c>
      <c r="I403" s="14" t="str">
        <f t="array" ref="I403">IF(getRGB1(Weekly!D117)="FFFF00","초방","재방")</f>
        <v>재방</v>
      </c>
    </row>
    <row r="404" spans="1:9" ht="11.25" customHeight="1" x14ac:dyDescent="0.3">
      <c r="A404" s="10" t="str">
        <f t="shared" si="88"/>
        <v/>
      </c>
      <c r="B404" s="11">
        <f>Weekly!$D$3</f>
        <v>45916</v>
      </c>
      <c r="C404" s="12">
        <v>0.39583333333333298</v>
      </c>
      <c r="D404" s="13">
        <f>Weekly!D118</f>
        <v>0</v>
      </c>
      <c r="E404" s="13" t="str">
        <f t="shared" si="89"/>
        <v/>
      </c>
      <c r="F404" s="13" t="str">
        <f t="shared" si="92"/>
        <v/>
      </c>
      <c r="G404" s="13" t="str">
        <f t="shared" si="90"/>
        <v/>
      </c>
      <c r="H404" s="13" t="str">
        <f t="shared" si="91"/>
        <v/>
      </c>
      <c r="I404" s="14" t="str">
        <f t="array" ref="I404">IF(getRGB1(Weekly!D118)="FFFF00","초방","재방")</f>
        <v>재방</v>
      </c>
    </row>
    <row r="405" spans="1:9" ht="11.25" customHeight="1" x14ac:dyDescent="0.3">
      <c r="A405" s="10" t="str">
        <f t="shared" si="88"/>
        <v/>
      </c>
      <c r="B405" s="11">
        <f>Weekly!$D$3</f>
        <v>45916</v>
      </c>
      <c r="C405" s="12">
        <v>0.39930555555555602</v>
      </c>
      <c r="D405" s="13">
        <f>Weekly!D119</f>
        <v>0</v>
      </c>
      <c r="E405" s="13" t="str">
        <f t="shared" si="89"/>
        <v/>
      </c>
      <c r="F405" s="13" t="str">
        <f t="shared" si="92"/>
        <v/>
      </c>
      <c r="G405" s="13" t="str">
        <f t="shared" si="90"/>
        <v/>
      </c>
      <c r="H405" s="13" t="str">
        <f t="shared" si="91"/>
        <v/>
      </c>
      <c r="I405" s="14" t="str">
        <f t="array" ref="I405">IF(getRGB1(Weekly!D119)="FFFF00","초방","재방")</f>
        <v>재방</v>
      </c>
    </row>
    <row r="406" spans="1:9" ht="11.25" customHeight="1" x14ac:dyDescent="0.3">
      <c r="A406" s="10" t="str">
        <f t="shared" si="88"/>
        <v/>
      </c>
      <c r="B406" s="11">
        <f>Weekly!$D$3</f>
        <v>45916</v>
      </c>
      <c r="C406" s="12">
        <v>0.40277777777777801</v>
      </c>
      <c r="D406" s="13">
        <f>Weekly!D120</f>
        <v>0</v>
      </c>
      <c r="E406" s="13" t="str">
        <f t="shared" si="89"/>
        <v/>
      </c>
      <c r="F406" s="13" t="str">
        <f t="shared" si="92"/>
        <v/>
      </c>
      <c r="G406" s="13" t="str">
        <f t="shared" si="90"/>
        <v/>
      </c>
      <c r="H406" s="13" t="str">
        <f t="shared" si="91"/>
        <v/>
      </c>
      <c r="I406" s="14" t="str">
        <f t="array" ref="I406">IF(getRGB1(Weekly!D120)="FFFF00","초방","재방")</f>
        <v>재방</v>
      </c>
    </row>
    <row r="407" spans="1:9" ht="11.25" customHeight="1" x14ac:dyDescent="0.3">
      <c r="A407" s="10" t="str">
        <f t="shared" si="88"/>
        <v/>
      </c>
      <c r="B407" s="11">
        <f>Weekly!$D$3</f>
        <v>45916</v>
      </c>
      <c r="C407" s="12">
        <v>0.40625</v>
      </c>
      <c r="D407" s="13">
        <f>Weekly!D121</f>
        <v>0</v>
      </c>
      <c r="E407" s="13" t="str">
        <f t="shared" si="89"/>
        <v/>
      </c>
      <c r="F407" s="13" t="str">
        <f t="shared" si="92"/>
        <v/>
      </c>
      <c r="G407" s="13" t="str">
        <f t="shared" si="90"/>
        <v/>
      </c>
      <c r="H407" s="13" t="str">
        <f t="shared" si="91"/>
        <v/>
      </c>
      <c r="I407" s="14" t="str">
        <f t="array" ref="I407">IF(getRGB1(Weekly!D121)="FFFF00","초방","재방")</f>
        <v>재방</v>
      </c>
    </row>
    <row r="408" spans="1:9" ht="11.25" customHeight="1" x14ac:dyDescent="0.3">
      <c r="A408" s="10" t="str">
        <f t="shared" si="88"/>
        <v/>
      </c>
      <c r="B408" s="11">
        <f>Weekly!$D$3</f>
        <v>45916</v>
      </c>
      <c r="C408" s="12">
        <v>0.40972222222222199</v>
      </c>
      <c r="D408" s="13">
        <f>Weekly!D122</f>
        <v>0</v>
      </c>
      <c r="E408" s="13" t="str">
        <f t="shared" si="89"/>
        <v/>
      </c>
      <c r="F408" s="13" t="str">
        <f t="shared" si="92"/>
        <v/>
      </c>
      <c r="G408" s="13" t="str">
        <f t="shared" si="90"/>
        <v/>
      </c>
      <c r="H408" s="13" t="str">
        <f t="shared" si="91"/>
        <v/>
      </c>
      <c r="I408" s="14" t="str">
        <f t="array" ref="I408">IF(getRGB1(Weekly!D122)="FFFF00","초방","재방")</f>
        <v>재방</v>
      </c>
    </row>
    <row r="409" spans="1:9" ht="11.25" customHeight="1" x14ac:dyDescent="0.3">
      <c r="A409" s="10" t="str">
        <f t="shared" si="88"/>
        <v/>
      </c>
      <c r="B409" s="11">
        <f>Weekly!$D$3</f>
        <v>45916</v>
      </c>
      <c r="C409" s="12">
        <v>0.41319444444444398</v>
      </c>
      <c r="D409" s="13">
        <f>Weekly!D123</f>
        <v>0</v>
      </c>
      <c r="E409" s="13" t="str">
        <f t="shared" si="89"/>
        <v/>
      </c>
      <c r="F409" s="13" t="str">
        <f t="shared" si="92"/>
        <v/>
      </c>
      <c r="G409" s="13" t="str">
        <f t="shared" si="90"/>
        <v/>
      </c>
      <c r="H409" s="13" t="str">
        <f t="shared" si="91"/>
        <v/>
      </c>
      <c r="I409" s="14" t="str">
        <f t="array" ref="I409">IF(getRGB1(Weekly!D123)="FFFF00","초방","재방")</f>
        <v>재방</v>
      </c>
    </row>
    <row r="410" spans="1:9" ht="11.25" customHeight="1" x14ac:dyDescent="0.3">
      <c r="A410" s="10">
        <f t="shared" si="88"/>
        <v>45916.416666666664</v>
      </c>
      <c r="B410" s="11">
        <f>Weekly!$D$3</f>
        <v>45916</v>
      </c>
      <c r="C410" s="12">
        <v>0.41666666666666702</v>
      </c>
      <c r="D410" s="13" t="str">
        <f>Weekly!D124</f>
        <v>특집 2026 지방선거_서울특별시의회 생생중계_본회의
&lt;16</v>
      </c>
      <c r="E410" s="13" t="str">
        <f t="shared" si="89"/>
        <v>특집 2026 지방선거_서울특별시의회 생생중계_본회의</v>
      </c>
      <c r="F410" s="13">
        <f t="shared" si="92"/>
        <v>16</v>
      </c>
      <c r="G410" s="13" t="str">
        <f t="shared" si="90"/>
        <v/>
      </c>
      <c r="H410" s="13" t="str">
        <f t="shared" si="91"/>
        <v/>
      </c>
      <c r="I410" s="14" t="str">
        <f t="array" ref="I410">IF(getRGB1(Weekly!D124)="FFFF00","초방","재방")</f>
        <v>초방</v>
      </c>
    </row>
    <row r="411" spans="1:9" ht="11.25" customHeight="1" x14ac:dyDescent="0.3">
      <c r="A411" s="10" t="str">
        <f t="shared" si="88"/>
        <v/>
      </c>
      <c r="B411" s="11">
        <f>Weekly!$D$3</f>
        <v>45916</v>
      </c>
      <c r="C411" s="12">
        <v>0.42013888888888901</v>
      </c>
      <c r="D411" s="13">
        <f>Weekly!D125</f>
        <v>0</v>
      </c>
      <c r="E411" s="13" t="str">
        <f t="shared" si="89"/>
        <v/>
      </c>
      <c r="F411" s="13" t="str">
        <f t="shared" si="92"/>
        <v/>
      </c>
      <c r="G411" s="13" t="str">
        <f t="shared" si="90"/>
        <v/>
      </c>
      <c r="H411" s="13" t="str">
        <f t="shared" si="91"/>
        <v/>
      </c>
      <c r="I411" s="14" t="str">
        <f t="array" ref="I411">IF(getRGB1(Weekly!D125)="FFFF00","초방","재방")</f>
        <v>초방</v>
      </c>
    </row>
    <row r="412" spans="1:9" ht="11.25" customHeight="1" x14ac:dyDescent="0.3">
      <c r="A412" s="10" t="str">
        <f t="shared" si="88"/>
        <v/>
      </c>
      <c r="B412" s="11">
        <f>Weekly!$D$3</f>
        <v>45916</v>
      </c>
      <c r="C412" s="12">
        <v>0.42361111111111099</v>
      </c>
      <c r="D412" s="13">
        <f>Weekly!D126</f>
        <v>0</v>
      </c>
      <c r="E412" s="13" t="str">
        <f t="shared" si="89"/>
        <v/>
      </c>
      <c r="F412" s="13" t="str">
        <f t="shared" si="92"/>
        <v/>
      </c>
      <c r="G412" s="13" t="str">
        <f t="shared" si="90"/>
        <v/>
      </c>
      <c r="H412" s="13" t="str">
        <f t="shared" si="91"/>
        <v/>
      </c>
      <c r="I412" s="14" t="str">
        <f t="array" ref="I412">IF(getRGB1(Weekly!D126)="FFFF00","초방","재방")</f>
        <v>초방</v>
      </c>
    </row>
    <row r="413" spans="1:9" ht="11.25" customHeight="1" x14ac:dyDescent="0.3">
      <c r="A413" s="10" t="str">
        <f t="shared" si="88"/>
        <v/>
      </c>
      <c r="B413" s="11">
        <f>Weekly!$D$3</f>
        <v>45916</v>
      </c>
      <c r="C413" s="12">
        <v>0.42708333333333298</v>
      </c>
      <c r="D413" s="13">
        <f>Weekly!D127</f>
        <v>0</v>
      </c>
      <c r="E413" s="13" t="str">
        <f t="shared" si="89"/>
        <v/>
      </c>
      <c r="F413" s="13" t="str">
        <f t="shared" si="92"/>
        <v/>
      </c>
      <c r="G413" s="13" t="str">
        <f t="shared" si="90"/>
        <v/>
      </c>
      <c r="H413" s="13" t="str">
        <f t="shared" si="91"/>
        <v/>
      </c>
      <c r="I413" s="14" t="str">
        <f t="array" ref="I413">IF(getRGB1(Weekly!D127)="FFFF00","초방","재방")</f>
        <v>초방</v>
      </c>
    </row>
    <row r="414" spans="1:9" ht="11.25" customHeight="1" x14ac:dyDescent="0.3">
      <c r="A414" s="10" t="str">
        <f t="shared" si="88"/>
        <v/>
      </c>
      <c r="B414" s="11">
        <f>Weekly!$D$3</f>
        <v>45916</v>
      </c>
      <c r="C414" s="12">
        <v>0.43055555555555602</v>
      </c>
      <c r="D414" s="13">
        <f>Weekly!D128</f>
        <v>0</v>
      </c>
      <c r="E414" s="13" t="str">
        <f t="shared" si="89"/>
        <v/>
      </c>
      <c r="F414" s="13" t="str">
        <f t="shared" si="92"/>
        <v/>
      </c>
      <c r="G414" s="13" t="str">
        <f t="shared" si="90"/>
        <v/>
      </c>
      <c r="H414" s="13" t="str">
        <f t="shared" si="91"/>
        <v/>
      </c>
      <c r="I414" s="14" t="str">
        <f t="array" ref="I414">IF(getRGB1(Weekly!D128)="FFFF00","초방","재방")</f>
        <v>초방</v>
      </c>
    </row>
    <row r="415" spans="1:9" ht="11.25" customHeight="1" x14ac:dyDescent="0.3">
      <c r="A415" s="10" t="str">
        <f t="shared" si="88"/>
        <v/>
      </c>
      <c r="B415" s="11">
        <f>Weekly!$D$3</f>
        <v>45916</v>
      </c>
      <c r="C415" s="12">
        <v>0.43402777777777801</v>
      </c>
      <c r="D415" s="13">
        <f>Weekly!D129</f>
        <v>0</v>
      </c>
      <c r="E415" s="13" t="str">
        <f t="shared" si="89"/>
        <v/>
      </c>
      <c r="F415" s="13" t="str">
        <f t="shared" si="92"/>
        <v/>
      </c>
      <c r="G415" s="13" t="str">
        <f t="shared" si="90"/>
        <v/>
      </c>
      <c r="H415" s="13" t="str">
        <f t="shared" si="91"/>
        <v/>
      </c>
      <c r="I415" s="14" t="str">
        <f t="array" ref="I415">IF(getRGB1(Weekly!D129)="FFFF00","초방","재방")</f>
        <v>초방</v>
      </c>
    </row>
    <row r="416" spans="1:9" ht="11.25" customHeight="1" x14ac:dyDescent="0.3">
      <c r="A416" s="10" t="str">
        <f t="shared" si="88"/>
        <v/>
      </c>
      <c r="B416" s="11">
        <f>Weekly!$D$3</f>
        <v>45916</v>
      </c>
      <c r="C416" s="12">
        <v>0.4375</v>
      </c>
      <c r="D416" s="13">
        <f>Weekly!D130</f>
        <v>0</v>
      </c>
      <c r="E416" s="13" t="str">
        <f t="shared" si="89"/>
        <v/>
      </c>
      <c r="F416" s="13" t="str">
        <f t="shared" si="92"/>
        <v/>
      </c>
      <c r="G416" s="13" t="str">
        <f t="shared" si="90"/>
        <v/>
      </c>
      <c r="H416" s="13" t="str">
        <f t="shared" si="91"/>
        <v/>
      </c>
      <c r="I416" s="14" t="str">
        <f t="array" ref="I416">IF(getRGB1(Weekly!D130)="FFFF00","초방","재방")</f>
        <v>초방</v>
      </c>
    </row>
    <row r="417" spans="1:9" ht="11.25" customHeight="1" x14ac:dyDescent="0.3">
      <c r="A417" s="10" t="str">
        <f t="shared" si="88"/>
        <v/>
      </c>
      <c r="B417" s="11">
        <f>Weekly!$D$3</f>
        <v>45916</v>
      </c>
      <c r="C417" s="12">
        <v>0.44097222222222199</v>
      </c>
      <c r="D417" s="13">
        <f>Weekly!D131</f>
        <v>0</v>
      </c>
      <c r="E417" s="13" t="str">
        <f t="shared" si="89"/>
        <v/>
      </c>
      <c r="F417" s="13" t="str">
        <f t="shared" si="92"/>
        <v/>
      </c>
      <c r="G417" s="13" t="str">
        <f t="shared" si="90"/>
        <v/>
      </c>
      <c r="H417" s="13" t="str">
        <f t="shared" si="91"/>
        <v/>
      </c>
      <c r="I417" s="14" t="str">
        <f t="array" ref="I417">IF(getRGB1(Weekly!D131)="FFFF00","초방","재방")</f>
        <v>초방</v>
      </c>
    </row>
    <row r="418" spans="1:9" ht="11.25" customHeight="1" x14ac:dyDescent="0.3">
      <c r="A418" s="10" t="str">
        <f t="shared" si="88"/>
        <v/>
      </c>
      <c r="B418" s="11">
        <f>Weekly!$D$3</f>
        <v>45916</v>
      </c>
      <c r="C418" s="12">
        <v>0.44444444444444398</v>
      </c>
      <c r="D418" s="13">
        <f>Weekly!D132</f>
        <v>0</v>
      </c>
      <c r="E418" s="13" t="str">
        <f t="shared" si="89"/>
        <v/>
      </c>
      <c r="F418" s="13" t="str">
        <f t="shared" si="92"/>
        <v/>
      </c>
      <c r="G418" s="13" t="str">
        <f t="shared" si="90"/>
        <v/>
      </c>
      <c r="H418" s="13" t="str">
        <f t="shared" si="91"/>
        <v/>
      </c>
      <c r="I418" s="14" t="str">
        <f t="array" ref="I418">IF(getRGB1(Weekly!D132)="FFFF00","초방","재방")</f>
        <v>초방</v>
      </c>
    </row>
    <row r="419" spans="1:9" ht="11.25" customHeight="1" x14ac:dyDescent="0.3">
      <c r="A419" s="10" t="str">
        <f t="shared" si="88"/>
        <v/>
      </c>
      <c r="B419" s="11">
        <f>Weekly!$D$3</f>
        <v>45916</v>
      </c>
      <c r="C419" s="12">
        <v>0.44791666666666702</v>
      </c>
      <c r="D419" s="13">
        <f>Weekly!D133</f>
        <v>0</v>
      </c>
      <c r="E419" s="13" t="str">
        <f t="shared" si="89"/>
        <v/>
      </c>
      <c r="F419" s="13" t="str">
        <f t="shared" si="92"/>
        <v/>
      </c>
      <c r="G419" s="13" t="str">
        <f t="shared" si="90"/>
        <v/>
      </c>
      <c r="H419" s="13" t="str">
        <f t="shared" si="91"/>
        <v/>
      </c>
      <c r="I419" s="14" t="str">
        <f t="array" ref="I419">IF(getRGB1(Weekly!D133)="FFFF00","초방","재방")</f>
        <v>초방</v>
      </c>
    </row>
    <row r="420" spans="1:9" ht="11.25" customHeight="1" x14ac:dyDescent="0.3">
      <c r="A420" s="10" t="str">
        <f t="shared" si="88"/>
        <v/>
      </c>
      <c r="B420" s="11">
        <f>Weekly!$D$3</f>
        <v>45916</v>
      </c>
      <c r="C420" s="12">
        <v>0.45138888888888901</v>
      </c>
      <c r="D420" s="13">
        <f>Weekly!D134</f>
        <v>0</v>
      </c>
      <c r="E420" s="13" t="str">
        <f t="shared" si="89"/>
        <v/>
      </c>
      <c r="F420" s="13" t="str">
        <f t="shared" si="92"/>
        <v/>
      </c>
      <c r="G420" s="13" t="str">
        <f t="shared" si="90"/>
        <v/>
      </c>
      <c r="H420" s="13" t="str">
        <f t="shared" si="91"/>
        <v/>
      </c>
      <c r="I420" s="14" t="str">
        <f t="array" ref="I420">IF(getRGB1(Weekly!D134)="FFFF00","초방","재방")</f>
        <v>초방</v>
      </c>
    </row>
    <row r="421" spans="1:9" ht="11.25" customHeight="1" x14ac:dyDescent="0.3">
      <c r="A421" s="10" t="str">
        <f t="shared" si="88"/>
        <v/>
      </c>
      <c r="B421" s="11">
        <f>Weekly!$D$3</f>
        <v>45916</v>
      </c>
      <c r="C421" s="12">
        <v>0.45486111111111099</v>
      </c>
      <c r="D421" s="13">
        <f>Weekly!D135</f>
        <v>0</v>
      </c>
      <c r="E421" s="13" t="str">
        <f t="shared" si="89"/>
        <v/>
      </c>
      <c r="F421" s="13" t="str">
        <f t="shared" si="92"/>
        <v/>
      </c>
      <c r="G421" s="13" t="str">
        <f t="shared" si="90"/>
        <v/>
      </c>
      <c r="H421" s="13" t="str">
        <f t="shared" si="91"/>
        <v/>
      </c>
      <c r="I421" s="14" t="str">
        <f t="array" ref="I421">IF(getRGB1(Weekly!D135)="FFFF00","초방","재방")</f>
        <v>초방</v>
      </c>
    </row>
    <row r="422" spans="1:9" ht="11.25" customHeight="1" x14ac:dyDescent="0.3">
      <c r="A422" s="10">
        <f t="shared" si="88"/>
        <v>45916.458333333336</v>
      </c>
      <c r="B422" s="11">
        <f>Weekly!$D$3</f>
        <v>45916</v>
      </c>
      <c r="C422" s="12">
        <v>0.45833333333333298</v>
      </c>
      <c r="D422" s="13" t="str">
        <f>Weekly!D136</f>
        <v>특집 2026 지방선거_경기도의회 생생중계_본회의
&lt;15</v>
      </c>
      <c r="E422" s="13" t="str">
        <f t="shared" si="89"/>
        <v>특집 2026 지방선거_경기도의회 생생중계_본회의</v>
      </c>
      <c r="F422" s="13">
        <f t="shared" si="92"/>
        <v>15</v>
      </c>
      <c r="G422" s="13" t="str">
        <f t="shared" si="90"/>
        <v/>
      </c>
      <c r="H422" s="13" t="str">
        <f t="shared" si="91"/>
        <v/>
      </c>
      <c r="I422" s="14" t="str">
        <f t="array" ref="I422">IF(getRGB1(Weekly!D136)="FFFF00","초방","재방")</f>
        <v>초방</v>
      </c>
    </row>
    <row r="423" spans="1:9" ht="11.25" customHeight="1" x14ac:dyDescent="0.3">
      <c r="A423" s="10" t="str">
        <f t="shared" si="88"/>
        <v/>
      </c>
      <c r="B423" s="11">
        <f>Weekly!$D$3</f>
        <v>45916</v>
      </c>
      <c r="C423" s="12">
        <v>0.46180555555555602</v>
      </c>
      <c r="D423" s="13">
        <f>Weekly!D137</f>
        <v>0</v>
      </c>
      <c r="E423" s="13" t="str">
        <f t="shared" si="89"/>
        <v/>
      </c>
      <c r="F423" s="13" t="str">
        <f t="shared" si="92"/>
        <v/>
      </c>
      <c r="G423" s="13" t="str">
        <f t="shared" si="90"/>
        <v/>
      </c>
      <c r="H423" s="13" t="str">
        <f t="shared" si="91"/>
        <v/>
      </c>
      <c r="I423" s="14" t="str">
        <f t="array" ref="I423">IF(getRGB1(Weekly!D137)="FFFF00","초방","재방")</f>
        <v>초방</v>
      </c>
    </row>
    <row r="424" spans="1:9" ht="11.25" customHeight="1" x14ac:dyDescent="0.3">
      <c r="A424" s="10" t="str">
        <f t="shared" si="88"/>
        <v/>
      </c>
      <c r="B424" s="11">
        <f>Weekly!$D$3</f>
        <v>45916</v>
      </c>
      <c r="C424" s="12">
        <v>0.46527777777777801</v>
      </c>
      <c r="D424" s="13">
        <f>Weekly!D138</f>
        <v>0</v>
      </c>
      <c r="E424" s="13" t="str">
        <f t="shared" si="89"/>
        <v/>
      </c>
      <c r="F424" s="13" t="str">
        <f t="shared" si="92"/>
        <v/>
      </c>
      <c r="G424" s="13" t="str">
        <f t="shared" si="90"/>
        <v/>
      </c>
      <c r="H424" s="13" t="str">
        <f t="shared" si="91"/>
        <v/>
      </c>
      <c r="I424" s="14" t="str">
        <f t="array" ref="I424">IF(getRGB1(Weekly!D138)="FFFF00","초방","재방")</f>
        <v>초방</v>
      </c>
    </row>
    <row r="425" spans="1:9" ht="11.25" customHeight="1" x14ac:dyDescent="0.3">
      <c r="A425" s="10" t="str">
        <f t="shared" si="88"/>
        <v/>
      </c>
      <c r="B425" s="11">
        <f>Weekly!$D$3</f>
        <v>45916</v>
      </c>
      <c r="C425" s="12">
        <v>0.46875</v>
      </c>
      <c r="D425" s="13">
        <f>Weekly!D139</f>
        <v>0</v>
      </c>
      <c r="E425" s="13" t="str">
        <f t="shared" si="89"/>
        <v/>
      </c>
      <c r="F425" s="13" t="str">
        <f t="shared" si="92"/>
        <v/>
      </c>
      <c r="G425" s="13" t="str">
        <f t="shared" si="90"/>
        <v/>
      </c>
      <c r="H425" s="13" t="str">
        <f t="shared" si="91"/>
        <v/>
      </c>
      <c r="I425" s="14" t="str">
        <f t="array" ref="I425">IF(getRGB1(Weekly!D139)="FFFF00","초방","재방")</f>
        <v>초방</v>
      </c>
    </row>
    <row r="426" spans="1:9" ht="11.25" customHeight="1" x14ac:dyDescent="0.3">
      <c r="A426" s="10" t="str">
        <f t="shared" si="88"/>
        <v/>
      </c>
      <c r="B426" s="11">
        <f>Weekly!$D$3</f>
        <v>45916</v>
      </c>
      <c r="C426" s="12">
        <v>0.47222222222222199</v>
      </c>
      <c r="D426" s="13">
        <f>Weekly!D140</f>
        <v>0</v>
      </c>
      <c r="E426" s="13" t="str">
        <f t="shared" si="89"/>
        <v/>
      </c>
      <c r="F426" s="13" t="str">
        <f t="shared" si="92"/>
        <v/>
      </c>
      <c r="G426" s="13" t="str">
        <f t="shared" si="90"/>
        <v/>
      </c>
      <c r="H426" s="13" t="str">
        <f t="shared" si="91"/>
        <v/>
      </c>
      <c r="I426" s="14" t="str">
        <f t="array" ref="I426">IF(getRGB1(Weekly!D140)="FFFF00","초방","재방")</f>
        <v>초방</v>
      </c>
    </row>
    <row r="427" spans="1:9" ht="11.25" customHeight="1" x14ac:dyDescent="0.3">
      <c r="A427" s="10" t="str">
        <f t="shared" si="88"/>
        <v/>
      </c>
      <c r="B427" s="11">
        <f>Weekly!$D$3</f>
        <v>45916</v>
      </c>
      <c r="C427" s="12">
        <v>0.47569444444444398</v>
      </c>
      <c r="D427" s="13">
        <f>Weekly!D141</f>
        <v>0</v>
      </c>
      <c r="E427" s="13" t="str">
        <f t="shared" si="89"/>
        <v/>
      </c>
      <c r="F427" s="13" t="str">
        <f t="shared" si="92"/>
        <v/>
      </c>
      <c r="G427" s="13" t="str">
        <f t="shared" si="90"/>
        <v/>
      </c>
      <c r="H427" s="13" t="str">
        <f t="shared" si="91"/>
        <v/>
      </c>
      <c r="I427" s="14" t="str">
        <f t="array" ref="I427">IF(getRGB1(Weekly!D141)="FFFF00","초방","재방")</f>
        <v>초방</v>
      </c>
    </row>
    <row r="428" spans="1:9" ht="11.25" customHeight="1" x14ac:dyDescent="0.3">
      <c r="A428" s="10" t="str">
        <f t="shared" si="88"/>
        <v/>
      </c>
      <c r="B428" s="11">
        <f>Weekly!$D$3</f>
        <v>45916</v>
      </c>
      <c r="C428" s="12">
        <v>0.47916666666666702</v>
      </c>
      <c r="D428" s="13">
        <f>Weekly!D142</f>
        <v>0</v>
      </c>
      <c r="E428" s="13" t="str">
        <f t="shared" si="89"/>
        <v/>
      </c>
      <c r="F428" s="13" t="str">
        <f t="shared" si="92"/>
        <v/>
      </c>
      <c r="G428" s="13" t="str">
        <f t="shared" si="90"/>
        <v/>
      </c>
      <c r="H428" s="13" t="str">
        <f t="shared" si="91"/>
        <v/>
      </c>
      <c r="I428" s="14" t="str">
        <f t="array" ref="I428">IF(getRGB1(Weekly!D142)="FFFF00","초방","재방")</f>
        <v>초방</v>
      </c>
    </row>
    <row r="429" spans="1:9" ht="11.25" customHeight="1" x14ac:dyDescent="0.3">
      <c r="A429" s="10" t="str">
        <f t="shared" si="88"/>
        <v/>
      </c>
      <c r="B429" s="11">
        <f>Weekly!$D$3</f>
        <v>45916</v>
      </c>
      <c r="C429" s="12">
        <v>0.48263888888888901</v>
      </c>
      <c r="D429" s="13">
        <f>Weekly!D143</f>
        <v>0</v>
      </c>
      <c r="E429" s="13" t="str">
        <f t="shared" si="89"/>
        <v/>
      </c>
      <c r="F429" s="13" t="str">
        <f t="shared" si="92"/>
        <v/>
      </c>
      <c r="G429" s="13" t="str">
        <f t="shared" si="90"/>
        <v/>
      </c>
      <c r="H429" s="13" t="str">
        <f t="shared" si="91"/>
        <v/>
      </c>
      <c r="I429" s="14" t="str">
        <f t="array" ref="I429">IF(getRGB1(Weekly!D143)="FFFF00","초방","재방")</f>
        <v>초방</v>
      </c>
    </row>
    <row r="430" spans="1:9" ht="11.25" customHeight="1" x14ac:dyDescent="0.3">
      <c r="A430" s="10" t="str">
        <f t="shared" si="88"/>
        <v/>
      </c>
      <c r="B430" s="11">
        <f>Weekly!$D$3</f>
        <v>45916</v>
      </c>
      <c r="C430" s="12">
        <v>0.48611111111111099</v>
      </c>
      <c r="D430" s="13">
        <f>Weekly!D144</f>
        <v>0</v>
      </c>
      <c r="E430" s="13" t="str">
        <f t="shared" si="89"/>
        <v/>
      </c>
      <c r="F430" s="13" t="str">
        <f t="shared" si="92"/>
        <v/>
      </c>
      <c r="G430" s="13" t="str">
        <f t="shared" si="90"/>
        <v/>
      </c>
      <c r="H430" s="13" t="str">
        <f t="shared" si="91"/>
        <v/>
      </c>
      <c r="I430" s="14" t="str">
        <f t="array" ref="I430">IF(getRGB1(Weekly!D144)="FFFF00","초방","재방")</f>
        <v>초방</v>
      </c>
    </row>
    <row r="431" spans="1:9" ht="11.25" customHeight="1" x14ac:dyDescent="0.3">
      <c r="A431" s="10" t="str">
        <f t="shared" si="88"/>
        <v/>
      </c>
      <c r="B431" s="11">
        <f>Weekly!$D$3</f>
        <v>45916</v>
      </c>
      <c r="C431" s="12">
        <v>0.48958333333333298</v>
      </c>
      <c r="D431" s="13">
        <f>Weekly!D145</f>
        <v>0</v>
      </c>
      <c r="E431" s="13" t="str">
        <f t="shared" si="89"/>
        <v/>
      </c>
      <c r="F431" s="13" t="str">
        <f t="shared" si="92"/>
        <v/>
      </c>
      <c r="G431" s="13" t="str">
        <f t="shared" si="90"/>
        <v/>
      </c>
      <c r="H431" s="13" t="str">
        <f t="shared" si="91"/>
        <v/>
      </c>
      <c r="I431" s="14" t="str">
        <f t="array" ref="I431">IF(getRGB1(Weekly!D145)="FFFF00","초방","재방")</f>
        <v>초방</v>
      </c>
    </row>
    <row r="432" spans="1:9" ht="11.25" customHeight="1" x14ac:dyDescent="0.3">
      <c r="A432" s="10" t="str">
        <f t="shared" si="88"/>
        <v/>
      </c>
      <c r="B432" s="11">
        <f>Weekly!$D$3</f>
        <v>45916</v>
      </c>
      <c r="C432" s="12">
        <v>0.49305555555555602</v>
      </c>
      <c r="D432" s="13">
        <f>Weekly!D146</f>
        <v>0</v>
      </c>
      <c r="E432" s="13" t="str">
        <f t="shared" si="89"/>
        <v/>
      </c>
      <c r="F432" s="13" t="str">
        <f t="shared" si="92"/>
        <v/>
      </c>
      <c r="G432" s="13" t="str">
        <f t="shared" si="90"/>
        <v/>
      </c>
      <c r="H432" s="13" t="str">
        <f t="shared" si="91"/>
        <v/>
      </c>
      <c r="I432" s="14" t="str">
        <f t="array" ref="I432">IF(getRGB1(Weekly!D146)="FFFF00","초방","재방")</f>
        <v>초방</v>
      </c>
    </row>
    <row r="433" spans="1:9" ht="11.25" customHeight="1" x14ac:dyDescent="0.3">
      <c r="A433" s="10" t="str">
        <f t="shared" si="88"/>
        <v/>
      </c>
      <c r="B433" s="11">
        <f>Weekly!$D$3</f>
        <v>45916</v>
      </c>
      <c r="C433" s="12">
        <v>0.49652777777777801</v>
      </c>
      <c r="D433" s="13">
        <f>Weekly!D147</f>
        <v>0</v>
      </c>
      <c r="E433" s="13" t="str">
        <f t="shared" si="89"/>
        <v/>
      </c>
      <c r="F433" s="13" t="str">
        <f t="shared" si="92"/>
        <v/>
      </c>
      <c r="G433" s="13" t="str">
        <f t="shared" si="90"/>
        <v/>
      </c>
      <c r="H433" s="13" t="str">
        <f t="shared" si="91"/>
        <v/>
      </c>
      <c r="I433" s="14" t="str">
        <f t="array" ref="I433">IF(getRGB1(Weekly!D147)="FFFF00","초방","재방")</f>
        <v>초방</v>
      </c>
    </row>
    <row r="434" spans="1:9" ht="11.25" customHeight="1" x14ac:dyDescent="0.3">
      <c r="A434" s="10">
        <f t="shared" si="88"/>
        <v>45916.5</v>
      </c>
      <c r="B434" s="11">
        <f>Weekly!$D$3</f>
        <v>45916</v>
      </c>
      <c r="C434" s="12">
        <v>0.5</v>
      </c>
      <c r="D434" s="13" t="str">
        <f>Weekly!D148</f>
        <v>행복무지개
&lt;32</v>
      </c>
      <c r="E434" s="13" t="str">
        <f t="shared" si="89"/>
        <v>행복무지개</v>
      </c>
      <c r="F434" s="13">
        <f t="shared" si="92"/>
        <v>32</v>
      </c>
      <c r="G434" s="13" t="str">
        <f t="shared" si="90"/>
        <v/>
      </c>
      <c r="H434" s="13" t="str">
        <f t="shared" si="91"/>
        <v/>
      </c>
      <c r="I434" s="14" t="str">
        <f t="array" ref="I434">IF(getRGB1(Weekly!D148)="FFFF00","초방","재방")</f>
        <v>재방</v>
      </c>
    </row>
    <row r="435" spans="1:9" ht="11.25" customHeight="1" x14ac:dyDescent="0.3">
      <c r="A435" s="10" t="str">
        <f t="shared" si="88"/>
        <v/>
      </c>
      <c r="B435" s="11">
        <f>Weekly!$D$3</f>
        <v>45916</v>
      </c>
      <c r="C435" s="12">
        <v>0.50347222222222199</v>
      </c>
      <c r="D435" s="13">
        <f>Weekly!D149</f>
        <v>0</v>
      </c>
      <c r="E435" s="13" t="str">
        <f t="shared" si="89"/>
        <v/>
      </c>
      <c r="F435" s="13" t="str">
        <f t="shared" si="92"/>
        <v/>
      </c>
      <c r="G435" s="13" t="str">
        <f t="shared" si="90"/>
        <v/>
      </c>
      <c r="H435" s="13" t="str">
        <f t="shared" si="91"/>
        <v/>
      </c>
      <c r="I435" s="14" t="str">
        <f t="array" ref="I435">IF(getRGB1(Weekly!D149)="FFFF00","초방","재방")</f>
        <v>재방</v>
      </c>
    </row>
    <row r="436" spans="1:9" ht="11.25" customHeight="1" x14ac:dyDescent="0.3">
      <c r="A436" s="10" t="str">
        <f t="shared" si="88"/>
        <v/>
      </c>
      <c r="B436" s="11">
        <f>Weekly!$D$3</f>
        <v>45916</v>
      </c>
      <c r="C436" s="12">
        <v>0.50694444444444398</v>
      </c>
      <c r="D436" s="13">
        <f>Weekly!D150</f>
        <v>0</v>
      </c>
      <c r="E436" s="13" t="str">
        <f t="shared" si="89"/>
        <v/>
      </c>
      <c r="F436" s="13" t="str">
        <f t="shared" si="92"/>
        <v/>
      </c>
      <c r="G436" s="13" t="str">
        <f t="shared" si="90"/>
        <v/>
      </c>
      <c r="H436" s="13" t="str">
        <f t="shared" si="91"/>
        <v/>
      </c>
      <c r="I436" s="14" t="str">
        <f t="array" ref="I436">IF(getRGB1(Weekly!D150)="FFFF00","초방","재방")</f>
        <v>재방</v>
      </c>
    </row>
    <row r="437" spans="1:9" ht="11.25" customHeight="1" x14ac:dyDescent="0.3">
      <c r="A437" s="10" t="str">
        <f t="shared" si="88"/>
        <v/>
      </c>
      <c r="B437" s="11">
        <f>Weekly!$D$3</f>
        <v>45916</v>
      </c>
      <c r="C437" s="12">
        <v>0.51041666666666696</v>
      </c>
      <c r="D437" s="13">
        <f>Weekly!D151</f>
        <v>0</v>
      </c>
      <c r="E437" s="13" t="str">
        <f t="shared" si="89"/>
        <v/>
      </c>
      <c r="F437" s="13" t="str">
        <f t="shared" si="92"/>
        <v/>
      </c>
      <c r="G437" s="13" t="str">
        <f t="shared" si="90"/>
        <v/>
      </c>
      <c r="H437" s="13" t="str">
        <f t="shared" si="91"/>
        <v/>
      </c>
      <c r="I437" s="14" t="str">
        <f t="array" ref="I437">IF(getRGB1(Weekly!D151)="FFFF00","초방","재방")</f>
        <v>재방</v>
      </c>
    </row>
    <row r="438" spans="1:9" ht="11.25" customHeight="1" x14ac:dyDescent="0.3">
      <c r="A438" s="10" t="str">
        <f t="shared" si="88"/>
        <v/>
      </c>
      <c r="B438" s="11">
        <f>Weekly!$D$3</f>
        <v>45916</v>
      </c>
      <c r="C438" s="12">
        <v>0.51388888888888895</v>
      </c>
      <c r="D438" s="13">
        <f>Weekly!D152</f>
        <v>0</v>
      </c>
      <c r="E438" s="13" t="str">
        <f t="shared" si="89"/>
        <v/>
      </c>
      <c r="F438" s="13" t="str">
        <f t="shared" si="92"/>
        <v/>
      </c>
      <c r="G438" s="13" t="str">
        <f t="shared" si="90"/>
        <v/>
      </c>
      <c r="H438" s="13" t="str">
        <f t="shared" si="91"/>
        <v/>
      </c>
      <c r="I438" s="14" t="str">
        <f t="array" ref="I438">IF(getRGB1(Weekly!D152)="FFFF00","초방","재방")</f>
        <v>재방</v>
      </c>
    </row>
    <row r="439" spans="1:9" ht="11.25" customHeight="1" x14ac:dyDescent="0.3">
      <c r="A439" s="10" t="str">
        <f t="shared" si="88"/>
        <v/>
      </c>
      <c r="B439" s="11">
        <f>Weekly!$D$3</f>
        <v>45916</v>
      </c>
      <c r="C439" s="12">
        <v>0.51736111111111105</v>
      </c>
      <c r="D439" s="13">
        <f>Weekly!D153</f>
        <v>0</v>
      </c>
      <c r="E439" s="13" t="str">
        <f t="shared" si="89"/>
        <v/>
      </c>
      <c r="F439" s="13" t="str">
        <f t="shared" si="92"/>
        <v/>
      </c>
      <c r="G439" s="13" t="str">
        <f t="shared" si="90"/>
        <v/>
      </c>
      <c r="H439" s="13" t="str">
        <f t="shared" si="91"/>
        <v/>
      </c>
      <c r="I439" s="14" t="str">
        <f t="array" ref="I439">IF(getRGB1(Weekly!D153)="FFFF00","초방","재방")</f>
        <v>재방</v>
      </c>
    </row>
    <row r="440" spans="1:9" ht="11.25" customHeight="1" x14ac:dyDescent="0.3">
      <c r="A440" s="10" t="str">
        <f t="shared" si="88"/>
        <v/>
      </c>
      <c r="B440" s="11">
        <f>Weekly!$D$3</f>
        <v>45916</v>
      </c>
      <c r="C440" s="12">
        <v>0.52083333333333304</v>
      </c>
      <c r="D440" s="13">
        <f>Weekly!D154</f>
        <v>0</v>
      </c>
      <c r="E440" s="13" t="str">
        <f t="shared" si="89"/>
        <v/>
      </c>
      <c r="F440" s="13" t="str">
        <f t="shared" si="92"/>
        <v/>
      </c>
      <c r="G440" s="13" t="str">
        <f t="shared" si="90"/>
        <v/>
      </c>
      <c r="H440" s="13" t="str">
        <f t="shared" si="91"/>
        <v/>
      </c>
      <c r="I440" s="14" t="str">
        <f t="array" ref="I440">IF(getRGB1(Weekly!D154)="FFFF00","초방","재방")</f>
        <v>재방</v>
      </c>
    </row>
    <row r="441" spans="1:9" ht="11.25" customHeight="1" x14ac:dyDescent="0.3">
      <c r="A441" s="10" t="str">
        <f t="shared" si="88"/>
        <v/>
      </c>
      <c r="B441" s="11">
        <f>Weekly!$D$3</f>
        <v>45916</v>
      </c>
      <c r="C441" s="12">
        <v>0.52430555555555602</v>
      </c>
      <c r="D441" s="13">
        <f>Weekly!D155</f>
        <v>0</v>
      </c>
      <c r="E441" s="13" t="str">
        <f t="shared" si="89"/>
        <v/>
      </c>
      <c r="F441" s="13" t="str">
        <f t="shared" si="92"/>
        <v/>
      </c>
      <c r="G441" s="13" t="str">
        <f t="shared" si="90"/>
        <v/>
      </c>
      <c r="H441" s="13" t="str">
        <f t="shared" si="91"/>
        <v/>
      </c>
      <c r="I441" s="14" t="str">
        <f t="array" ref="I441">IF(getRGB1(Weekly!D155)="FFFF00","초방","재방")</f>
        <v>재방</v>
      </c>
    </row>
    <row r="442" spans="1:9" ht="11.25" customHeight="1" x14ac:dyDescent="0.3">
      <c r="A442" s="10" t="str">
        <f t="shared" si="88"/>
        <v/>
      </c>
      <c r="B442" s="11">
        <f>Weekly!$D$3</f>
        <v>45916</v>
      </c>
      <c r="C442" s="12">
        <v>0.52777777777777801</v>
      </c>
      <c r="D442" s="13">
        <f>Weekly!D156</f>
        <v>0</v>
      </c>
      <c r="E442" s="13" t="str">
        <f t="shared" si="89"/>
        <v/>
      </c>
      <c r="F442" s="13" t="str">
        <f t="shared" si="92"/>
        <v/>
      </c>
      <c r="G442" s="13" t="str">
        <f t="shared" si="90"/>
        <v/>
      </c>
      <c r="H442" s="13" t="str">
        <f t="shared" si="91"/>
        <v/>
      </c>
      <c r="I442" s="14" t="str">
        <f t="array" ref="I442">IF(getRGB1(Weekly!D156)="FFFF00","초방","재방")</f>
        <v>재방</v>
      </c>
    </row>
    <row r="443" spans="1:9" ht="11.25" customHeight="1" x14ac:dyDescent="0.3">
      <c r="A443" s="10" t="str">
        <f t="shared" si="88"/>
        <v/>
      </c>
      <c r="B443" s="11">
        <f>Weekly!$D$3</f>
        <v>45916</v>
      </c>
      <c r="C443" s="12">
        <v>0.53125</v>
      </c>
      <c r="D443" s="13">
        <f>Weekly!D157</f>
        <v>0</v>
      </c>
      <c r="E443" s="13" t="str">
        <f t="shared" si="89"/>
        <v/>
      </c>
      <c r="F443" s="13" t="str">
        <f t="shared" si="92"/>
        <v/>
      </c>
      <c r="G443" s="13" t="str">
        <f t="shared" si="90"/>
        <v/>
      </c>
      <c r="H443" s="13" t="str">
        <f t="shared" si="91"/>
        <v/>
      </c>
      <c r="I443" s="14" t="str">
        <f t="array" ref="I443">IF(getRGB1(Weekly!D157)="FFFF00","초방","재방")</f>
        <v>재방</v>
      </c>
    </row>
    <row r="444" spans="1:9" ht="11.25" customHeight="1" x14ac:dyDescent="0.3">
      <c r="A444" s="10" t="str">
        <f t="shared" si="88"/>
        <v/>
      </c>
      <c r="B444" s="11">
        <f>Weekly!$D$3</f>
        <v>45916</v>
      </c>
      <c r="C444" s="12">
        <v>0.53472222222222199</v>
      </c>
      <c r="D444" s="13">
        <f>Weekly!D158</f>
        <v>0</v>
      </c>
      <c r="E444" s="13" t="str">
        <f t="shared" si="89"/>
        <v/>
      </c>
      <c r="F444" s="13" t="str">
        <f t="shared" si="92"/>
        <v/>
      </c>
      <c r="G444" s="13" t="str">
        <f t="shared" si="90"/>
        <v/>
      </c>
      <c r="H444" s="13" t="str">
        <f t="shared" si="91"/>
        <v/>
      </c>
      <c r="I444" s="14" t="str">
        <f t="array" ref="I444">IF(getRGB1(Weekly!D158)="FFFF00","초방","재방")</f>
        <v>재방</v>
      </c>
    </row>
    <row r="445" spans="1:9" ht="11.25" customHeight="1" x14ac:dyDescent="0.3">
      <c r="A445" s="10" t="str">
        <f t="shared" si="88"/>
        <v/>
      </c>
      <c r="B445" s="11">
        <f>Weekly!$D$3</f>
        <v>45916</v>
      </c>
      <c r="C445" s="12">
        <v>0.53819444444444398</v>
      </c>
      <c r="D445" s="13">
        <f>Weekly!D159</f>
        <v>0</v>
      </c>
      <c r="E445" s="13" t="str">
        <f t="shared" si="89"/>
        <v/>
      </c>
      <c r="F445" s="13" t="str">
        <f t="shared" si="92"/>
        <v/>
      </c>
      <c r="G445" s="13" t="str">
        <f t="shared" si="90"/>
        <v/>
      </c>
      <c r="H445" s="13" t="str">
        <f t="shared" si="91"/>
        <v/>
      </c>
      <c r="I445" s="14" t="str">
        <f t="array" ref="I445">IF(getRGB1(Weekly!D159)="FFFF00","초방","재방")</f>
        <v>재방</v>
      </c>
    </row>
    <row r="446" spans="1:9" ht="11.25" customHeight="1" x14ac:dyDescent="0.3">
      <c r="A446" s="10">
        <f t="shared" si="88"/>
        <v>45916.541666666664</v>
      </c>
      <c r="B446" s="11">
        <f>Weekly!$D$3</f>
        <v>45916</v>
      </c>
      <c r="C446" s="12">
        <v>0.54166666666666696</v>
      </c>
      <c r="D446" s="13" t="str">
        <f>Weekly!D160</f>
        <v xml:space="preserve"> NEWSJ
&lt;66</v>
      </c>
      <c r="E446" s="13" t="str">
        <f t="shared" si="89"/>
        <v>NEWSJ</v>
      </c>
      <c r="F446" s="13">
        <f t="shared" si="92"/>
        <v>66</v>
      </c>
      <c r="G446" s="13" t="str">
        <f t="shared" si="90"/>
        <v/>
      </c>
      <c r="H446" s="13" t="str">
        <f t="shared" si="91"/>
        <v/>
      </c>
      <c r="I446" s="14" t="str">
        <f t="array" ref="I446">IF(getRGB1(Weekly!D160)="FFFF00","초방","재방")</f>
        <v>재방</v>
      </c>
    </row>
    <row r="447" spans="1:9" ht="11.25" customHeight="1" x14ac:dyDescent="0.3">
      <c r="A447" s="10" t="str">
        <f t="shared" si="88"/>
        <v/>
      </c>
      <c r="B447" s="11">
        <f>Weekly!$D$3</f>
        <v>45916</v>
      </c>
      <c r="C447" s="12">
        <v>0.54513888888888895</v>
      </c>
      <c r="D447" s="13">
        <f>Weekly!D161</f>
        <v>0</v>
      </c>
      <c r="E447" s="13" t="str">
        <f t="shared" si="89"/>
        <v/>
      </c>
      <c r="F447" s="13" t="str">
        <f t="shared" si="92"/>
        <v/>
      </c>
      <c r="G447" s="13" t="str">
        <f t="shared" si="90"/>
        <v/>
      </c>
      <c r="H447" s="13" t="str">
        <f t="shared" si="91"/>
        <v/>
      </c>
      <c r="I447" s="14" t="str">
        <f t="array" ref="I447">IF(getRGB1(Weekly!D161)="FFFF00","초방","재방")</f>
        <v>재방</v>
      </c>
    </row>
    <row r="448" spans="1:9" ht="11.25" customHeight="1" x14ac:dyDescent="0.3">
      <c r="A448" s="10" t="str">
        <f t="shared" si="88"/>
        <v/>
      </c>
      <c r="B448" s="11">
        <f>Weekly!$D$3</f>
        <v>45916</v>
      </c>
      <c r="C448" s="12">
        <v>0.54861111111111105</v>
      </c>
      <c r="D448" s="13">
        <f>Weekly!D162</f>
        <v>0</v>
      </c>
      <c r="E448" s="13" t="str">
        <f t="shared" si="89"/>
        <v/>
      </c>
      <c r="F448" s="13" t="str">
        <f t="shared" si="92"/>
        <v/>
      </c>
      <c r="G448" s="13" t="str">
        <f t="shared" si="90"/>
        <v/>
      </c>
      <c r="H448" s="13" t="str">
        <f t="shared" si="91"/>
        <v/>
      </c>
      <c r="I448" s="14" t="str">
        <f t="array" ref="I448">IF(getRGB1(Weekly!D162)="FFFF00","초방","재방")</f>
        <v>재방</v>
      </c>
    </row>
    <row r="449" spans="1:9" ht="11.25" customHeight="1" x14ac:dyDescent="0.3">
      <c r="A449" s="10" t="str">
        <f t="shared" si="88"/>
        <v/>
      </c>
      <c r="B449" s="11">
        <f>Weekly!$D$3</f>
        <v>45916</v>
      </c>
      <c r="C449" s="12">
        <v>0.55208333333333304</v>
      </c>
      <c r="D449" s="13">
        <f>Weekly!D163</f>
        <v>0</v>
      </c>
      <c r="E449" s="13" t="str">
        <f t="shared" si="89"/>
        <v/>
      </c>
      <c r="F449" s="13" t="str">
        <f t="shared" si="92"/>
        <v/>
      </c>
      <c r="G449" s="13" t="str">
        <f t="shared" si="90"/>
        <v/>
      </c>
      <c r="H449" s="13" t="str">
        <f t="shared" si="91"/>
        <v/>
      </c>
      <c r="I449" s="14" t="str">
        <f t="array" ref="I449">IF(getRGB1(Weekly!D163)="FFFF00","초방","재방")</f>
        <v>재방</v>
      </c>
    </row>
    <row r="450" spans="1:9" ht="11.25" customHeight="1" x14ac:dyDescent="0.3">
      <c r="A450" s="10" t="str">
        <f t="shared" ref="A450:A513" si="93">IF(D450&lt;&gt;0,B450+C450,"")</f>
        <v/>
      </c>
      <c r="B450" s="11">
        <f>Weekly!$D$3</f>
        <v>45916</v>
      </c>
      <c r="C450" s="12">
        <v>0.55555555555555602</v>
      </c>
      <c r="D450" s="13">
        <f>Weekly!D164</f>
        <v>0</v>
      </c>
      <c r="E450" s="13" t="str">
        <f t="shared" ref="E450:E513" si="94">IFERROR(SUBSTITUTE(SUBSTITUTE(TRIM(LEFT(D450,FIND("&lt;",D450)-1)),CHAR(10),""),"⑮ ",""),"")</f>
        <v/>
      </c>
      <c r="F450" s="13" t="str">
        <f t="shared" si="92"/>
        <v/>
      </c>
      <c r="G450" s="13" t="str">
        <f t="shared" ref="G450:G513" si="95">IFERROR(MID(D450,FIND("&gt;",D450)+1,10),"")</f>
        <v/>
      </c>
      <c r="H450" s="13" t="str">
        <f t="shared" ref="H450:H513" si="96">IFERROR(VLOOKUP(LEFT(D450,2),$W$1:$X$6,2,0),"")</f>
        <v/>
      </c>
      <c r="I450" s="14" t="str">
        <f t="array" ref="I450">IF(getRGB1(Weekly!D164)="FFFF00","초방","재방")</f>
        <v>재방</v>
      </c>
    </row>
    <row r="451" spans="1:9" ht="11.25" customHeight="1" x14ac:dyDescent="0.3">
      <c r="A451" s="10" t="str">
        <f t="shared" si="93"/>
        <v/>
      </c>
      <c r="B451" s="11">
        <f>Weekly!$D$3</f>
        <v>45916</v>
      </c>
      <c r="C451" s="12">
        <v>0.55902777777777801</v>
      </c>
      <c r="D451" s="13">
        <f>Weekly!D165</f>
        <v>0</v>
      </c>
      <c r="E451" s="13" t="str">
        <f t="shared" si="94"/>
        <v/>
      </c>
      <c r="F451" s="13" t="str">
        <f t="shared" ref="F451:F514" si="97">IFERROR((MID(D451,FIND("&lt;",D451)+1,4))*1,"")</f>
        <v/>
      </c>
      <c r="G451" s="13" t="str">
        <f t="shared" si="95"/>
        <v/>
      </c>
      <c r="H451" s="13" t="str">
        <f t="shared" si="96"/>
        <v/>
      </c>
      <c r="I451" s="14" t="str">
        <f t="array" ref="I451">IF(getRGB1(Weekly!D165)="FFFF00","초방","재방")</f>
        <v>재방</v>
      </c>
    </row>
    <row r="452" spans="1:9" ht="11.25" customHeight="1" x14ac:dyDescent="0.3">
      <c r="A452" s="10">
        <f t="shared" si="93"/>
        <v>45916.5625</v>
      </c>
      <c r="B452" s="11">
        <f>Weekly!$D$3</f>
        <v>45916</v>
      </c>
      <c r="C452" s="12">
        <v>0.5625</v>
      </c>
      <c r="D452" s="13" t="str">
        <f>Weekly!D166</f>
        <v>더 人터뷰
&lt;52</v>
      </c>
      <c r="E452" s="13" t="str">
        <f t="shared" si="94"/>
        <v>더 人터뷰</v>
      </c>
      <c r="F452" s="13">
        <f t="shared" si="97"/>
        <v>52</v>
      </c>
      <c r="G452" s="13" t="str">
        <f t="shared" si="95"/>
        <v/>
      </c>
      <c r="H452" s="13" t="str">
        <f t="shared" si="96"/>
        <v/>
      </c>
      <c r="I452" s="14" t="str">
        <f t="array" ref="I452">IF(getRGB1(Weekly!D166)="FFFF00","초방","재방")</f>
        <v>재방</v>
      </c>
    </row>
    <row r="453" spans="1:9" ht="11.25" customHeight="1" x14ac:dyDescent="0.3">
      <c r="A453" s="10" t="str">
        <f t="shared" si="93"/>
        <v/>
      </c>
      <c r="B453" s="11">
        <f>Weekly!$D$3</f>
        <v>45916</v>
      </c>
      <c r="C453" s="12">
        <v>0.56597222222222199</v>
      </c>
      <c r="D453" s="13">
        <f>Weekly!D167</f>
        <v>0</v>
      </c>
      <c r="E453" s="13" t="str">
        <f t="shared" si="94"/>
        <v/>
      </c>
      <c r="F453" s="13" t="str">
        <f t="shared" si="97"/>
        <v/>
      </c>
      <c r="G453" s="13" t="str">
        <f t="shared" si="95"/>
        <v/>
      </c>
      <c r="H453" s="13" t="str">
        <f t="shared" si="96"/>
        <v/>
      </c>
      <c r="I453" s="14" t="str">
        <f t="array" ref="I453">IF(getRGB1(Weekly!D167)="FFFF00","초방","재방")</f>
        <v>재방</v>
      </c>
    </row>
    <row r="454" spans="1:9" ht="11.25" customHeight="1" x14ac:dyDescent="0.3">
      <c r="A454" s="10" t="str">
        <f t="shared" si="93"/>
        <v/>
      </c>
      <c r="B454" s="11">
        <f>Weekly!$D$3</f>
        <v>45916</v>
      </c>
      <c r="C454" s="12">
        <v>0.56944444444444398</v>
      </c>
      <c r="D454" s="13">
        <f>Weekly!D168</f>
        <v>0</v>
      </c>
      <c r="E454" s="13" t="str">
        <f t="shared" si="94"/>
        <v/>
      </c>
      <c r="F454" s="13" t="str">
        <f t="shared" si="97"/>
        <v/>
      </c>
      <c r="G454" s="13" t="str">
        <f t="shared" si="95"/>
        <v/>
      </c>
      <c r="H454" s="13" t="str">
        <f t="shared" si="96"/>
        <v/>
      </c>
      <c r="I454" s="14" t="str">
        <f t="array" ref="I454">IF(getRGB1(Weekly!D168)="FFFF00","초방","재방")</f>
        <v>재방</v>
      </c>
    </row>
    <row r="455" spans="1:9" ht="11.25" customHeight="1" x14ac:dyDescent="0.3">
      <c r="A455" s="10" t="str">
        <f t="shared" si="93"/>
        <v/>
      </c>
      <c r="B455" s="11">
        <f>Weekly!$D$3</f>
        <v>45916</v>
      </c>
      <c r="C455" s="12">
        <v>0.57291666666666696</v>
      </c>
      <c r="D455" s="13">
        <f>Weekly!D169</f>
        <v>0</v>
      </c>
      <c r="E455" s="13" t="str">
        <f t="shared" si="94"/>
        <v/>
      </c>
      <c r="F455" s="13" t="str">
        <f t="shared" si="97"/>
        <v/>
      </c>
      <c r="G455" s="13" t="str">
        <f t="shared" si="95"/>
        <v/>
      </c>
      <c r="H455" s="13" t="str">
        <f t="shared" si="96"/>
        <v/>
      </c>
      <c r="I455" s="14" t="str">
        <f t="array" ref="I455">IF(getRGB1(Weekly!D169)="FFFF00","초방","재방")</f>
        <v>재방</v>
      </c>
    </row>
    <row r="456" spans="1:9" ht="11.25" customHeight="1" x14ac:dyDescent="0.3">
      <c r="A456" s="10" t="str">
        <f t="shared" si="93"/>
        <v/>
      </c>
      <c r="B456" s="11">
        <f>Weekly!$D$3</f>
        <v>45916</v>
      </c>
      <c r="C456" s="12">
        <v>0.57638888888888895</v>
      </c>
      <c r="D456" s="13">
        <f>Weekly!D170</f>
        <v>0</v>
      </c>
      <c r="E456" s="13" t="str">
        <f t="shared" si="94"/>
        <v/>
      </c>
      <c r="F456" s="13" t="str">
        <f t="shared" si="97"/>
        <v/>
      </c>
      <c r="G456" s="13" t="str">
        <f t="shared" si="95"/>
        <v/>
      </c>
      <c r="H456" s="13" t="str">
        <f t="shared" si="96"/>
        <v/>
      </c>
      <c r="I456" s="14" t="str">
        <f t="array" ref="I456">IF(getRGB1(Weekly!D170)="FFFF00","초방","재방")</f>
        <v>재방</v>
      </c>
    </row>
    <row r="457" spans="1:9" ht="11.25" customHeight="1" x14ac:dyDescent="0.3">
      <c r="A457" s="10" t="str">
        <f t="shared" si="93"/>
        <v/>
      </c>
      <c r="B457" s="11">
        <f>Weekly!$D$3</f>
        <v>45916</v>
      </c>
      <c r="C457" s="12">
        <v>0.57986111111111105</v>
      </c>
      <c r="D457" s="13">
        <f>Weekly!D171</f>
        <v>0</v>
      </c>
      <c r="E457" s="13" t="str">
        <f t="shared" si="94"/>
        <v/>
      </c>
      <c r="F457" s="13" t="str">
        <f t="shared" si="97"/>
        <v/>
      </c>
      <c r="G457" s="13" t="str">
        <f t="shared" si="95"/>
        <v/>
      </c>
      <c r="H457" s="13" t="str">
        <f t="shared" si="96"/>
        <v/>
      </c>
      <c r="I457" s="14" t="str">
        <f t="array" ref="I457">IF(getRGB1(Weekly!D171)="FFFF00","초방","재방")</f>
        <v>재방</v>
      </c>
    </row>
    <row r="458" spans="1:9" ht="11.25" customHeight="1" x14ac:dyDescent="0.3">
      <c r="A458" s="10">
        <f t="shared" si="93"/>
        <v>45916.583333333336</v>
      </c>
      <c r="B458" s="11">
        <f>Weekly!$D$3</f>
        <v>45916</v>
      </c>
      <c r="C458" s="12">
        <v>0.58333333333333304</v>
      </c>
      <c r="D458" s="13" t="str">
        <f>Weekly!D172</f>
        <v>특집 2026 지방선거_서울특별시의회 생생중계_상임위
&lt;16</v>
      </c>
      <c r="E458" s="13" t="str">
        <f t="shared" si="94"/>
        <v>특집 2026 지방선거_서울특별시의회 생생중계_상임위</v>
      </c>
      <c r="F458" s="13">
        <f t="shared" si="97"/>
        <v>16</v>
      </c>
      <c r="G458" s="13" t="str">
        <f t="shared" si="95"/>
        <v/>
      </c>
      <c r="H458" s="13" t="str">
        <f t="shared" si="96"/>
        <v/>
      </c>
      <c r="I458" s="14" t="str">
        <f t="array" ref="I458">IF(getRGB1(Weekly!D172)="FFFF00","초방","재방")</f>
        <v>초방</v>
      </c>
    </row>
    <row r="459" spans="1:9" ht="11.25" customHeight="1" x14ac:dyDescent="0.3">
      <c r="A459" s="10" t="str">
        <f t="shared" si="93"/>
        <v/>
      </c>
      <c r="B459" s="11">
        <f>Weekly!$D$3</f>
        <v>45916</v>
      </c>
      <c r="C459" s="12">
        <v>0.58680555555555503</v>
      </c>
      <c r="D459" s="13">
        <f>Weekly!D173</f>
        <v>0</v>
      </c>
      <c r="E459" s="13" t="str">
        <f t="shared" si="94"/>
        <v/>
      </c>
      <c r="F459" s="13" t="str">
        <f t="shared" si="97"/>
        <v/>
      </c>
      <c r="G459" s="13" t="str">
        <f t="shared" si="95"/>
        <v/>
      </c>
      <c r="H459" s="13" t="str">
        <f t="shared" si="96"/>
        <v/>
      </c>
      <c r="I459" s="14" t="str">
        <f t="array" ref="I459">IF(getRGB1(Weekly!D173)="FFFF00","초방","재방")</f>
        <v>초방</v>
      </c>
    </row>
    <row r="460" spans="1:9" ht="11.25" customHeight="1" x14ac:dyDescent="0.3">
      <c r="A460" s="10" t="str">
        <f t="shared" si="93"/>
        <v/>
      </c>
      <c r="B460" s="11">
        <f>Weekly!$D$3</f>
        <v>45916</v>
      </c>
      <c r="C460" s="12">
        <v>0.59027777777777801</v>
      </c>
      <c r="D460" s="13">
        <f>Weekly!D174</f>
        <v>0</v>
      </c>
      <c r="E460" s="13" t="str">
        <f t="shared" si="94"/>
        <v/>
      </c>
      <c r="F460" s="13" t="str">
        <f t="shared" si="97"/>
        <v/>
      </c>
      <c r="G460" s="13" t="str">
        <f t="shared" si="95"/>
        <v/>
      </c>
      <c r="H460" s="13" t="str">
        <f t="shared" si="96"/>
        <v/>
      </c>
      <c r="I460" s="14" t="str">
        <f t="array" ref="I460">IF(getRGB1(Weekly!D174)="FFFF00","초방","재방")</f>
        <v>초방</v>
      </c>
    </row>
    <row r="461" spans="1:9" ht="11.25" customHeight="1" x14ac:dyDescent="0.3">
      <c r="A461" s="10" t="str">
        <f t="shared" si="93"/>
        <v/>
      </c>
      <c r="B461" s="11">
        <f>Weekly!$D$3</f>
        <v>45916</v>
      </c>
      <c r="C461" s="12">
        <v>0.59375</v>
      </c>
      <c r="D461" s="13">
        <f>Weekly!D175</f>
        <v>0</v>
      </c>
      <c r="E461" s="13" t="str">
        <f t="shared" si="94"/>
        <v/>
      </c>
      <c r="F461" s="13" t="str">
        <f t="shared" si="97"/>
        <v/>
      </c>
      <c r="G461" s="13" t="str">
        <f t="shared" si="95"/>
        <v/>
      </c>
      <c r="H461" s="13" t="str">
        <f t="shared" si="96"/>
        <v/>
      </c>
      <c r="I461" s="14" t="str">
        <f t="array" ref="I461">IF(getRGB1(Weekly!D175)="FFFF00","초방","재방")</f>
        <v>초방</v>
      </c>
    </row>
    <row r="462" spans="1:9" ht="11.25" customHeight="1" x14ac:dyDescent="0.3">
      <c r="A462" s="10" t="str">
        <f t="shared" si="93"/>
        <v/>
      </c>
      <c r="B462" s="11">
        <f>Weekly!$D$3</f>
        <v>45916</v>
      </c>
      <c r="C462" s="12">
        <v>0.59722222222222199</v>
      </c>
      <c r="D462" s="13">
        <f>Weekly!D176</f>
        <v>0</v>
      </c>
      <c r="E462" s="13" t="str">
        <f t="shared" si="94"/>
        <v/>
      </c>
      <c r="F462" s="13" t="str">
        <f t="shared" si="97"/>
        <v/>
      </c>
      <c r="G462" s="13" t="str">
        <f t="shared" si="95"/>
        <v/>
      </c>
      <c r="H462" s="13" t="str">
        <f t="shared" si="96"/>
        <v/>
      </c>
      <c r="I462" s="14" t="str">
        <f t="array" ref="I462">IF(getRGB1(Weekly!D176)="FFFF00","초방","재방")</f>
        <v>초방</v>
      </c>
    </row>
    <row r="463" spans="1:9" ht="11.25" customHeight="1" x14ac:dyDescent="0.3">
      <c r="A463" s="10" t="str">
        <f t="shared" si="93"/>
        <v/>
      </c>
      <c r="B463" s="11">
        <f>Weekly!$D$3</f>
        <v>45916</v>
      </c>
      <c r="C463" s="12">
        <v>0.60069444444444398</v>
      </c>
      <c r="D463" s="13">
        <f>Weekly!D177</f>
        <v>0</v>
      </c>
      <c r="E463" s="13" t="str">
        <f t="shared" si="94"/>
        <v/>
      </c>
      <c r="F463" s="13" t="str">
        <f t="shared" si="97"/>
        <v/>
      </c>
      <c r="G463" s="13" t="str">
        <f t="shared" si="95"/>
        <v/>
      </c>
      <c r="H463" s="13" t="str">
        <f t="shared" si="96"/>
        <v/>
      </c>
      <c r="I463" s="14" t="str">
        <f t="array" ref="I463">IF(getRGB1(Weekly!D177)="FFFF00","초방","재방")</f>
        <v>초방</v>
      </c>
    </row>
    <row r="464" spans="1:9" ht="11.25" customHeight="1" x14ac:dyDescent="0.3">
      <c r="A464" s="10" t="str">
        <f t="shared" si="93"/>
        <v/>
      </c>
      <c r="B464" s="11">
        <f>Weekly!$D$3</f>
        <v>45916</v>
      </c>
      <c r="C464" s="12">
        <v>0.60416666666666696</v>
      </c>
      <c r="D464" s="13">
        <f>Weekly!D178</f>
        <v>0</v>
      </c>
      <c r="E464" s="13" t="str">
        <f t="shared" si="94"/>
        <v/>
      </c>
      <c r="F464" s="13" t="str">
        <f t="shared" si="97"/>
        <v/>
      </c>
      <c r="G464" s="13" t="str">
        <f t="shared" si="95"/>
        <v/>
      </c>
      <c r="H464" s="13" t="str">
        <f t="shared" si="96"/>
        <v/>
      </c>
      <c r="I464" s="14" t="str">
        <f t="array" ref="I464">IF(getRGB1(Weekly!D178)="FFFF00","초방","재방")</f>
        <v>초방</v>
      </c>
    </row>
    <row r="465" spans="1:9" ht="11.25" customHeight="1" x14ac:dyDescent="0.3">
      <c r="A465" s="10" t="str">
        <f t="shared" si="93"/>
        <v/>
      </c>
      <c r="B465" s="11">
        <f>Weekly!$D$3</f>
        <v>45916</v>
      </c>
      <c r="C465" s="12">
        <v>0.60763888888888895</v>
      </c>
      <c r="D465" s="13">
        <f>Weekly!D179</f>
        <v>0</v>
      </c>
      <c r="E465" s="13" t="str">
        <f t="shared" si="94"/>
        <v/>
      </c>
      <c r="F465" s="13" t="str">
        <f t="shared" si="97"/>
        <v/>
      </c>
      <c r="G465" s="13" t="str">
        <f t="shared" si="95"/>
        <v/>
      </c>
      <c r="H465" s="13" t="str">
        <f t="shared" si="96"/>
        <v/>
      </c>
      <c r="I465" s="14" t="str">
        <f t="array" ref="I465">IF(getRGB1(Weekly!D179)="FFFF00","초방","재방")</f>
        <v>초방</v>
      </c>
    </row>
    <row r="466" spans="1:9" ht="11.25" customHeight="1" x14ac:dyDescent="0.3">
      <c r="A466" s="10" t="str">
        <f t="shared" si="93"/>
        <v/>
      </c>
      <c r="B466" s="11">
        <f>Weekly!$D$3</f>
        <v>45916</v>
      </c>
      <c r="C466" s="12">
        <v>0.61111111111111105</v>
      </c>
      <c r="D466" s="13">
        <f>Weekly!D180</f>
        <v>0</v>
      </c>
      <c r="E466" s="13" t="str">
        <f t="shared" si="94"/>
        <v/>
      </c>
      <c r="F466" s="13" t="str">
        <f t="shared" si="97"/>
        <v/>
      </c>
      <c r="G466" s="13" t="str">
        <f t="shared" si="95"/>
        <v/>
      </c>
      <c r="H466" s="13" t="str">
        <f t="shared" si="96"/>
        <v/>
      </c>
      <c r="I466" s="14" t="str">
        <f t="array" ref="I466">IF(getRGB1(Weekly!D180)="FFFF00","초방","재방")</f>
        <v>초방</v>
      </c>
    </row>
    <row r="467" spans="1:9" ht="11.25" customHeight="1" x14ac:dyDescent="0.3">
      <c r="A467" s="10" t="str">
        <f t="shared" si="93"/>
        <v/>
      </c>
      <c r="B467" s="11">
        <f>Weekly!$D$3</f>
        <v>45916</v>
      </c>
      <c r="C467" s="12">
        <v>0.61458333333333304</v>
      </c>
      <c r="D467" s="13">
        <f>Weekly!D181</f>
        <v>0</v>
      </c>
      <c r="E467" s="13" t="str">
        <f t="shared" si="94"/>
        <v/>
      </c>
      <c r="F467" s="13" t="str">
        <f t="shared" si="97"/>
        <v/>
      </c>
      <c r="G467" s="13" t="str">
        <f t="shared" si="95"/>
        <v/>
      </c>
      <c r="H467" s="13" t="str">
        <f t="shared" si="96"/>
        <v/>
      </c>
      <c r="I467" s="14" t="str">
        <f t="array" ref="I467">IF(getRGB1(Weekly!D181)="FFFF00","초방","재방")</f>
        <v>초방</v>
      </c>
    </row>
    <row r="468" spans="1:9" ht="11.25" customHeight="1" x14ac:dyDescent="0.3">
      <c r="A468" s="10" t="str">
        <f t="shared" si="93"/>
        <v/>
      </c>
      <c r="B468" s="11">
        <f>Weekly!$D$3</f>
        <v>45916</v>
      </c>
      <c r="C468" s="12">
        <v>0.61805555555555503</v>
      </c>
      <c r="D468" s="13">
        <f>Weekly!D182</f>
        <v>0</v>
      </c>
      <c r="E468" s="13" t="str">
        <f t="shared" si="94"/>
        <v/>
      </c>
      <c r="F468" s="13" t="str">
        <f t="shared" si="97"/>
        <v/>
      </c>
      <c r="G468" s="13" t="str">
        <f t="shared" si="95"/>
        <v/>
      </c>
      <c r="H468" s="13" t="str">
        <f t="shared" si="96"/>
        <v/>
      </c>
      <c r="I468" s="14" t="str">
        <f t="array" ref="I468">IF(getRGB1(Weekly!D182)="FFFF00","초방","재방")</f>
        <v>초방</v>
      </c>
    </row>
    <row r="469" spans="1:9" ht="11.25" customHeight="1" x14ac:dyDescent="0.3">
      <c r="A469" s="10" t="str">
        <f t="shared" si="93"/>
        <v/>
      </c>
      <c r="B469" s="11">
        <f>Weekly!$D$3</f>
        <v>45916</v>
      </c>
      <c r="C469" s="12">
        <v>0.62152777777777801</v>
      </c>
      <c r="D469" s="13">
        <f>Weekly!D183</f>
        <v>0</v>
      </c>
      <c r="E469" s="13" t="str">
        <f t="shared" si="94"/>
        <v/>
      </c>
      <c r="F469" s="13" t="str">
        <f t="shared" si="97"/>
        <v/>
      </c>
      <c r="G469" s="13" t="str">
        <f t="shared" si="95"/>
        <v/>
      </c>
      <c r="H469" s="13" t="str">
        <f t="shared" si="96"/>
        <v/>
      </c>
      <c r="I469" s="14" t="str">
        <f t="array" ref="I469">IF(getRGB1(Weekly!D183)="FFFF00","초방","재방")</f>
        <v>초방</v>
      </c>
    </row>
    <row r="470" spans="1:9" ht="11.25" customHeight="1" x14ac:dyDescent="0.3">
      <c r="A470" s="10">
        <f t="shared" si="93"/>
        <v>45916.625</v>
      </c>
      <c r="B470" s="11">
        <f>Weekly!$D$3</f>
        <v>45916</v>
      </c>
      <c r="C470" s="12">
        <v>0.625</v>
      </c>
      <c r="D470" s="13" t="str">
        <f>Weekly!D184</f>
        <v>행복무지개
&lt;31</v>
      </c>
      <c r="E470" s="13" t="str">
        <f t="shared" si="94"/>
        <v>행복무지개</v>
      </c>
      <c r="F470" s="13">
        <f t="shared" si="97"/>
        <v>31</v>
      </c>
      <c r="G470" s="13" t="str">
        <f t="shared" si="95"/>
        <v/>
      </c>
      <c r="H470" s="13" t="str">
        <f t="shared" si="96"/>
        <v/>
      </c>
      <c r="I470" s="14" t="str">
        <f t="array" ref="I470">IF(getRGB1(Weekly!D184)="FFFF00","초방","재방")</f>
        <v>재방</v>
      </c>
    </row>
    <row r="471" spans="1:9" ht="11.25" customHeight="1" x14ac:dyDescent="0.3">
      <c r="A471" s="10" t="str">
        <f t="shared" si="93"/>
        <v/>
      </c>
      <c r="B471" s="11">
        <f>Weekly!$D$3</f>
        <v>45916</v>
      </c>
      <c r="C471" s="12">
        <v>0.62847222222222199</v>
      </c>
      <c r="D471" s="13">
        <f>Weekly!D185</f>
        <v>0</v>
      </c>
      <c r="E471" s="13" t="str">
        <f t="shared" si="94"/>
        <v/>
      </c>
      <c r="F471" s="13" t="str">
        <f t="shared" si="97"/>
        <v/>
      </c>
      <c r="G471" s="13" t="str">
        <f t="shared" si="95"/>
        <v/>
      </c>
      <c r="H471" s="13" t="str">
        <f t="shared" si="96"/>
        <v/>
      </c>
      <c r="I471" s="14" t="str">
        <f t="array" ref="I471">IF(getRGB1(Weekly!D185)="FFFF00","초방","재방")</f>
        <v>재방</v>
      </c>
    </row>
    <row r="472" spans="1:9" ht="11.25" customHeight="1" x14ac:dyDescent="0.3">
      <c r="A472" s="10" t="str">
        <f t="shared" si="93"/>
        <v/>
      </c>
      <c r="B472" s="11">
        <f>Weekly!$D$3</f>
        <v>45916</v>
      </c>
      <c r="C472" s="12">
        <v>0.63194444444444398</v>
      </c>
      <c r="D472" s="13">
        <f>Weekly!D186</f>
        <v>0</v>
      </c>
      <c r="E472" s="13" t="str">
        <f t="shared" si="94"/>
        <v/>
      </c>
      <c r="F472" s="13" t="str">
        <f t="shared" si="97"/>
        <v/>
      </c>
      <c r="G472" s="13" t="str">
        <f t="shared" si="95"/>
        <v/>
      </c>
      <c r="H472" s="13" t="str">
        <f t="shared" si="96"/>
        <v/>
      </c>
      <c r="I472" s="14" t="str">
        <f t="array" ref="I472">IF(getRGB1(Weekly!D186)="FFFF00","초방","재방")</f>
        <v>재방</v>
      </c>
    </row>
    <row r="473" spans="1:9" ht="11.25" customHeight="1" x14ac:dyDescent="0.3">
      <c r="A473" s="10" t="str">
        <f t="shared" si="93"/>
        <v/>
      </c>
      <c r="B473" s="11">
        <f>Weekly!$D$3</f>
        <v>45916</v>
      </c>
      <c r="C473" s="12">
        <v>0.63541666666666696</v>
      </c>
      <c r="D473" s="13">
        <f>Weekly!D187</f>
        <v>0</v>
      </c>
      <c r="E473" s="13" t="str">
        <f t="shared" si="94"/>
        <v/>
      </c>
      <c r="F473" s="13" t="str">
        <f t="shared" si="97"/>
        <v/>
      </c>
      <c r="G473" s="13" t="str">
        <f t="shared" si="95"/>
        <v/>
      </c>
      <c r="H473" s="13" t="str">
        <f t="shared" si="96"/>
        <v/>
      </c>
      <c r="I473" s="14" t="str">
        <f t="array" ref="I473">IF(getRGB1(Weekly!D187)="FFFF00","초방","재방")</f>
        <v>재방</v>
      </c>
    </row>
    <row r="474" spans="1:9" ht="11.25" customHeight="1" x14ac:dyDescent="0.3">
      <c r="A474" s="10" t="str">
        <f t="shared" si="93"/>
        <v/>
      </c>
      <c r="B474" s="11">
        <f>Weekly!$D$3</f>
        <v>45916</v>
      </c>
      <c r="C474" s="12">
        <v>0.63888888888888895</v>
      </c>
      <c r="D474" s="13">
        <f>Weekly!D188</f>
        <v>0</v>
      </c>
      <c r="E474" s="13" t="str">
        <f t="shared" si="94"/>
        <v/>
      </c>
      <c r="F474" s="13" t="str">
        <f t="shared" si="97"/>
        <v/>
      </c>
      <c r="G474" s="13" t="str">
        <f t="shared" si="95"/>
        <v/>
      </c>
      <c r="H474" s="13" t="str">
        <f t="shared" si="96"/>
        <v/>
      </c>
      <c r="I474" s="14" t="str">
        <f t="array" ref="I474">IF(getRGB1(Weekly!D188)="FFFF00","초방","재방")</f>
        <v>재방</v>
      </c>
    </row>
    <row r="475" spans="1:9" ht="11.25" customHeight="1" x14ac:dyDescent="0.3">
      <c r="A475" s="10" t="str">
        <f t="shared" si="93"/>
        <v/>
      </c>
      <c r="B475" s="11">
        <f>Weekly!$D$3</f>
        <v>45916</v>
      </c>
      <c r="C475" s="12">
        <v>0.64236111111111105</v>
      </c>
      <c r="D475" s="13">
        <f>Weekly!D189</f>
        <v>0</v>
      </c>
      <c r="E475" s="13" t="str">
        <f t="shared" si="94"/>
        <v/>
      </c>
      <c r="F475" s="13" t="str">
        <f t="shared" si="97"/>
        <v/>
      </c>
      <c r="G475" s="13" t="str">
        <f t="shared" si="95"/>
        <v/>
      </c>
      <c r="H475" s="13" t="str">
        <f t="shared" si="96"/>
        <v/>
      </c>
      <c r="I475" s="14" t="str">
        <f t="array" ref="I475">IF(getRGB1(Weekly!D189)="FFFF00","초방","재방")</f>
        <v>재방</v>
      </c>
    </row>
    <row r="476" spans="1:9" ht="11.25" customHeight="1" x14ac:dyDescent="0.3">
      <c r="A476" s="10" t="str">
        <f t="shared" si="93"/>
        <v/>
      </c>
      <c r="B476" s="11">
        <f>Weekly!$D$3</f>
        <v>45916</v>
      </c>
      <c r="C476" s="12">
        <v>0.64583333333333304</v>
      </c>
      <c r="D476" s="13">
        <f>Weekly!D190</f>
        <v>0</v>
      </c>
      <c r="E476" s="13" t="str">
        <f t="shared" si="94"/>
        <v/>
      </c>
      <c r="F476" s="13" t="str">
        <f t="shared" si="97"/>
        <v/>
      </c>
      <c r="G476" s="13" t="str">
        <f t="shared" si="95"/>
        <v/>
      </c>
      <c r="H476" s="13" t="str">
        <f t="shared" si="96"/>
        <v/>
      </c>
      <c r="I476" s="14" t="str">
        <f t="array" ref="I476">IF(getRGB1(Weekly!D190)="FFFF00","초방","재방")</f>
        <v>재방</v>
      </c>
    </row>
    <row r="477" spans="1:9" ht="11.25" customHeight="1" x14ac:dyDescent="0.3">
      <c r="A477" s="10" t="str">
        <f t="shared" si="93"/>
        <v/>
      </c>
      <c r="B477" s="11">
        <f>Weekly!$D$3</f>
        <v>45916</v>
      </c>
      <c r="C477" s="12">
        <v>0.64930555555555503</v>
      </c>
      <c r="D477" s="13">
        <f>Weekly!D191</f>
        <v>0</v>
      </c>
      <c r="E477" s="13" t="str">
        <f t="shared" si="94"/>
        <v/>
      </c>
      <c r="F477" s="13" t="str">
        <f t="shared" si="97"/>
        <v/>
      </c>
      <c r="G477" s="13" t="str">
        <f t="shared" si="95"/>
        <v/>
      </c>
      <c r="H477" s="13" t="str">
        <f t="shared" si="96"/>
        <v/>
      </c>
      <c r="I477" s="14" t="str">
        <f t="array" ref="I477">IF(getRGB1(Weekly!D191)="FFFF00","초방","재방")</f>
        <v>재방</v>
      </c>
    </row>
    <row r="478" spans="1:9" ht="11.25" customHeight="1" x14ac:dyDescent="0.3">
      <c r="A478" s="10" t="str">
        <f t="shared" si="93"/>
        <v/>
      </c>
      <c r="B478" s="11">
        <f>Weekly!$D$3</f>
        <v>45916</v>
      </c>
      <c r="C478" s="12">
        <v>0.65277777777777801</v>
      </c>
      <c r="D478" s="13">
        <f>Weekly!D192</f>
        <v>0</v>
      </c>
      <c r="E478" s="13" t="str">
        <f t="shared" si="94"/>
        <v/>
      </c>
      <c r="F478" s="13" t="str">
        <f t="shared" si="97"/>
        <v/>
      </c>
      <c r="G478" s="13" t="str">
        <f t="shared" si="95"/>
        <v/>
      </c>
      <c r="H478" s="13" t="str">
        <f t="shared" si="96"/>
        <v/>
      </c>
      <c r="I478" s="14" t="str">
        <f t="array" ref="I478">IF(getRGB1(Weekly!D192)="FFFF00","초방","재방")</f>
        <v>재방</v>
      </c>
    </row>
    <row r="479" spans="1:9" ht="11.25" customHeight="1" x14ac:dyDescent="0.3">
      <c r="A479" s="10" t="str">
        <f t="shared" si="93"/>
        <v/>
      </c>
      <c r="B479" s="11">
        <f>Weekly!$D$3</f>
        <v>45916</v>
      </c>
      <c r="C479" s="12">
        <v>0.65625</v>
      </c>
      <c r="D479" s="13">
        <f>Weekly!D193</f>
        <v>0</v>
      </c>
      <c r="E479" s="13" t="str">
        <f t="shared" si="94"/>
        <v/>
      </c>
      <c r="F479" s="13" t="str">
        <f t="shared" si="97"/>
        <v/>
      </c>
      <c r="G479" s="13" t="str">
        <f t="shared" si="95"/>
        <v/>
      </c>
      <c r="H479" s="13" t="str">
        <f t="shared" si="96"/>
        <v/>
      </c>
      <c r="I479" s="14" t="str">
        <f t="array" ref="I479">IF(getRGB1(Weekly!D193)="FFFF00","초방","재방")</f>
        <v>재방</v>
      </c>
    </row>
    <row r="480" spans="1:9" ht="11.25" customHeight="1" x14ac:dyDescent="0.3">
      <c r="A480" s="10" t="str">
        <f t="shared" si="93"/>
        <v/>
      </c>
      <c r="B480" s="11">
        <f>Weekly!$D$3</f>
        <v>45916</v>
      </c>
      <c r="C480" s="12">
        <v>0.65972222222222199</v>
      </c>
      <c r="D480" s="13">
        <f>Weekly!D194</f>
        <v>0</v>
      </c>
      <c r="E480" s="13" t="str">
        <f t="shared" si="94"/>
        <v/>
      </c>
      <c r="F480" s="13" t="str">
        <f t="shared" si="97"/>
        <v/>
      </c>
      <c r="G480" s="13" t="str">
        <f t="shared" si="95"/>
        <v/>
      </c>
      <c r="H480" s="13" t="str">
        <f t="shared" si="96"/>
        <v/>
      </c>
      <c r="I480" s="14" t="str">
        <f t="array" ref="I480">IF(getRGB1(Weekly!D194)="FFFF00","초방","재방")</f>
        <v>재방</v>
      </c>
    </row>
    <row r="481" spans="1:9" ht="11.25" customHeight="1" x14ac:dyDescent="0.3">
      <c r="A481" s="10" t="str">
        <f t="shared" si="93"/>
        <v/>
      </c>
      <c r="B481" s="11">
        <f>Weekly!$D$3</f>
        <v>45916</v>
      </c>
      <c r="C481" s="12">
        <v>0.66319444444444398</v>
      </c>
      <c r="D481" s="13">
        <f>Weekly!D195</f>
        <v>0</v>
      </c>
      <c r="E481" s="13" t="str">
        <f t="shared" si="94"/>
        <v/>
      </c>
      <c r="F481" s="13" t="str">
        <f t="shared" si="97"/>
        <v/>
      </c>
      <c r="G481" s="13" t="str">
        <f t="shared" si="95"/>
        <v/>
      </c>
      <c r="H481" s="13" t="str">
        <f t="shared" si="96"/>
        <v/>
      </c>
      <c r="I481" s="14" t="str">
        <f t="array" ref="I481">IF(getRGB1(Weekly!D195)="FFFF00","초방","재방")</f>
        <v>재방</v>
      </c>
    </row>
    <row r="482" spans="1:9" ht="11.25" customHeight="1" x14ac:dyDescent="0.3">
      <c r="A482" s="10">
        <f t="shared" si="93"/>
        <v>45916.666666666664</v>
      </c>
      <c r="B482" s="11">
        <f>Weekly!$D$3</f>
        <v>45916</v>
      </c>
      <c r="C482" s="12">
        <v>0.66666666666666696</v>
      </c>
      <c r="D482" s="13" t="str">
        <f>Weekly!D196</f>
        <v xml:space="preserve"> NEWS4
&lt;63</v>
      </c>
      <c r="E482" s="13" t="str">
        <f t="shared" si="94"/>
        <v>NEWS4</v>
      </c>
      <c r="F482" s="13">
        <f t="shared" si="97"/>
        <v>63</v>
      </c>
      <c r="G482" s="13" t="str">
        <f t="shared" si="95"/>
        <v/>
      </c>
      <c r="H482" s="13" t="str">
        <f t="shared" si="96"/>
        <v/>
      </c>
      <c r="I482" s="14" t="str">
        <f t="array" ref="I482">IF(getRGB1(Weekly!D196)="FFFF00","초방","재방")</f>
        <v>재방</v>
      </c>
    </row>
    <row r="483" spans="1:9" ht="11.25" customHeight="1" x14ac:dyDescent="0.3">
      <c r="A483" s="10" t="str">
        <f t="shared" si="93"/>
        <v/>
      </c>
      <c r="B483" s="11">
        <f>Weekly!$D$3</f>
        <v>45916</v>
      </c>
      <c r="C483" s="12">
        <v>0.67013888888888895</v>
      </c>
      <c r="D483" s="13">
        <f>Weekly!D197</f>
        <v>0</v>
      </c>
      <c r="E483" s="13" t="str">
        <f t="shared" si="94"/>
        <v/>
      </c>
      <c r="F483" s="13" t="str">
        <f t="shared" si="97"/>
        <v/>
      </c>
      <c r="G483" s="13" t="str">
        <f t="shared" si="95"/>
        <v/>
      </c>
      <c r="H483" s="13" t="str">
        <f t="shared" si="96"/>
        <v/>
      </c>
      <c r="I483" s="14" t="str">
        <f t="array" ref="I483">IF(getRGB1(Weekly!D197)="FFFF00","초방","재방")</f>
        <v>재방</v>
      </c>
    </row>
    <row r="484" spans="1:9" ht="11.25" customHeight="1" x14ac:dyDescent="0.3">
      <c r="A484" s="10" t="str">
        <f t="shared" si="93"/>
        <v/>
      </c>
      <c r="B484" s="11">
        <f>Weekly!$D$3</f>
        <v>45916</v>
      </c>
      <c r="C484" s="12">
        <v>0.67361111111111105</v>
      </c>
      <c r="D484" s="13">
        <f>Weekly!D198</f>
        <v>0</v>
      </c>
      <c r="E484" s="13" t="str">
        <f t="shared" si="94"/>
        <v/>
      </c>
      <c r="F484" s="13" t="str">
        <f t="shared" si="97"/>
        <v/>
      </c>
      <c r="G484" s="13" t="str">
        <f t="shared" si="95"/>
        <v/>
      </c>
      <c r="H484" s="13" t="str">
        <f t="shared" si="96"/>
        <v/>
      </c>
      <c r="I484" s="14" t="str">
        <f t="array" ref="I484">IF(getRGB1(Weekly!D198)="FFFF00","초방","재방")</f>
        <v>재방</v>
      </c>
    </row>
    <row r="485" spans="1:9" ht="11.25" customHeight="1" x14ac:dyDescent="0.3">
      <c r="A485" s="10" t="str">
        <f t="shared" si="93"/>
        <v/>
      </c>
      <c r="B485" s="11">
        <f>Weekly!$D$3</f>
        <v>45916</v>
      </c>
      <c r="C485" s="12">
        <v>0.67708333333333304</v>
      </c>
      <c r="D485" s="13">
        <f>Weekly!D199</f>
        <v>0</v>
      </c>
      <c r="E485" s="13" t="str">
        <f t="shared" si="94"/>
        <v/>
      </c>
      <c r="F485" s="13" t="str">
        <f t="shared" si="97"/>
        <v/>
      </c>
      <c r="G485" s="13" t="str">
        <f t="shared" si="95"/>
        <v/>
      </c>
      <c r="H485" s="13" t="str">
        <f t="shared" si="96"/>
        <v/>
      </c>
      <c r="I485" s="14" t="str">
        <f t="array" ref="I485">IF(getRGB1(Weekly!D199)="FFFF00","초방","재방")</f>
        <v>재방</v>
      </c>
    </row>
    <row r="486" spans="1:9" ht="11.25" customHeight="1" x14ac:dyDescent="0.3">
      <c r="A486" s="10" t="str">
        <f t="shared" si="93"/>
        <v/>
      </c>
      <c r="B486" s="11">
        <f>Weekly!$D$3</f>
        <v>45916</v>
      </c>
      <c r="C486" s="12">
        <v>0.68055555555555503</v>
      </c>
      <c r="D486" s="13">
        <f>Weekly!D200</f>
        <v>0</v>
      </c>
      <c r="E486" s="13" t="str">
        <f t="shared" si="94"/>
        <v/>
      </c>
      <c r="F486" s="13" t="str">
        <f t="shared" si="97"/>
        <v/>
      </c>
      <c r="G486" s="13" t="str">
        <f t="shared" si="95"/>
        <v/>
      </c>
      <c r="H486" s="13" t="str">
        <f t="shared" si="96"/>
        <v/>
      </c>
      <c r="I486" s="14" t="str">
        <f t="array" ref="I486">IF(getRGB1(Weekly!D200)="FFFF00","초방","재방")</f>
        <v>재방</v>
      </c>
    </row>
    <row r="487" spans="1:9" ht="11.25" customHeight="1" x14ac:dyDescent="0.3">
      <c r="A487" s="10" t="str">
        <f t="shared" si="93"/>
        <v/>
      </c>
      <c r="B487" s="11">
        <f>Weekly!$D$3</f>
        <v>45916</v>
      </c>
      <c r="C487" s="12">
        <v>0.68402777777777801</v>
      </c>
      <c r="D487" s="13">
        <f>Weekly!D201</f>
        <v>0</v>
      </c>
      <c r="E487" s="13" t="str">
        <f t="shared" si="94"/>
        <v/>
      </c>
      <c r="F487" s="13" t="str">
        <f t="shared" si="97"/>
        <v/>
      </c>
      <c r="G487" s="13" t="str">
        <f t="shared" si="95"/>
        <v/>
      </c>
      <c r="H487" s="13" t="str">
        <f t="shared" si="96"/>
        <v/>
      </c>
      <c r="I487" s="14" t="str">
        <f t="array" ref="I487">IF(getRGB1(Weekly!D201)="FFFF00","초방","재방")</f>
        <v>재방</v>
      </c>
    </row>
    <row r="488" spans="1:9" ht="11.25" customHeight="1" x14ac:dyDescent="0.3">
      <c r="A488" s="10">
        <f t="shared" si="93"/>
        <v>45916.6875</v>
      </c>
      <c r="B488" s="11">
        <f>Weekly!$D$3</f>
        <v>45916</v>
      </c>
      <c r="C488" s="12">
        <v>0.6875</v>
      </c>
      <c r="D488" s="13" t="str">
        <f>Weekly!D202</f>
        <v>호남, 호남人
&lt;131</v>
      </c>
      <c r="E488" s="13" t="str">
        <f t="shared" si="94"/>
        <v>호남, 호남人</v>
      </c>
      <c r="F488" s="13">
        <f t="shared" si="97"/>
        <v>131</v>
      </c>
      <c r="G488" s="13" t="str">
        <f t="shared" si="95"/>
        <v/>
      </c>
      <c r="H488" s="13" t="str">
        <f t="shared" si="96"/>
        <v/>
      </c>
      <c r="I488" s="14" t="str">
        <f t="array" ref="I488">IF(getRGB1(Weekly!D202)="FFFF00","초방","재방")</f>
        <v>재방</v>
      </c>
    </row>
    <row r="489" spans="1:9" ht="11.25" customHeight="1" x14ac:dyDescent="0.3">
      <c r="A489" s="10" t="str">
        <f t="shared" si="93"/>
        <v/>
      </c>
      <c r="B489" s="11">
        <f>Weekly!$D$3</f>
        <v>45916</v>
      </c>
      <c r="C489" s="12">
        <v>0.69097222222222199</v>
      </c>
      <c r="D489" s="13">
        <f>Weekly!D203</f>
        <v>0</v>
      </c>
      <c r="E489" s="13" t="str">
        <f t="shared" si="94"/>
        <v/>
      </c>
      <c r="F489" s="13" t="str">
        <f t="shared" si="97"/>
        <v/>
      </c>
      <c r="G489" s="13" t="str">
        <f t="shared" si="95"/>
        <v/>
      </c>
      <c r="H489" s="13" t="str">
        <f t="shared" si="96"/>
        <v/>
      </c>
      <c r="I489" s="14" t="str">
        <f t="array" ref="I489">IF(getRGB1(Weekly!D203)="FFFF00","초방","재방")</f>
        <v>재방</v>
      </c>
    </row>
    <row r="490" spans="1:9" ht="11.25" customHeight="1" x14ac:dyDescent="0.3">
      <c r="A490" s="10" t="str">
        <f t="shared" si="93"/>
        <v/>
      </c>
      <c r="B490" s="11">
        <f>Weekly!$D$3</f>
        <v>45916</v>
      </c>
      <c r="C490" s="12">
        <v>0.69444444444444398</v>
      </c>
      <c r="D490" s="13">
        <f>Weekly!D204</f>
        <v>0</v>
      </c>
      <c r="E490" s="13" t="str">
        <f t="shared" si="94"/>
        <v/>
      </c>
      <c r="F490" s="13" t="str">
        <f t="shared" si="97"/>
        <v/>
      </c>
      <c r="G490" s="13" t="str">
        <f t="shared" si="95"/>
        <v/>
      </c>
      <c r="H490" s="13" t="str">
        <f t="shared" si="96"/>
        <v/>
      </c>
      <c r="I490" s="14" t="str">
        <f t="array" ref="I490">IF(getRGB1(Weekly!D204)="FFFF00","초방","재방")</f>
        <v>재방</v>
      </c>
    </row>
    <row r="491" spans="1:9" ht="11.25" customHeight="1" x14ac:dyDescent="0.3">
      <c r="A491" s="10" t="str">
        <f t="shared" si="93"/>
        <v/>
      </c>
      <c r="B491" s="11">
        <f>Weekly!$D$3</f>
        <v>45916</v>
      </c>
      <c r="C491" s="12">
        <v>0.69791666666666696</v>
      </c>
      <c r="D491" s="13">
        <f>Weekly!D205</f>
        <v>0</v>
      </c>
      <c r="E491" s="13" t="str">
        <f t="shared" si="94"/>
        <v/>
      </c>
      <c r="F491" s="13" t="str">
        <f t="shared" si="97"/>
        <v/>
      </c>
      <c r="G491" s="13" t="str">
        <f t="shared" si="95"/>
        <v/>
      </c>
      <c r="H491" s="13" t="str">
        <f t="shared" si="96"/>
        <v/>
      </c>
      <c r="I491" s="14" t="str">
        <f t="array" ref="I491">IF(getRGB1(Weekly!D205)="FFFF00","초방","재방")</f>
        <v>재방</v>
      </c>
    </row>
    <row r="492" spans="1:9" ht="11.25" customHeight="1" x14ac:dyDescent="0.3">
      <c r="A492" s="10" t="str">
        <f t="shared" si="93"/>
        <v/>
      </c>
      <c r="B492" s="11">
        <f>Weekly!$D$3</f>
        <v>45916</v>
      </c>
      <c r="C492" s="12">
        <v>0.70138888888888895</v>
      </c>
      <c r="D492" s="13">
        <f>Weekly!D206</f>
        <v>0</v>
      </c>
      <c r="E492" s="13" t="str">
        <f t="shared" si="94"/>
        <v/>
      </c>
      <c r="F492" s="13" t="str">
        <f t="shared" si="97"/>
        <v/>
      </c>
      <c r="G492" s="13" t="str">
        <f t="shared" si="95"/>
        <v/>
      </c>
      <c r="H492" s="13" t="str">
        <f t="shared" si="96"/>
        <v/>
      </c>
      <c r="I492" s="14" t="str">
        <f t="array" ref="I492">IF(getRGB1(Weekly!D206)="FFFF00","초방","재방")</f>
        <v>재방</v>
      </c>
    </row>
    <row r="493" spans="1:9" ht="11.25" customHeight="1" x14ac:dyDescent="0.3">
      <c r="A493" s="10" t="str">
        <f t="shared" si="93"/>
        <v/>
      </c>
      <c r="B493" s="11">
        <f>Weekly!$D$3</f>
        <v>45916</v>
      </c>
      <c r="C493" s="12">
        <v>0.70486111111111105</v>
      </c>
      <c r="D493" s="13">
        <f>Weekly!D207</f>
        <v>0</v>
      </c>
      <c r="E493" s="13" t="str">
        <f t="shared" si="94"/>
        <v/>
      </c>
      <c r="F493" s="13" t="str">
        <f t="shared" si="97"/>
        <v/>
      </c>
      <c r="G493" s="13" t="str">
        <f t="shared" si="95"/>
        <v/>
      </c>
      <c r="H493" s="13" t="str">
        <f t="shared" si="96"/>
        <v/>
      </c>
      <c r="I493" s="14" t="str">
        <f t="array" ref="I493">IF(getRGB1(Weekly!D207)="FFFF00","초방","재방")</f>
        <v>재방</v>
      </c>
    </row>
    <row r="494" spans="1:9" ht="11.25" customHeight="1" x14ac:dyDescent="0.3">
      <c r="A494" s="10">
        <f t="shared" si="93"/>
        <v>45916.708333333336</v>
      </c>
      <c r="B494" s="11">
        <f>Weekly!$D$3</f>
        <v>45916</v>
      </c>
      <c r="C494" s="12">
        <v>0.70833333333333304</v>
      </c>
      <c r="D494" s="13" t="str">
        <f>Weekly!D208</f>
        <v>특집 2026 지방선거_경기도의회 생생중계_상임위
&lt;15</v>
      </c>
      <c r="E494" s="13" t="str">
        <f t="shared" si="94"/>
        <v>특집 2026 지방선거_경기도의회 생생중계_상임위</v>
      </c>
      <c r="F494" s="13">
        <f t="shared" si="97"/>
        <v>15</v>
      </c>
      <c r="G494" s="13" t="str">
        <f t="shared" si="95"/>
        <v/>
      </c>
      <c r="H494" s="13" t="str">
        <f t="shared" si="96"/>
        <v/>
      </c>
      <c r="I494" s="14" t="str">
        <f t="array" ref="I494">IF(getRGB1(Weekly!D208)="FFFF00","초방","재방")</f>
        <v>초방</v>
      </c>
    </row>
    <row r="495" spans="1:9" ht="11.25" customHeight="1" x14ac:dyDescent="0.3">
      <c r="A495" s="10" t="str">
        <f t="shared" si="93"/>
        <v/>
      </c>
      <c r="B495" s="11">
        <f>Weekly!$D$3</f>
        <v>45916</v>
      </c>
      <c r="C495" s="12">
        <v>0.71180555555555503</v>
      </c>
      <c r="D495" s="13">
        <f>Weekly!D209</f>
        <v>0</v>
      </c>
      <c r="E495" s="13" t="str">
        <f t="shared" si="94"/>
        <v/>
      </c>
      <c r="F495" s="13" t="str">
        <f t="shared" si="97"/>
        <v/>
      </c>
      <c r="G495" s="13" t="str">
        <f t="shared" si="95"/>
        <v/>
      </c>
      <c r="H495" s="13" t="str">
        <f t="shared" si="96"/>
        <v/>
      </c>
      <c r="I495" s="14" t="str">
        <f t="array" ref="I495">IF(getRGB1(Weekly!D209)="FFFF00","초방","재방")</f>
        <v>초방</v>
      </c>
    </row>
    <row r="496" spans="1:9" ht="11.25" customHeight="1" x14ac:dyDescent="0.3">
      <c r="A496" s="10" t="str">
        <f t="shared" si="93"/>
        <v/>
      </c>
      <c r="B496" s="11">
        <f>Weekly!$D$3</f>
        <v>45916</v>
      </c>
      <c r="C496" s="12">
        <v>0.71527777777777801</v>
      </c>
      <c r="D496" s="13">
        <f>Weekly!D210</f>
        <v>0</v>
      </c>
      <c r="E496" s="13" t="str">
        <f t="shared" si="94"/>
        <v/>
      </c>
      <c r="F496" s="13" t="str">
        <f t="shared" si="97"/>
        <v/>
      </c>
      <c r="G496" s="13" t="str">
        <f t="shared" si="95"/>
        <v/>
      </c>
      <c r="H496" s="13" t="str">
        <f t="shared" si="96"/>
        <v/>
      </c>
      <c r="I496" s="14" t="str">
        <f t="array" ref="I496">IF(getRGB1(Weekly!D210)="FFFF00","초방","재방")</f>
        <v>초방</v>
      </c>
    </row>
    <row r="497" spans="1:9" ht="11.25" customHeight="1" x14ac:dyDescent="0.3">
      <c r="A497" s="10" t="str">
        <f t="shared" si="93"/>
        <v/>
      </c>
      <c r="B497" s="11">
        <f>Weekly!$D$3</f>
        <v>45916</v>
      </c>
      <c r="C497" s="12">
        <v>0.71875</v>
      </c>
      <c r="D497" s="13">
        <f>Weekly!D211</f>
        <v>0</v>
      </c>
      <c r="E497" s="13" t="str">
        <f t="shared" si="94"/>
        <v/>
      </c>
      <c r="F497" s="13" t="str">
        <f t="shared" si="97"/>
        <v/>
      </c>
      <c r="G497" s="13" t="str">
        <f t="shared" si="95"/>
        <v/>
      </c>
      <c r="H497" s="13" t="str">
        <f t="shared" si="96"/>
        <v/>
      </c>
      <c r="I497" s="14" t="str">
        <f t="array" ref="I497">IF(getRGB1(Weekly!D211)="FFFF00","초방","재방")</f>
        <v>초방</v>
      </c>
    </row>
    <row r="498" spans="1:9" ht="11.25" customHeight="1" x14ac:dyDescent="0.3">
      <c r="A498" s="10" t="str">
        <f t="shared" si="93"/>
        <v/>
      </c>
      <c r="B498" s="11">
        <f>Weekly!$D$3</f>
        <v>45916</v>
      </c>
      <c r="C498" s="12">
        <v>0.72222222222222199</v>
      </c>
      <c r="D498" s="13">
        <f>Weekly!D212</f>
        <v>0</v>
      </c>
      <c r="E498" s="13" t="str">
        <f t="shared" si="94"/>
        <v/>
      </c>
      <c r="F498" s="13" t="str">
        <f t="shared" si="97"/>
        <v/>
      </c>
      <c r="G498" s="13" t="str">
        <f t="shared" si="95"/>
        <v/>
      </c>
      <c r="H498" s="13" t="str">
        <f t="shared" si="96"/>
        <v/>
      </c>
      <c r="I498" s="14" t="str">
        <f t="array" ref="I498">IF(getRGB1(Weekly!D212)="FFFF00","초방","재방")</f>
        <v>초방</v>
      </c>
    </row>
    <row r="499" spans="1:9" ht="11.25" customHeight="1" x14ac:dyDescent="0.3">
      <c r="A499" s="10" t="str">
        <f t="shared" si="93"/>
        <v/>
      </c>
      <c r="B499" s="11">
        <f>Weekly!$D$3</f>
        <v>45916</v>
      </c>
      <c r="C499" s="12">
        <v>0.72569444444444398</v>
      </c>
      <c r="D499" s="13">
        <f>Weekly!D213</f>
        <v>0</v>
      </c>
      <c r="E499" s="13" t="str">
        <f t="shared" si="94"/>
        <v/>
      </c>
      <c r="F499" s="13" t="str">
        <f t="shared" si="97"/>
        <v/>
      </c>
      <c r="G499" s="13" t="str">
        <f t="shared" si="95"/>
        <v/>
      </c>
      <c r="H499" s="13" t="str">
        <f t="shared" si="96"/>
        <v/>
      </c>
      <c r="I499" s="14" t="str">
        <f t="array" ref="I499">IF(getRGB1(Weekly!D213)="FFFF00","초방","재방")</f>
        <v>초방</v>
      </c>
    </row>
    <row r="500" spans="1:9" ht="11.25" customHeight="1" x14ac:dyDescent="0.3">
      <c r="A500" s="10" t="str">
        <f t="shared" si="93"/>
        <v/>
      </c>
      <c r="B500" s="11">
        <f>Weekly!$D$3</f>
        <v>45916</v>
      </c>
      <c r="C500" s="12">
        <v>0.72916666666666696</v>
      </c>
      <c r="D500" s="13">
        <f>Weekly!D214</f>
        <v>0</v>
      </c>
      <c r="E500" s="13" t="str">
        <f t="shared" si="94"/>
        <v/>
      </c>
      <c r="F500" s="13" t="str">
        <f t="shared" si="97"/>
        <v/>
      </c>
      <c r="G500" s="13" t="str">
        <f t="shared" si="95"/>
        <v/>
      </c>
      <c r="H500" s="13" t="str">
        <f t="shared" si="96"/>
        <v/>
      </c>
      <c r="I500" s="14" t="str">
        <f t="array" ref="I500">IF(getRGB1(Weekly!D214)="FFFF00","초방","재방")</f>
        <v>초방</v>
      </c>
    </row>
    <row r="501" spans="1:9" ht="11.25" customHeight="1" x14ac:dyDescent="0.3">
      <c r="A501" s="10" t="str">
        <f t="shared" si="93"/>
        <v/>
      </c>
      <c r="B501" s="11">
        <f>Weekly!$D$3</f>
        <v>45916</v>
      </c>
      <c r="C501" s="12">
        <v>0.73263888888888895</v>
      </c>
      <c r="D501" s="13">
        <f>Weekly!D215</f>
        <v>0</v>
      </c>
      <c r="E501" s="13" t="str">
        <f t="shared" si="94"/>
        <v/>
      </c>
      <c r="F501" s="13" t="str">
        <f t="shared" si="97"/>
        <v/>
      </c>
      <c r="G501" s="13" t="str">
        <f t="shared" si="95"/>
        <v/>
      </c>
      <c r="H501" s="13" t="str">
        <f t="shared" si="96"/>
        <v/>
      </c>
      <c r="I501" s="14" t="str">
        <f t="array" ref="I501">IF(getRGB1(Weekly!D215)="FFFF00","초방","재방")</f>
        <v>초방</v>
      </c>
    </row>
    <row r="502" spans="1:9" ht="11.25" customHeight="1" x14ac:dyDescent="0.3">
      <c r="A502" s="10" t="str">
        <f t="shared" si="93"/>
        <v/>
      </c>
      <c r="B502" s="11">
        <f>Weekly!$D$3</f>
        <v>45916</v>
      </c>
      <c r="C502" s="12">
        <v>0.73611111111111105</v>
      </c>
      <c r="D502" s="13">
        <f>Weekly!D216</f>
        <v>0</v>
      </c>
      <c r="E502" s="13" t="str">
        <f t="shared" si="94"/>
        <v/>
      </c>
      <c r="F502" s="13" t="str">
        <f t="shared" si="97"/>
        <v/>
      </c>
      <c r="G502" s="13" t="str">
        <f t="shared" si="95"/>
        <v/>
      </c>
      <c r="H502" s="13" t="str">
        <f t="shared" si="96"/>
        <v/>
      </c>
      <c r="I502" s="14" t="str">
        <f t="array" ref="I502">IF(getRGB1(Weekly!D216)="FFFF00","초방","재방")</f>
        <v>초방</v>
      </c>
    </row>
    <row r="503" spans="1:9" ht="11.25" customHeight="1" x14ac:dyDescent="0.3">
      <c r="A503" s="10" t="str">
        <f t="shared" si="93"/>
        <v/>
      </c>
      <c r="B503" s="11">
        <f>Weekly!$D$3</f>
        <v>45916</v>
      </c>
      <c r="C503" s="12">
        <v>0.73958333333333304</v>
      </c>
      <c r="D503" s="13">
        <f>Weekly!D217</f>
        <v>0</v>
      </c>
      <c r="E503" s="13" t="str">
        <f t="shared" si="94"/>
        <v/>
      </c>
      <c r="F503" s="13" t="str">
        <f t="shared" si="97"/>
        <v/>
      </c>
      <c r="G503" s="13" t="str">
        <f t="shared" si="95"/>
        <v/>
      </c>
      <c r="H503" s="13" t="str">
        <f t="shared" si="96"/>
        <v/>
      </c>
      <c r="I503" s="14" t="str">
        <f t="array" ref="I503">IF(getRGB1(Weekly!D217)="FFFF00","초방","재방")</f>
        <v>초방</v>
      </c>
    </row>
    <row r="504" spans="1:9" ht="11.25" customHeight="1" x14ac:dyDescent="0.3">
      <c r="A504" s="10" t="str">
        <f t="shared" si="93"/>
        <v/>
      </c>
      <c r="B504" s="11">
        <f>Weekly!$D$3</f>
        <v>45916</v>
      </c>
      <c r="C504" s="12">
        <v>0.74305555555555503</v>
      </c>
      <c r="D504" s="13">
        <f>Weekly!D218</f>
        <v>0</v>
      </c>
      <c r="E504" s="13" t="str">
        <f t="shared" si="94"/>
        <v/>
      </c>
      <c r="F504" s="13" t="str">
        <f t="shared" si="97"/>
        <v/>
      </c>
      <c r="G504" s="13" t="str">
        <f t="shared" si="95"/>
        <v/>
      </c>
      <c r="H504" s="13" t="str">
        <f t="shared" si="96"/>
        <v/>
      </c>
      <c r="I504" s="14" t="str">
        <f t="array" ref="I504">IF(getRGB1(Weekly!D218)="FFFF00","초방","재방")</f>
        <v>초방</v>
      </c>
    </row>
    <row r="505" spans="1:9" ht="11.25" customHeight="1" x14ac:dyDescent="0.3">
      <c r="A505" s="10" t="str">
        <f t="shared" si="93"/>
        <v/>
      </c>
      <c r="B505" s="11">
        <f>Weekly!$D$3</f>
        <v>45916</v>
      </c>
      <c r="C505" s="12">
        <v>0.74652777777777801</v>
      </c>
      <c r="D505" s="13">
        <f>Weekly!D219</f>
        <v>0</v>
      </c>
      <c r="E505" s="13" t="str">
        <f t="shared" si="94"/>
        <v/>
      </c>
      <c r="F505" s="13" t="str">
        <f t="shared" si="97"/>
        <v/>
      </c>
      <c r="G505" s="13" t="str">
        <f t="shared" si="95"/>
        <v/>
      </c>
      <c r="H505" s="13" t="str">
        <f t="shared" si="96"/>
        <v/>
      </c>
      <c r="I505" s="14" t="str">
        <f t="array" ref="I505">IF(getRGB1(Weekly!D219)="FFFF00","초방","재방")</f>
        <v>초방</v>
      </c>
    </row>
    <row r="506" spans="1:9" ht="11.25" customHeight="1" x14ac:dyDescent="0.3">
      <c r="A506" s="10">
        <f t="shared" si="93"/>
        <v>45916.75</v>
      </c>
      <c r="B506" s="11">
        <f>Weekly!$D$3</f>
        <v>45916</v>
      </c>
      <c r="C506" s="12">
        <v>0.75</v>
      </c>
      <c r="D506" s="13" t="str">
        <f>Weekly!D220</f>
        <v>눈에 띄는 그녀들 시즌5
&lt;06</v>
      </c>
      <c r="E506" s="13" t="str">
        <f t="shared" si="94"/>
        <v>눈에 띄는 그녀들 시즌5</v>
      </c>
      <c r="F506" s="13">
        <f t="shared" si="97"/>
        <v>6</v>
      </c>
      <c r="G506" s="13" t="str">
        <f t="shared" si="95"/>
        <v/>
      </c>
      <c r="H506" s="13" t="str">
        <f t="shared" si="96"/>
        <v/>
      </c>
      <c r="I506" s="14" t="str">
        <f t="array" ref="I506">IF(getRGB1(Weekly!D220)="FFFF00","초방","재방")</f>
        <v>초방</v>
      </c>
    </row>
    <row r="507" spans="1:9" ht="11.25" customHeight="1" x14ac:dyDescent="0.3">
      <c r="A507" s="10" t="str">
        <f t="shared" si="93"/>
        <v/>
      </c>
      <c r="B507" s="11">
        <f>Weekly!$D$3</f>
        <v>45916</v>
      </c>
      <c r="C507" s="12">
        <v>0.75347222222222199</v>
      </c>
      <c r="D507" s="13">
        <f>Weekly!D221</f>
        <v>0</v>
      </c>
      <c r="E507" s="13" t="str">
        <f t="shared" si="94"/>
        <v/>
      </c>
      <c r="F507" s="13" t="str">
        <f t="shared" si="97"/>
        <v/>
      </c>
      <c r="G507" s="13" t="str">
        <f t="shared" si="95"/>
        <v/>
      </c>
      <c r="H507" s="13" t="str">
        <f t="shared" si="96"/>
        <v/>
      </c>
      <c r="I507" s="14" t="str">
        <f t="array" ref="I507">IF(getRGB1(Weekly!D221)="FFFF00","초방","재방")</f>
        <v>초방</v>
      </c>
    </row>
    <row r="508" spans="1:9" ht="11.25" customHeight="1" x14ac:dyDescent="0.3">
      <c r="A508" s="10" t="str">
        <f t="shared" si="93"/>
        <v/>
      </c>
      <c r="B508" s="11">
        <f>Weekly!$D$3</f>
        <v>45916</v>
      </c>
      <c r="C508" s="12">
        <v>0.75694444444444398</v>
      </c>
      <c r="D508" s="13">
        <f>Weekly!D222</f>
        <v>0</v>
      </c>
      <c r="E508" s="13" t="str">
        <f t="shared" si="94"/>
        <v/>
      </c>
      <c r="F508" s="13" t="str">
        <f t="shared" si="97"/>
        <v/>
      </c>
      <c r="G508" s="13" t="str">
        <f t="shared" si="95"/>
        <v/>
      </c>
      <c r="H508" s="13" t="str">
        <f t="shared" si="96"/>
        <v/>
      </c>
      <c r="I508" s="14" t="str">
        <f t="array" ref="I508">IF(getRGB1(Weekly!D222)="FFFF00","초방","재방")</f>
        <v>초방</v>
      </c>
    </row>
    <row r="509" spans="1:9" ht="11.25" customHeight="1" x14ac:dyDescent="0.3">
      <c r="A509" s="10" t="str">
        <f t="shared" si="93"/>
        <v/>
      </c>
      <c r="B509" s="11">
        <f>Weekly!$D$3</f>
        <v>45916</v>
      </c>
      <c r="C509" s="12">
        <v>0.76041666666666696</v>
      </c>
      <c r="D509" s="13">
        <f>Weekly!D223</f>
        <v>0</v>
      </c>
      <c r="E509" s="13" t="str">
        <f t="shared" si="94"/>
        <v/>
      </c>
      <c r="F509" s="13" t="str">
        <f t="shared" si="97"/>
        <v/>
      </c>
      <c r="G509" s="13" t="str">
        <f t="shared" si="95"/>
        <v/>
      </c>
      <c r="H509" s="13" t="str">
        <f t="shared" si="96"/>
        <v/>
      </c>
      <c r="I509" s="14" t="str">
        <f t="array" ref="I509">IF(getRGB1(Weekly!D223)="FFFF00","초방","재방")</f>
        <v>초방</v>
      </c>
    </row>
    <row r="510" spans="1:9" ht="11.25" customHeight="1" x14ac:dyDescent="0.3">
      <c r="A510" s="10" t="str">
        <f t="shared" si="93"/>
        <v/>
      </c>
      <c r="B510" s="11">
        <f>Weekly!$D$3</f>
        <v>45916</v>
      </c>
      <c r="C510" s="12">
        <v>0.76388888888888895</v>
      </c>
      <c r="D510" s="13">
        <f>Weekly!D224</f>
        <v>0</v>
      </c>
      <c r="E510" s="13" t="str">
        <f t="shared" si="94"/>
        <v/>
      </c>
      <c r="F510" s="13" t="str">
        <f t="shared" si="97"/>
        <v/>
      </c>
      <c r="G510" s="13" t="str">
        <f t="shared" si="95"/>
        <v/>
      </c>
      <c r="H510" s="13" t="str">
        <f t="shared" si="96"/>
        <v/>
      </c>
      <c r="I510" s="14" t="str">
        <f t="array" ref="I510">IF(getRGB1(Weekly!D224)="FFFF00","초방","재방")</f>
        <v>초방</v>
      </c>
    </row>
    <row r="511" spans="1:9" ht="11.25" customHeight="1" x14ac:dyDescent="0.3">
      <c r="A511" s="10" t="str">
        <f t="shared" si="93"/>
        <v/>
      </c>
      <c r="B511" s="11">
        <f>Weekly!$D$3</f>
        <v>45916</v>
      </c>
      <c r="C511" s="12">
        <v>0.76736111111111105</v>
      </c>
      <c r="D511" s="13">
        <f>Weekly!D225</f>
        <v>0</v>
      </c>
      <c r="E511" s="13" t="str">
        <f t="shared" si="94"/>
        <v/>
      </c>
      <c r="F511" s="13" t="str">
        <f t="shared" si="97"/>
        <v/>
      </c>
      <c r="G511" s="13" t="str">
        <f t="shared" si="95"/>
        <v/>
      </c>
      <c r="H511" s="13" t="str">
        <f t="shared" si="96"/>
        <v/>
      </c>
      <c r="I511" s="14" t="str">
        <f t="array" ref="I511">IF(getRGB1(Weekly!D225)="FFFF00","초방","재방")</f>
        <v>초방</v>
      </c>
    </row>
    <row r="512" spans="1:9" ht="11.25" customHeight="1" x14ac:dyDescent="0.3">
      <c r="A512" s="10">
        <f t="shared" si="93"/>
        <v>45916.770833333336</v>
      </c>
      <c r="B512" s="11">
        <f>Weekly!$D$3</f>
        <v>45916</v>
      </c>
      <c r="C512" s="12">
        <v>0.77083333333333304</v>
      </c>
      <c r="D512" s="13" t="str">
        <f>Weekly!D226</f>
        <v>낭만살롱
&lt;06</v>
      </c>
      <c r="E512" s="13" t="str">
        <f t="shared" si="94"/>
        <v>낭만살롱</v>
      </c>
      <c r="F512" s="13">
        <f t="shared" si="97"/>
        <v>6</v>
      </c>
      <c r="G512" s="13" t="str">
        <f t="shared" si="95"/>
        <v/>
      </c>
      <c r="H512" s="13" t="str">
        <f t="shared" si="96"/>
        <v/>
      </c>
      <c r="I512" s="14" t="str">
        <f t="array" ref="I512">IF(getRGB1(Weekly!D226)="FFFF00","초방","재방")</f>
        <v>재방</v>
      </c>
    </row>
    <row r="513" spans="1:9" ht="11.25" customHeight="1" x14ac:dyDescent="0.3">
      <c r="A513" s="10" t="str">
        <f t="shared" si="93"/>
        <v/>
      </c>
      <c r="B513" s="11">
        <f>Weekly!$D$3</f>
        <v>45916</v>
      </c>
      <c r="C513" s="12">
        <v>0.77430555555555503</v>
      </c>
      <c r="D513" s="13">
        <f>Weekly!D227</f>
        <v>0</v>
      </c>
      <c r="E513" s="13" t="str">
        <f t="shared" si="94"/>
        <v/>
      </c>
      <c r="F513" s="13" t="str">
        <f t="shared" si="97"/>
        <v/>
      </c>
      <c r="G513" s="13" t="str">
        <f t="shared" si="95"/>
        <v/>
      </c>
      <c r="H513" s="13" t="str">
        <f t="shared" si="96"/>
        <v/>
      </c>
      <c r="I513" s="14" t="str">
        <f t="array" ref="I513">IF(getRGB1(Weekly!D227)="FFFF00","초방","재방")</f>
        <v>재방</v>
      </c>
    </row>
    <row r="514" spans="1:9" ht="11.25" customHeight="1" x14ac:dyDescent="0.3">
      <c r="A514" s="10" t="str">
        <f t="shared" ref="A514:A577" si="98">IF(D514&lt;&gt;0,B514+C514,"")</f>
        <v/>
      </c>
      <c r="B514" s="11">
        <f>Weekly!$D$3</f>
        <v>45916</v>
      </c>
      <c r="C514" s="12">
        <v>0.77777777777777801</v>
      </c>
      <c r="D514" s="13">
        <f>Weekly!D228</f>
        <v>0</v>
      </c>
      <c r="E514" s="13" t="str">
        <f t="shared" ref="E514:E577" si="99">IFERROR(SUBSTITUTE(SUBSTITUTE(TRIM(LEFT(D514,FIND("&lt;",D514)-1)),CHAR(10),""),"⑮ ",""),"")</f>
        <v/>
      </c>
      <c r="F514" s="13" t="str">
        <f t="shared" si="97"/>
        <v/>
      </c>
      <c r="G514" s="13" t="str">
        <f t="shared" ref="G514:G577" si="100">IFERROR(MID(D514,FIND("&gt;",D514)+1,10),"")</f>
        <v/>
      </c>
      <c r="H514" s="13" t="str">
        <f t="shared" ref="H514:H577" si="101">IFERROR(VLOOKUP(LEFT(D514,2),$W$1:$X$6,2,0),"")</f>
        <v/>
      </c>
      <c r="I514" s="14" t="str">
        <f t="array" ref="I514">IF(getRGB1(Weekly!D228)="FFFF00","초방","재방")</f>
        <v>재방</v>
      </c>
    </row>
    <row r="515" spans="1:9" ht="11.25" customHeight="1" x14ac:dyDescent="0.3">
      <c r="A515" s="10" t="str">
        <f t="shared" si="98"/>
        <v/>
      </c>
      <c r="B515" s="11">
        <f>Weekly!$D$3</f>
        <v>45916</v>
      </c>
      <c r="C515" s="12">
        <v>0.78125</v>
      </c>
      <c r="D515" s="13">
        <f>Weekly!D229</f>
        <v>0</v>
      </c>
      <c r="E515" s="13" t="str">
        <f t="shared" si="99"/>
        <v/>
      </c>
      <c r="F515" s="13" t="str">
        <f t="shared" ref="F515:F578" si="102">IFERROR((MID(D515,FIND("&lt;",D515)+1,4))*1,"")</f>
        <v/>
      </c>
      <c r="G515" s="13" t="str">
        <f t="shared" si="100"/>
        <v/>
      </c>
      <c r="H515" s="13" t="str">
        <f t="shared" si="101"/>
        <v/>
      </c>
      <c r="I515" s="14" t="str">
        <f t="array" ref="I515">IF(getRGB1(Weekly!D229)="FFFF00","초방","재방")</f>
        <v>재방</v>
      </c>
    </row>
    <row r="516" spans="1:9" ht="11.25" customHeight="1" x14ac:dyDescent="0.3">
      <c r="A516" s="10" t="str">
        <f t="shared" si="98"/>
        <v/>
      </c>
      <c r="B516" s="11">
        <f>Weekly!$D$3</f>
        <v>45916</v>
      </c>
      <c r="C516" s="12">
        <v>0.78472222222222199</v>
      </c>
      <c r="D516" s="13">
        <f>Weekly!D230</f>
        <v>0</v>
      </c>
      <c r="E516" s="13" t="str">
        <f t="shared" si="99"/>
        <v/>
      </c>
      <c r="F516" s="13" t="str">
        <f t="shared" si="102"/>
        <v/>
      </c>
      <c r="G516" s="13" t="str">
        <f t="shared" si="100"/>
        <v/>
      </c>
      <c r="H516" s="13" t="str">
        <f t="shared" si="101"/>
        <v/>
      </c>
      <c r="I516" s="14" t="str">
        <f t="array" ref="I516">IF(getRGB1(Weekly!D230)="FFFF00","초방","재방")</f>
        <v>재방</v>
      </c>
    </row>
    <row r="517" spans="1:9" ht="11.25" customHeight="1" x14ac:dyDescent="0.3">
      <c r="A517" s="10" t="str">
        <f t="shared" si="98"/>
        <v/>
      </c>
      <c r="B517" s="11">
        <f>Weekly!$D$3</f>
        <v>45916</v>
      </c>
      <c r="C517" s="12">
        <v>0.78819444444444398</v>
      </c>
      <c r="D517" s="13">
        <f>Weekly!D231</f>
        <v>0</v>
      </c>
      <c r="E517" s="13" t="str">
        <f t="shared" si="99"/>
        <v/>
      </c>
      <c r="F517" s="13" t="str">
        <f t="shared" si="102"/>
        <v/>
      </c>
      <c r="G517" s="13" t="str">
        <f t="shared" si="100"/>
        <v/>
      </c>
      <c r="H517" s="13" t="str">
        <f t="shared" si="101"/>
        <v/>
      </c>
      <c r="I517" s="14" t="str">
        <f t="array" ref="I517">IF(getRGB1(Weekly!D231)="FFFF00","초방","재방")</f>
        <v>재방</v>
      </c>
    </row>
    <row r="518" spans="1:9" ht="11.25" customHeight="1" x14ac:dyDescent="0.3">
      <c r="A518" s="10">
        <f t="shared" si="98"/>
        <v>45916.791666666664</v>
      </c>
      <c r="B518" s="11">
        <f>Weekly!$D$3</f>
        <v>45916</v>
      </c>
      <c r="C518" s="12">
        <v>0.79166666666666696</v>
      </c>
      <c r="D518" s="13" t="str">
        <f>Weekly!D232</f>
        <v>더 人터뷰
&lt;02</v>
      </c>
      <c r="E518" s="13" t="str">
        <f t="shared" si="99"/>
        <v>더 人터뷰</v>
      </c>
      <c r="F518" s="13">
        <f t="shared" si="102"/>
        <v>2</v>
      </c>
      <c r="G518" s="13" t="str">
        <f t="shared" si="100"/>
        <v/>
      </c>
      <c r="H518" s="13" t="str">
        <f t="shared" si="101"/>
        <v/>
      </c>
      <c r="I518" s="14" t="str">
        <f t="array" ref="I518">IF(getRGB1(Weekly!D232)="FFFF00","초방","재방")</f>
        <v>재방</v>
      </c>
    </row>
    <row r="519" spans="1:9" ht="11.25" customHeight="1" x14ac:dyDescent="0.3">
      <c r="A519" s="10" t="str">
        <f t="shared" si="98"/>
        <v/>
      </c>
      <c r="B519" s="11">
        <f>Weekly!$D$3</f>
        <v>45916</v>
      </c>
      <c r="C519" s="12">
        <v>0.79513888888888895</v>
      </c>
      <c r="D519" s="13">
        <f>Weekly!D233</f>
        <v>0</v>
      </c>
      <c r="E519" s="13" t="str">
        <f t="shared" si="99"/>
        <v/>
      </c>
      <c r="F519" s="13" t="str">
        <f t="shared" si="102"/>
        <v/>
      </c>
      <c r="G519" s="13" t="str">
        <f t="shared" si="100"/>
        <v/>
      </c>
      <c r="H519" s="13" t="str">
        <f t="shared" si="101"/>
        <v/>
      </c>
      <c r="I519" s="14" t="str">
        <f t="array" ref="I519">IF(getRGB1(Weekly!D233)="FFFF00","초방","재방")</f>
        <v>재방</v>
      </c>
    </row>
    <row r="520" spans="1:9" ht="11.25" customHeight="1" x14ac:dyDescent="0.3">
      <c r="A520" s="10" t="str">
        <f t="shared" si="98"/>
        <v/>
      </c>
      <c r="B520" s="11">
        <f>Weekly!$D$3</f>
        <v>45916</v>
      </c>
      <c r="C520" s="12">
        <v>0.79861111111111105</v>
      </c>
      <c r="D520" s="13">
        <f>Weekly!D234</f>
        <v>0</v>
      </c>
      <c r="E520" s="13" t="str">
        <f t="shared" si="99"/>
        <v/>
      </c>
      <c r="F520" s="13" t="str">
        <f t="shared" si="102"/>
        <v/>
      </c>
      <c r="G520" s="13" t="str">
        <f t="shared" si="100"/>
        <v/>
      </c>
      <c r="H520" s="13" t="str">
        <f t="shared" si="101"/>
        <v/>
      </c>
      <c r="I520" s="14" t="str">
        <f t="array" ref="I520">IF(getRGB1(Weekly!D234)="FFFF00","초방","재방")</f>
        <v>재방</v>
      </c>
    </row>
    <row r="521" spans="1:9" ht="11.25" customHeight="1" x14ac:dyDescent="0.3">
      <c r="A521" s="10" t="str">
        <f t="shared" si="98"/>
        <v/>
      </c>
      <c r="B521" s="11">
        <f>Weekly!$D$3</f>
        <v>45916</v>
      </c>
      <c r="C521" s="12">
        <v>0.80208333333333304</v>
      </c>
      <c r="D521" s="13">
        <f>Weekly!D235</f>
        <v>0</v>
      </c>
      <c r="E521" s="13" t="str">
        <f t="shared" si="99"/>
        <v/>
      </c>
      <c r="F521" s="13" t="str">
        <f t="shared" si="102"/>
        <v/>
      </c>
      <c r="G521" s="13" t="str">
        <f t="shared" si="100"/>
        <v/>
      </c>
      <c r="H521" s="13" t="str">
        <f t="shared" si="101"/>
        <v/>
      </c>
      <c r="I521" s="14" t="str">
        <f t="array" ref="I521">IF(getRGB1(Weekly!D235)="FFFF00","초방","재방")</f>
        <v>재방</v>
      </c>
    </row>
    <row r="522" spans="1:9" ht="11.25" customHeight="1" x14ac:dyDescent="0.3">
      <c r="A522" s="10" t="str">
        <f t="shared" si="98"/>
        <v/>
      </c>
      <c r="B522" s="11">
        <f>Weekly!$D$3</f>
        <v>45916</v>
      </c>
      <c r="C522" s="12">
        <v>0.80555555555555503</v>
      </c>
      <c r="D522" s="13">
        <f>Weekly!D236</f>
        <v>0</v>
      </c>
      <c r="E522" s="13" t="str">
        <f t="shared" si="99"/>
        <v/>
      </c>
      <c r="F522" s="13" t="str">
        <f t="shared" si="102"/>
        <v/>
      </c>
      <c r="G522" s="13" t="str">
        <f t="shared" si="100"/>
        <v/>
      </c>
      <c r="H522" s="13" t="str">
        <f t="shared" si="101"/>
        <v/>
      </c>
      <c r="I522" s="14" t="str">
        <f t="array" ref="I522">IF(getRGB1(Weekly!D236)="FFFF00","초방","재방")</f>
        <v>재방</v>
      </c>
    </row>
    <row r="523" spans="1:9" ht="11.25" customHeight="1" x14ac:dyDescent="0.3">
      <c r="A523" s="10" t="str">
        <f t="shared" si="98"/>
        <v/>
      </c>
      <c r="B523" s="11">
        <f>Weekly!$D$3</f>
        <v>45916</v>
      </c>
      <c r="C523" s="12">
        <v>0.80902777777777801</v>
      </c>
      <c r="D523" s="13">
        <f>Weekly!D237</f>
        <v>0</v>
      </c>
      <c r="E523" s="13" t="str">
        <f t="shared" si="99"/>
        <v/>
      </c>
      <c r="F523" s="13" t="str">
        <f t="shared" si="102"/>
        <v/>
      </c>
      <c r="G523" s="13" t="str">
        <f t="shared" si="100"/>
        <v/>
      </c>
      <c r="H523" s="13" t="str">
        <f t="shared" si="101"/>
        <v/>
      </c>
      <c r="I523" s="14" t="str">
        <f t="array" ref="I523">IF(getRGB1(Weekly!D237)="FFFF00","초방","재방")</f>
        <v>재방</v>
      </c>
    </row>
    <row r="524" spans="1:9" ht="11.25" customHeight="1" x14ac:dyDescent="0.3">
      <c r="A524" s="10" t="str">
        <f t="shared" si="98"/>
        <v/>
      </c>
      <c r="B524" s="11">
        <f>Weekly!$D$3</f>
        <v>45916</v>
      </c>
      <c r="C524" s="12">
        <v>0.8125</v>
      </c>
      <c r="D524" s="13">
        <f>Weekly!D238</f>
        <v>0</v>
      </c>
      <c r="E524" s="13" t="str">
        <f t="shared" si="99"/>
        <v/>
      </c>
      <c r="F524" s="13" t="str">
        <f t="shared" si="102"/>
        <v/>
      </c>
      <c r="G524" s="13" t="str">
        <f t="shared" si="100"/>
        <v/>
      </c>
      <c r="H524" s="13" t="str">
        <f t="shared" si="101"/>
        <v/>
      </c>
      <c r="I524" s="14" t="str">
        <f t="array" ref="I524">IF(getRGB1(Weekly!D238)="FFFF00","초방","재방")</f>
        <v>재방</v>
      </c>
    </row>
    <row r="525" spans="1:9" ht="11.25" customHeight="1" x14ac:dyDescent="0.3">
      <c r="A525" s="10" t="str">
        <f t="shared" si="98"/>
        <v/>
      </c>
      <c r="B525" s="11">
        <f>Weekly!$D$3</f>
        <v>45916</v>
      </c>
      <c r="C525" s="12">
        <v>0.81597222222222199</v>
      </c>
      <c r="D525" s="13">
        <f>Weekly!D239</f>
        <v>0</v>
      </c>
      <c r="E525" s="13" t="str">
        <f t="shared" si="99"/>
        <v/>
      </c>
      <c r="F525" s="13" t="str">
        <f t="shared" si="102"/>
        <v/>
      </c>
      <c r="G525" s="13" t="str">
        <f t="shared" si="100"/>
        <v/>
      </c>
      <c r="H525" s="13" t="str">
        <f t="shared" si="101"/>
        <v/>
      </c>
      <c r="I525" s="14" t="str">
        <f t="array" ref="I525">IF(getRGB1(Weekly!D239)="FFFF00","초방","재방")</f>
        <v>재방</v>
      </c>
    </row>
    <row r="526" spans="1:9" ht="11.25" customHeight="1" x14ac:dyDescent="0.3">
      <c r="A526" s="10" t="str">
        <f t="shared" si="98"/>
        <v/>
      </c>
      <c r="B526" s="11">
        <f>Weekly!$D$3</f>
        <v>45916</v>
      </c>
      <c r="C526" s="12">
        <v>0.81944444444444398</v>
      </c>
      <c r="D526" s="13">
        <f>Weekly!D240</f>
        <v>0</v>
      </c>
      <c r="E526" s="13" t="str">
        <f t="shared" si="99"/>
        <v/>
      </c>
      <c r="F526" s="13" t="str">
        <f t="shared" si="102"/>
        <v/>
      </c>
      <c r="G526" s="13" t="str">
        <f t="shared" si="100"/>
        <v/>
      </c>
      <c r="H526" s="13" t="str">
        <f t="shared" si="101"/>
        <v/>
      </c>
      <c r="I526" s="14" t="str">
        <f t="array" ref="I526">IF(getRGB1(Weekly!D240)="FFFF00","초방","재방")</f>
        <v>재방</v>
      </c>
    </row>
    <row r="527" spans="1:9" ht="11.25" customHeight="1" x14ac:dyDescent="0.3">
      <c r="A527" s="10" t="str">
        <f t="shared" si="98"/>
        <v/>
      </c>
      <c r="B527" s="11">
        <f>Weekly!$D$3</f>
        <v>45916</v>
      </c>
      <c r="C527" s="12">
        <v>0.82291666666666696</v>
      </c>
      <c r="D527" s="13">
        <f>Weekly!D241</f>
        <v>0</v>
      </c>
      <c r="E527" s="13" t="str">
        <f t="shared" si="99"/>
        <v/>
      </c>
      <c r="F527" s="13" t="str">
        <f t="shared" si="102"/>
        <v/>
      </c>
      <c r="G527" s="13" t="str">
        <f t="shared" si="100"/>
        <v/>
      </c>
      <c r="H527" s="13" t="str">
        <f t="shared" si="101"/>
        <v/>
      </c>
      <c r="I527" s="14" t="str">
        <f t="array" ref="I527">IF(getRGB1(Weekly!D241)="FFFF00","초방","재방")</f>
        <v>재방</v>
      </c>
    </row>
    <row r="528" spans="1:9" ht="11.25" customHeight="1" x14ac:dyDescent="0.3">
      <c r="A528" s="10" t="str">
        <f t="shared" si="98"/>
        <v/>
      </c>
      <c r="B528" s="11">
        <f>Weekly!$D$3</f>
        <v>45916</v>
      </c>
      <c r="C528" s="12">
        <v>0.82638888888888895</v>
      </c>
      <c r="D528" s="13">
        <f>Weekly!D242</f>
        <v>0</v>
      </c>
      <c r="E528" s="13" t="str">
        <f t="shared" si="99"/>
        <v/>
      </c>
      <c r="F528" s="13" t="str">
        <f t="shared" si="102"/>
        <v/>
      </c>
      <c r="G528" s="13" t="str">
        <f t="shared" si="100"/>
        <v/>
      </c>
      <c r="H528" s="13" t="str">
        <f t="shared" si="101"/>
        <v/>
      </c>
      <c r="I528" s="14" t="str">
        <f t="array" ref="I528">IF(getRGB1(Weekly!D242)="FFFF00","초방","재방")</f>
        <v>재방</v>
      </c>
    </row>
    <row r="529" spans="1:9" ht="11.25" customHeight="1" x14ac:dyDescent="0.3">
      <c r="A529" s="10" t="str">
        <f t="shared" si="98"/>
        <v/>
      </c>
      <c r="B529" s="11">
        <f>Weekly!$D$3</f>
        <v>45916</v>
      </c>
      <c r="C529" s="12">
        <v>0.82986111111111105</v>
      </c>
      <c r="D529" s="13">
        <f>Weekly!D243</f>
        <v>0</v>
      </c>
      <c r="E529" s="13" t="str">
        <f t="shared" si="99"/>
        <v/>
      </c>
      <c r="F529" s="13" t="str">
        <f t="shared" si="102"/>
        <v/>
      </c>
      <c r="G529" s="13" t="str">
        <f t="shared" si="100"/>
        <v/>
      </c>
      <c r="H529" s="13" t="str">
        <f t="shared" si="101"/>
        <v/>
      </c>
      <c r="I529" s="14" t="str">
        <f t="array" ref="I529">IF(getRGB1(Weekly!D243)="FFFF00","초방","재방")</f>
        <v>재방</v>
      </c>
    </row>
    <row r="530" spans="1:9" ht="11.25" customHeight="1" x14ac:dyDescent="0.3">
      <c r="A530" s="10">
        <f t="shared" si="98"/>
        <v>45916.833333333336</v>
      </c>
      <c r="B530" s="11">
        <f>Weekly!$D$3</f>
        <v>45916</v>
      </c>
      <c r="C530" s="12">
        <v>0.83333333333333304</v>
      </c>
      <c r="D530" s="13" t="str">
        <f>Weekly!D244</f>
        <v xml:space="preserve"> NEWSON
&lt;66</v>
      </c>
      <c r="E530" s="13" t="str">
        <f t="shared" si="99"/>
        <v>NEWSON</v>
      </c>
      <c r="F530" s="13">
        <f t="shared" si="102"/>
        <v>66</v>
      </c>
      <c r="G530" s="13" t="str">
        <f t="shared" si="100"/>
        <v/>
      </c>
      <c r="H530" s="13" t="str">
        <f t="shared" si="101"/>
        <v/>
      </c>
      <c r="I530" s="14" t="str">
        <f t="array" ref="I530">IF(getRGB1(Weekly!D244)="FFFF00","초방","재방")</f>
        <v>재방</v>
      </c>
    </row>
    <row r="531" spans="1:9" ht="11.25" customHeight="1" x14ac:dyDescent="0.3">
      <c r="A531" s="10" t="str">
        <f t="shared" si="98"/>
        <v/>
      </c>
      <c r="B531" s="11">
        <f>Weekly!$D$3</f>
        <v>45916</v>
      </c>
      <c r="C531" s="12">
        <v>0.83680555555555503</v>
      </c>
      <c r="D531" s="13">
        <f>Weekly!D245</f>
        <v>0</v>
      </c>
      <c r="E531" s="13" t="str">
        <f t="shared" si="99"/>
        <v/>
      </c>
      <c r="F531" s="13" t="str">
        <f t="shared" si="102"/>
        <v/>
      </c>
      <c r="G531" s="13" t="str">
        <f t="shared" si="100"/>
        <v/>
      </c>
      <c r="H531" s="13" t="str">
        <f t="shared" si="101"/>
        <v/>
      </c>
      <c r="I531" s="14" t="str">
        <f t="array" ref="I531">IF(getRGB1(Weekly!D245)="FFFF00","초방","재방")</f>
        <v>재방</v>
      </c>
    </row>
    <row r="532" spans="1:9" ht="11.25" customHeight="1" x14ac:dyDescent="0.3">
      <c r="A532" s="10" t="str">
        <f t="shared" si="98"/>
        <v/>
      </c>
      <c r="B532" s="11">
        <f>Weekly!$D$3</f>
        <v>45916</v>
      </c>
      <c r="C532" s="12">
        <v>0.84027777777777801</v>
      </c>
      <c r="D532" s="13">
        <f>Weekly!D246</f>
        <v>0</v>
      </c>
      <c r="E532" s="13" t="str">
        <f t="shared" si="99"/>
        <v/>
      </c>
      <c r="F532" s="13" t="str">
        <f t="shared" si="102"/>
        <v/>
      </c>
      <c r="G532" s="13" t="str">
        <f t="shared" si="100"/>
        <v/>
      </c>
      <c r="H532" s="13" t="str">
        <f t="shared" si="101"/>
        <v/>
      </c>
      <c r="I532" s="14" t="str">
        <f t="array" ref="I532">IF(getRGB1(Weekly!D246)="FFFF00","초방","재방")</f>
        <v>재방</v>
      </c>
    </row>
    <row r="533" spans="1:9" ht="11.25" customHeight="1" x14ac:dyDescent="0.3">
      <c r="A533" s="10" t="str">
        <f t="shared" si="98"/>
        <v/>
      </c>
      <c r="B533" s="11">
        <f>Weekly!$D$3</f>
        <v>45916</v>
      </c>
      <c r="C533" s="12">
        <v>0.84375</v>
      </c>
      <c r="D533" s="13">
        <f>Weekly!D247</f>
        <v>0</v>
      </c>
      <c r="E533" s="13" t="str">
        <f t="shared" si="99"/>
        <v/>
      </c>
      <c r="F533" s="13" t="str">
        <f t="shared" si="102"/>
        <v/>
      </c>
      <c r="G533" s="13" t="str">
        <f t="shared" si="100"/>
        <v/>
      </c>
      <c r="H533" s="13" t="str">
        <f t="shared" si="101"/>
        <v/>
      </c>
      <c r="I533" s="14" t="str">
        <f t="array" ref="I533">IF(getRGB1(Weekly!D247)="FFFF00","초방","재방")</f>
        <v>재방</v>
      </c>
    </row>
    <row r="534" spans="1:9" ht="11.25" customHeight="1" x14ac:dyDescent="0.3">
      <c r="A534" s="10" t="str">
        <f t="shared" si="98"/>
        <v/>
      </c>
      <c r="B534" s="11">
        <f>Weekly!$D$3</f>
        <v>45916</v>
      </c>
      <c r="C534" s="12">
        <v>0.84722222222222199</v>
      </c>
      <c r="D534" s="13">
        <f>Weekly!D248</f>
        <v>0</v>
      </c>
      <c r="E534" s="13" t="str">
        <f t="shared" si="99"/>
        <v/>
      </c>
      <c r="F534" s="13" t="str">
        <f t="shared" si="102"/>
        <v/>
      </c>
      <c r="G534" s="13" t="str">
        <f t="shared" si="100"/>
        <v/>
      </c>
      <c r="H534" s="13" t="str">
        <f t="shared" si="101"/>
        <v/>
      </c>
      <c r="I534" s="14" t="str">
        <f t="array" ref="I534">IF(getRGB1(Weekly!D248)="FFFF00","초방","재방")</f>
        <v>재방</v>
      </c>
    </row>
    <row r="535" spans="1:9" ht="11.25" customHeight="1" x14ac:dyDescent="0.3">
      <c r="A535" s="10" t="str">
        <f t="shared" si="98"/>
        <v/>
      </c>
      <c r="B535" s="11">
        <f>Weekly!$D$3</f>
        <v>45916</v>
      </c>
      <c r="C535" s="12">
        <v>0.85069444444444398</v>
      </c>
      <c r="D535" s="13">
        <f>Weekly!D249</f>
        <v>0</v>
      </c>
      <c r="E535" s="13" t="str">
        <f t="shared" si="99"/>
        <v/>
      </c>
      <c r="F535" s="13" t="str">
        <f t="shared" si="102"/>
        <v/>
      </c>
      <c r="G535" s="13" t="str">
        <f t="shared" si="100"/>
        <v/>
      </c>
      <c r="H535" s="13" t="str">
        <f t="shared" si="101"/>
        <v/>
      </c>
      <c r="I535" s="14" t="str">
        <f t="array" ref="I535">IF(getRGB1(Weekly!D249)="FFFF00","초방","재방")</f>
        <v>재방</v>
      </c>
    </row>
    <row r="536" spans="1:9" ht="11.25" customHeight="1" x14ac:dyDescent="0.3">
      <c r="A536" s="10">
        <f t="shared" si="98"/>
        <v>45916.854166666664</v>
      </c>
      <c r="B536" s="11">
        <f>Weekly!$D$3</f>
        <v>45916</v>
      </c>
      <c r="C536" s="12">
        <v>0.85416666666666696</v>
      </c>
      <c r="D536" s="13" t="str">
        <f>Weekly!D250</f>
        <v>우리동네 너튜브
&lt;05</v>
      </c>
      <c r="E536" s="13" t="str">
        <f t="shared" si="99"/>
        <v>우리동네 너튜브</v>
      </c>
      <c r="F536" s="13">
        <f t="shared" si="102"/>
        <v>5</v>
      </c>
      <c r="G536" s="13" t="str">
        <f t="shared" si="100"/>
        <v/>
      </c>
      <c r="H536" s="13" t="str">
        <f t="shared" si="101"/>
        <v/>
      </c>
      <c r="I536" s="14" t="str">
        <f t="array" ref="I536">IF(getRGB1(Weekly!D250)="FFFF00","초방","재방")</f>
        <v>재방</v>
      </c>
    </row>
    <row r="537" spans="1:9" ht="11.25" customHeight="1" x14ac:dyDescent="0.3">
      <c r="A537" s="10" t="str">
        <f t="shared" si="98"/>
        <v/>
      </c>
      <c r="B537" s="11">
        <f>Weekly!$D$3</f>
        <v>45916</v>
      </c>
      <c r="C537" s="12">
        <v>0.85763888888888895</v>
      </c>
      <c r="D537" s="13">
        <f>Weekly!D251</f>
        <v>0</v>
      </c>
      <c r="E537" s="13" t="str">
        <f t="shared" si="99"/>
        <v/>
      </c>
      <c r="F537" s="13" t="str">
        <f t="shared" si="102"/>
        <v/>
      </c>
      <c r="G537" s="13" t="str">
        <f t="shared" si="100"/>
        <v/>
      </c>
      <c r="H537" s="13" t="str">
        <f t="shared" si="101"/>
        <v/>
      </c>
      <c r="I537" s="14" t="str">
        <f t="array" ref="I537">IF(getRGB1(Weekly!D251)="FFFF00","초방","재방")</f>
        <v>재방</v>
      </c>
    </row>
    <row r="538" spans="1:9" ht="11.25" customHeight="1" x14ac:dyDescent="0.3">
      <c r="A538" s="10" t="str">
        <f t="shared" si="98"/>
        <v/>
      </c>
      <c r="B538" s="11">
        <f>Weekly!$D$3</f>
        <v>45916</v>
      </c>
      <c r="C538" s="12">
        <v>0.86111111111111105</v>
      </c>
      <c r="D538" s="13">
        <f>Weekly!D252</f>
        <v>0</v>
      </c>
      <c r="E538" s="13" t="str">
        <f t="shared" si="99"/>
        <v/>
      </c>
      <c r="F538" s="13" t="str">
        <f t="shared" si="102"/>
        <v/>
      </c>
      <c r="G538" s="13" t="str">
        <f t="shared" si="100"/>
        <v/>
      </c>
      <c r="H538" s="13" t="str">
        <f t="shared" si="101"/>
        <v/>
      </c>
      <c r="I538" s="14" t="str">
        <f t="array" ref="I538">IF(getRGB1(Weekly!D252)="FFFF00","초방","재방")</f>
        <v>재방</v>
      </c>
    </row>
    <row r="539" spans="1:9" ht="11.25" customHeight="1" x14ac:dyDescent="0.3">
      <c r="A539" s="10" t="str">
        <f t="shared" si="98"/>
        <v/>
      </c>
      <c r="B539" s="11">
        <f>Weekly!$D$3</f>
        <v>45916</v>
      </c>
      <c r="C539" s="12">
        <v>0.86458333333333304</v>
      </c>
      <c r="D539" s="13">
        <f>Weekly!D253</f>
        <v>0</v>
      </c>
      <c r="E539" s="13" t="str">
        <f t="shared" si="99"/>
        <v/>
      </c>
      <c r="F539" s="13" t="str">
        <f t="shared" si="102"/>
        <v/>
      </c>
      <c r="G539" s="13" t="str">
        <f t="shared" si="100"/>
        <v/>
      </c>
      <c r="H539" s="13" t="str">
        <f t="shared" si="101"/>
        <v/>
      </c>
      <c r="I539" s="14" t="str">
        <f t="array" ref="I539">IF(getRGB1(Weekly!D253)="FFFF00","초방","재방")</f>
        <v>재방</v>
      </c>
    </row>
    <row r="540" spans="1:9" ht="11.25" customHeight="1" x14ac:dyDescent="0.3">
      <c r="A540" s="10" t="str">
        <f t="shared" si="98"/>
        <v/>
      </c>
      <c r="B540" s="11">
        <f>Weekly!$D$3</f>
        <v>45916</v>
      </c>
      <c r="C540" s="12">
        <v>0.86805555555555503</v>
      </c>
      <c r="D540" s="13">
        <f>Weekly!D254</f>
        <v>0</v>
      </c>
      <c r="E540" s="13" t="str">
        <f t="shared" si="99"/>
        <v/>
      </c>
      <c r="F540" s="13" t="str">
        <f t="shared" si="102"/>
        <v/>
      </c>
      <c r="G540" s="13" t="str">
        <f t="shared" si="100"/>
        <v/>
      </c>
      <c r="H540" s="13" t="str">
        <f t="shared" si="101"/>
        <v/>
      </c>
      <c r="I540" s="14" t="str">
        <f t="array" ref="I540">IF(getRGB1(Weekly!D254)="FFFF00","초방","재방")</f>
        <v>재방</v>
      </c>
    </row>
    <row r="541" spans="1:9" ht="11.25" customHeight="1" x14ac:dyDescent="0.3">
      <c r="A541" s="10" t="str">
        <f t="shared" si="98"/>
        <v/>
      </c>
      <c r="B541" s="11">
        <f>Weekly!$D$3</f>
        <v>45916</v>
      </c>
      <c r="C541" s="12">
        <v>0.87152777777777801</v>
      </c>
      <c r="D541" s="13">
        <f>Weekly!D255</f>
        <v>0</v>
      </c>
      <c r="E541" s="13" t="str">
        <f t="shared" si="99"/>
        <v/>
      </c>
      <c r="F541" s="13" t="str">
        <f t="shared" si="102"/>
        <v/>
      </c>
      <c r="G541" s="13" t="str">
        <f t="shared" si="100"/>
        <v/>
      </c>
      <c r="H541" s="13" t="str">
        <f t="shared" si="101"/>
        <v/>
      </c>
      <c r="I541" s="14" t="str">
        <f t="array" ref="I541">IF(getRGB1(Weekly!D255)="FFFF00","초방","재방")</f>
        <v>재방</v>
      </c>
    </row>
    <row r="542" spans="1:9" ht="11.25" customHeight="1" x14ac:dyDescent="0.3">
      <c r="A542" s="10" t="str">
        <f t="shared" si="98"/>
        <v/>
      </c>
      <c r="B542" s="11">
        <f>Weekly!$D$3</f>
        <v>45916</v>
      </c>
      <c r="C542" s="12">
        <v>0.875</v>
      </c>
      <c r="D542" s="13">
        <f>Weekly!D256</f>
        <v>0</v>
      </c>
      <c r="E542" s="13" t="str">
        <f t="shared" si="99"/>
        <v/>
      </c>
      <c r="F542" s="13" t="str">
        <f t="shared" si="102"/>
        <v/>
      </c>
      <c r="G542" s="13" t="str">
        <f t="shared" si="100"/>
        <v/>
      </c>
      <c r="H542" s="13" t="str">
        <f t="shared" si="101"/>
        <v/>
      </c>
      <c r="I542" s="14" t="str">
        <f t="array" ref="I542">IF(getRGB1(Weekly!D256)="FFFF00","초방","재방")</f>
        <v>재방</v>
      </c>
    </row>
    <row r="543" spans="1:9" ht="11.25" customHeight="1" x14ac:dyDescent="0.3">
      <c r="A543" s="10" t="str">
        <f t="shared" si="98"/>
        <v/>
      </c>
      <c r="B543" s="11">
        <f>Weekly!$D$3</f>
        <v>45916</v>
      </c>
      <c r="C543" s="12">
        <v>0.87847222222222199</v>
      </c>
      <c r="D543" s="13">
        <f>Weekly!D257</f>
        <v>0</v>
      </c>
      <c r="E543" s="13" t="str">
        <f t="shared" si="99"/>
        <v/>
      </c>
      <c r="F543" s="13" t="str">
        <f t="shared" si="102"/>
        <v/>
      </c>
      <c r="G543" s="13" t="str">
        <f t="shared" si="100"/>
        <v/>
      </c>
      <c r="H543" s="13" t="str">
        <f t="shared" si="101"/>
        <v/>
      </c>
      <c r="I543" s="14" t="str">
        <f t="array" ref="I543">IF(getRGB1(Weekly!D257)="FFFF00","초방","재방")</f>
        <v>재방</v>
      </c>
    </row>
    <row r="544" spans="1:9" ht="11.25" customHeight="1" x14ac:dyDescent="0.3">
      <c r="A544" s="10" t="str">
        <f t="shared" si="98"/>
        <v/>
      </c>
      <c r="B544" s="11">
        <f>Weekly!$D$3</f>
        <v>45916</v>
      </c>
      <c r="C544" s="12">
        <v>0.88194444444444398</v>
      </c>
      <c r="D544" s="13">
        <f>Weekly!D258</f>
        <v>0</v>
      </c>
      <c r="E544" s="13" t="str">
        <f t="shared" si="99"/>
        <v/>
      </c>
      <c r="F544" s="13" t="str">
        <f t="shared" si="102"/>
        <v/>
      </c>
      <c r="G544" s="13" t="str">
        <f t="shared" si="100"/>
        <v/>
      </c>
      <c r="H544" s="13" t="str">
        <f t="shared" si="101"/>
        <v/>
      </c>
      <c r="I544" s="14" t="str">
        <f t="array" ref="I544">IF(getRGB1(Weekly!D258)="FFFF00","초방","재방")</f>
        <v>재방</v>
      </c>
    </row>
    <row r="545" spans="1:9" ht="11.25" customHeight="1" x14ac:dyDescent="0.3">
      <c r="A545" s="10" t="str">
        <f t="shared" si="98"/>
        <v/>
      </c>
      <c r="B545" s="11">
        <f>Weekly!$D$3</f>
        <v>45916</v>
      </c>
      <c r="C545" s="12">
        <v>0.88541666666666696</v>
      </c>
      <c r="D545" s="13">
        <f>Weekly!D259</f>
        <v>0</v>
      </c>
      <c r="E545" s="13" t="str">
        <f t="shared" si="99"/>
        <v/>
      </c>
      <c r="F545" s="13" t="str">
        <f t="shared" si="102"/>
        <v/>
      </c>
      <c r="G545" s="13" t="str">
        <f t="shared" si="100"/>
        <v/>
      </c>
      <c r="H545" s="13" t="str">
        <f t="shared" si="101"/>
        <v/>
      </c>
      <c r="I545" s="14" t="str">
        <f t="array" ref="I545">IF(getRGB1(Weekly!D259)="FFFF00","초방","재방")</f>
        <v>재방</v>
      </c>
    </row>
    <row r="546" spans="1:9" ht="11.25" customHeight="1" x14ac:dyDescent="0.3">
      <c r="A546" s="10">
        <f t="shared" si="98"/>
        <v>45916.888888888891</v>
      </c>
      <c r="B546" s="11">
        <f>Weekly!$D$3</f>
        <v>45916</v>
      </c>
      <c r="C546" s="12">
        <v>0.88888888888888895</v>
      </c>
      <c r="D546" s="13" t="str">
        <f>Weekly!D260</f>
        <v>낭만살롱
&lt;02</v>
      </c>
      <c r="E546" s="13" t="str">
        <f t="shared" si="99"/>
        <v>낭만살롱</v>
      </c>
      <c r="F546" s="13">
        <f t="shared" si="102"/>
        <v>2</v>
      </c>
      <c r="G546" s="13" t="str">
        <f t="shared" si="100"/>
        <v/>
      </c>
      <c r="H546" s="13" t="str">
        <f t="shared" si="101"/>
        <v/>
      </c>
      <c r="I546" s="14" t="str">
        <f t="array" ref="I546">IF(getRGB1(Weekly!D260)="FFFF00","초방","재방")</f>
        <v>재방</v>
      </c>
    </row>
    <row r="547" spans="1:9" ht="11.25" customHeight="1" x14ac:dyDescent="0.3">
      <c r="A547" s="10" t="str">
        <f t="shared" si="98"/>
        <v/>
      </c>
      <c r="B547" s="11">
        <f>Weekly!$D$3</f>
        <v>45916</v>
      </c>
      <c r="C547" s="12">
        <v>0.89236111111111105</v>
      </c>
      <c r="D547" s="13">
        <f>Weekly!D261</f>
        <v>0</v>
      </c>
      <c r="E547" s="13" t="str">
        <f t="shared" si="99"/>
        <v/>
      </c>
      <c r="F547" s="13" t="str">
        <f t="shared" si="102"/>
        <v/>
      </c>
      <c r="G547" s="13" t="str">
        <f t="shared" si="100"/>
        <v/>
      </c>
      <c r="H547" s="13" t="str">
        <f t="shared" si="101"/>
        <v/>
      </c>
      <c r="I547" s="14" t="str">
        <f t="array" ref="I547">IF(getRGB1(Weekly!D261)="FFFF00","초방","재방")</f>
        <v>재방</v>
      </c>
    </row>
    <row r="548" spans="1:9" ht="11.25" customHeight="1" x14ac:dyDescent="0.3">
      <c r="A548" s="10" t="str">
        <f t="shared" si="98"/>
        <v/>
      </c>
      <c r="B548" s="11">
        <f>Weekly!$D$3</f>
        <v>45916</v>
      </c>
      <c r="C548" s="12">
        <v>0.89583333333333304</v>
      </c>
      <c r="D548" s="13">
        <f>Weekly!D262</f>
        <v>0</v>
      </c>
      <c r="E548" s="13" t="str">
        <f t="shared" si="99"/>
        <v/>
      </c>
      <c r="F548" s="13" t="str">
        <f t="shared" si="102"/>
        <v/>
      </c>
      <c r="G548" s="13" t="str">
        <f t="shared" si="100"/>
        <v/>
      </c>
      <c r="H548" s="13" t="str">
        <f t="shared" si="101"/>
        <v/>
      </c>
      <c r="I548" s="14" t="str">
        <f t="array" ref="I548">IF(getRGB1(Weekly!D262)="FFFF00","초방","재방")</f>
        <v>재방</v>
      </c>
    </row>
    <row r="549" spans="1:9" ht="11.25" customHeight="1" x14ac:dyDescent="0.3">
      <c r="A549" s="10" t="str">
        <f t="shared" si="98"/>
        <v/>
      </c>
      <c r="B549" s="11">
        <f>Weekly!$D$3</f>
        <v>45916</v>
      </c>
      <c r="C549" s="12">
        <v>0.89930555555555503</v>
      </c>
      <c r="D549" s="13">
        <f>Weekly!D263</f>
        <v>0</v>
      </c>
      <c r="E549" s="13" t="str">
        <f t="shared" si="99"/>
        <v/>
      </c>
      <c r="F549" s="13" t="str">
        <f t="shared" si="102"/>
        <v/>
      </c>
      <c r="G549" s="13" t="str">
        <f t="shared" si="100"/>
        <v/>
      </c>
      <c r="H549" s="13" t="str">
        <f t="shared" si="101"/>
        <v/>
      </c>
      <c r="I549" s="14" t="str">
        <f t="array" ref="I549">IF(getRGB1(Weekly!D263)="FFFF00","초방","재방")</f>
        <v>재방</v>
      </c>
    </row>
    <row r="550" spans="1:9" ht="11.25" customHeight="1" x14ac:dyDescent="0.3">
      <c r="A550" s="10" t="str">
        <f t="shared" si="98"/>
        <v/>
      </c>
      <c r="B550" s="11">
        <f>Weekly!$D$3</f>
        <v>45916</v>
      </c>
      <c r="C550" s="12">
        <v>0.90277777777777801</v>
      </c>
      <c r="D550" s="13">
        <f>Weekly!D264</f>
        <v>0</v>
      </c>
      <c r="E550" s="13" t="str">
        <f t="shared" si="99"/>
        <v/>
      </c>
      <c r="F550" s="13" t="str">
        <f t="shared" si="102"/>
        <v/>
      </c>
      <c r="G550" s="13" t="str">
        <f t="shared" si="100"/>
        <v/>
      </c>
      <c r="H550" s="13" t="str">
        <f t="shared" si="101"/>
        <v/>
      </c>
      <c r="I550" s="14" t="str">
        <f t="array" ref="I550">IF(getRGB1(Weekly!D264)="FFFF00","초방","재방")</f>
        <v>재방</v>
      </c>
    </row>
    <row r="551" spans="1:9" ht="11.25" customHeight="1" x14ac:dyDescent="0.3">
      <c r="A551" s="10" t="str">
        <f t="shared" si="98"/>
        <v/>
      </c>
      <c r="B551" s="11">
        <f>Weekly!$D$3</f>
        <v>45916</v>
      </c>
      <c r="C551" s="12">
        <v>0.90625</v>
      </c>
      <c r="D551" s="13">
        <f>Weekly!D265</f>
        <v>0</v>
      </c>
      <c r="E551" s="13" t="str">
        <f t="shared" si="99"/>
        <v/>
      </c>
      <c r="F551" s="13" t="str">
        <f t="shared" si="102"/>
        <v/>
      </c>
      <c r="G551" s="13" t="str">
        <f t="shared" si="100"/>
        <v/>
      </c>
      <c r="H551" s="13" t="str">
        <f t="shared" si="101"/>
        <v/>
      </c>
      <c r="I551" s="14" t="str">
        <f t="array" ref="I551">IF(getRGB1(Weekly!D265)="FFFF00","초방","재방")</f>
        <v>재방</v>
      </c>
    </row>
    <row r="552" spans="1:9" ht="11.25" customHeight="1" x14ac:dyDescent="0.3">
      <c r="A552" s="10" t="str">
        <f t="shared" si="98"/>
        <v/>
      </c>
      <c r="B552" s="11">
        <f>Weekly!$D$3</f>
        <v>45916</v>
      </c>
      <c r="C552" s="12">
        <v>0.90972222222222199</v>
      </c>
      <c r="D552" s="13">
        <f>Weekly!D266</f>
        <v>0</v>
      </c>
      <c r="E552" s="13" t="str">
        <f t="shared" si="99"/>
        <v/>
      </c>
      <c r="F552" s="13" t="str">
        <f t="shared" si="102"/>
        <v/>
      </c>
      <c r="G552" s="13" t="str">
        <f t="shared" si="100"/>
        <v/>
      </c>
      <c r="H552" s="13" t="str">
        <f t="shared" si="101"/>
        <v/>
      </c>
      <c r="I552" s="14" t="str">
        <f t="array" ref="I552">IF(getRGB1(Weekly!D266)="FFFF00","초방","재방")</f>
        <v>재방</v>
      </c>
    </row>
    <row r="553" spans="1:9" ht="11.25" customHeight="1" x14ac:dyDescent="0.3">
      <c r="A553" s="10" t="str">
        <f t="shared" si="98"/>
        <v/>
      </c>
      <c r="B553" s="11">
        <f>Weekly!$D$3</f>
        <v>45916</v>
      </c>
      <c r="C553" s="12">
        <v>0.91319444444444398</v>
      </c>
      <c r="D553" s="13">
        <f>Weekly!D267</f>
        <v>0</v>
      </c>
      <c r="E553" s="13" t="str">
        <f t="shared" si="99"/>
        <v/>
      </c>
      <c r="F553" s="13" t="str">
        <f t="shared" si="102"/>
        <v/>
      </c>
      <c r="G553" s="13" t="str">
        <f t="shared" si="100"/>
        <v/>
      </c>
      <c r="H553" s="13" t="str">
        <f t="shared" si="101"/>
        <v/>
      </c>
      <c r="I553" s="14" t="str">
        <f t="array" ref="I553">IF(getRGB1(Weekly!D267)="FFFF00","초방","재방")</f>
        <v>재방</v>
      </c>
    </row>
    <row r="554" spans="1:9" ht="11.25" customHeight="1" x14ac:dyDescent="0.3">
      <c r="A554" s="10">
        <f t="shared" si="98"/>
        <v>45916.916666666664</v>
      </c>
      <c r="B554" s="11">
        <f>Weekly!$D$3</f>
        <v>45916</v>
      </c>
      <c r="C554" s="12">
        <v>0.91666666666666696</v>
      </c>
      <c r="D554" s="13" t="str">
        <f>Weekly!D268</f>
        <v>특집 2026 지방선거_서울특별시의회 생생중계_본회의
&lt;16</v>
      </c>
      <c r="E554" s="13" t="str">
        <f t="shared" si="99"/>
        <v>특집 2026 지방선거_서울특별시의회 생생중계_본회의</v>
      </c>
      <c r="F554" s="13">
        <f t="shared" si="102"/>
        <v>16</v>
      </c>
      <c r="G554" s="13" t="str">
        <f t="shared" si="100"/>
        <v/>
      </c>
      <c r="H554" s="13" t="str">
        <f t="shared" si="101"/>
        <v/>
      </c>
      <c r="I554" s="14" t="str">
        <f t="array" ref="I554">IF(getRGB1(Weekly!D268)="FFFF00","초방","재방")</f>
        <v>재방</v>
      </c>
    </row>
    <row r="555" spans="1:9" ht="11.25" customHeight="1" x14ac:dyDescent="0.3">
      <c r="A555" s="10" t="str">
        <f t="shared" si="98"/>
        <v/>
      </c>
      <c r="B555" s="11">
        <f>Weekly!$D$3</f>
        <v>45916</v>
      </c>
      <c r="C555" s="12">
        <v>0.92013888888888895</v>
      </c>
      <c r="D555" s="13">
        <f>Weekly!D269</f>
        <v>0</v>
      </c>
      <c r="E555" s="13" t="str">
        <f t="shared" si="99"/>
        <v/>
      </c>
      <c r="F555" s="13" t="str">
        <f t="shared" si="102"/>
        <v/>
      </c>
      <c r="G555" s="13" t="str">
        <f t="shared" si="100"/>
        <v/>
      </c>
      <c r="H555" s="13" t="str">
        <f t="shared" si="101"/>
        <v/>
      </c>
      <c r="I555" s="14" t="str">
        <f t="array" ref="I555">IF(getRGB1(Weekly!D269)="FFFF00","초방","재방")</f>
        <v>재방</v>
      </c>
    </row>
    <row r="556" spans="1:9" ht="11.25" customHeight="1" x14ac:dyDescent="0.3">
      <c r="A556" s="10" t="str">
        <f t="shared" si="98"/>
        <v/>
      </c>
      <c r="B556" s="11">
        <f>Weekly!$D$3</f>
        <v>45916</v>
      </c>
      <c r="C556" s="12">
        <v>0.92361111111111105</v>
      </c>
      <c r="D556" s="13">
        <f>Weekly!D270</f>
        <v>0</v>
      </c>
      <c r="E556" s="13" t="str">
        <f t="shared" si="99"/>
        <v/>
      </c>
      <c r="F556" s="13" t="str">
        <f t="shared" si="102"/>
        <v/>
      </c>
      <c r="G556" s="13" t="str">
        <f t="shared" si="100"/>
        <v/>
      </c>
      <c r="H556" s="13" t="str">
        <f t="shared" si="101"/>
        <v/>
      </c>
      <c r="I556" s="14" t="str">
        <f t="array" ref="I556">IF(getRGB1(Weekly!D270)="FFFF00","초방","재방")</f>
        <v>재방</v>
      </c>
    </row>
    <row r="557" spans="1:9" ht="11.25" customHeight="1" x14ac:dyDescent="0.3">
      <c r="A557" s="10" t="str">
        <f t="shared" si="98"/>
        <v/>
      </c>
      <c r="B557" s="11">
        <f>Weekly!$D$3</f>
        <v>45916</v>
      </c>
      <c r="C557" s="12">
        <v>0.92708333333333304</v>
      </c>
      <c r="D557" s="13">
        <f>Weekly!D271</f>
        <v>0</v>
      </c>
      <c r="E557" s="13" t="str">
        <f t="shared" si="99"/>
        <v/>
      </c>
      <c r="F557" s="13" t="str">
        <f t="shared" si="102"/>
        <v/>
      </c>
      <c r="G557" s="13" t="str">
        <f t="shared" si="100"/>
        <v/>
      </c>
      <c r="H557" s="13" t="str">
        <f t="shared" si="101"/>
        <v/>
      </c>
      <c r="I557" s="14" t="str">
        <f t="array" ref="I557">IF(getRGB1(Weekly!D271)="FFFF00","초방","재방")</f>
        <v>재방</v>
      </c>
    </row>
    <row r="558" spans="1:9" ht="11.25" customHeight="1" x14ac:dyDescent="0.3">
      <c r="A558" s="10" t="str">
        <f t="shared" si="98"/>
        <v/>
      </c>
      <c r="B558" s="11">
        <f>Weekly!$D$3</f>
        <v>45916</v>
      </c>
      <c r="C558" s="12">
        <v>0.93055555555555503</v>
      </c>
      <c r="D558" s="13">
        <f>Weekly!D272</f>
        <v>0</v>
      </c>
      <c r="E558" s="13" t="str">
        <f t="shared" si="99"/>
        <v/>
      </c>
      <c r="F558" s="13" t="str">
        <f t="shared" si="102"/>
        <v/>
      </c>
      <c r="G558" s="13" t="str">
        <f t="shared" si="100"/>
        <v/>
      </c>
      <c r="H558" s="13" t="str">
        <f t="shared" si="101"/>
        <v/>
      </c>
      <c r="I558" s="14" t="str">
        <f t="array" ref="I558">IF(getRGB1(Weekly!D272)="FFFF00","초방","재방")</f>
        <v>재방</v>
      </c>
    </row>
    <row r="559" spans="1:9" ht="11.25" customHeight="1" x14ac:dyDescent="0.3">
      <c r="A559" s="10" t="str">
        <f t="shared" si="98"/>
        <v/>
      </c>
      <c r="B559" s="11">
        <f>Weekly!$D$3</f>
        <v>45916</v>
      </c>
      <c r="C559" s="12">
        <v>0.93402777777777801</v>
      </c>
      <c r="D559" s="13">
        <f>Weekly!D273</f>
        <v>0</v>
      </c>
      <c r="E559" s="13" t="str">
        <f t="shared" si="99"/>
        <v/>
      </c>
      <c r="F559" s="13" t="str">
        <f t="shared" si="102"/>
        <v/>
      </c>
      <c r="G559" s="13" t="str">
        <f t="shared" si="100"/>
        <v/>
      </c>
      <c r="H559" s="13" t="str">
        <f t="shared" si="101"/>
        <v/>
      </c>
      <c r="I559" s="14" t="str">
        <f t="array" ref="I559">IF(getRGB1(Weekly!D273)="FFFF00","초방","재방")</f>
        <v>재방</v>
      </c>
    </row>
    <row r="560" spans="1:9" ht="11.25" customHeight="1" x14ac:dyDescent="0.3">
      <c r="A560" s="10" t="str">
        <f t="shared" si="98"/>
        <v/>
      </c>
      <c r="B560" s="11">
        <f>Weekly!$D$3</f>
        <v>45916</v>
      </c>
      <c r="C560" s="12">
        <v>0.9375</v>
      </c>
      <c r="D560" s="13">
        <f>Weekly!D274</f>
        <v>0</v>
      </c>
      <c r="E560" s="13" t="str">
        <f t="shared" si="99"/>
        <v/>
      </c>
      <c r="F560" s="13" t="str">
        <f t="shared" si="102"/>
        <v/>
      </c>
      <c r="G560" s="13" t="str">
        <f t="shared" si="100"/>
        <v/>
      </c>
      <c r="H560" s="13" t="str">
        <f t="shared" si="101"/>
        <v/>
      </c>
      <c r="I560" s="14" t="str">
        <f t="array" ref="I560">IF(getRGB1(Weekly!D274)="FFFF00","초방","재방")</f>
        <v>재방</v>
      </c>
    </row>
    <row r="561" spans="1:9" ht="11.25" customHeight="1" x14ac:dyDescent="0.3">
      <c r="A561" s="10" t="str">
        <f t="shared" si="98"/>
        <v/>
      </c>
      <c r="B561" s="11">
        <f>Weekly!$D$3</f>
        <v>45916</v>
      </c>
      <c r="C561" s="12">
        <v>0.94097222222222199</v>
      </c>
      <c r="D561" s="13">
        <f>Weekly!D275</f>
        <v>0</v>
      </c>
      <c r="E561" s="13" t="str">
        <f t="shared" si="99"/>
        <v/>
      </c>
      <c r="F561" s="13" t="str">
        <f t="shared" si="102"/>
        <v/>
      </c>
      <c r="G561" s="13" t="str">
        <f t="shared" si="100"/>
        <v/>
      </c>
      <c r="H561" s="13" t="str">
        <f t="shared" si="101"/>
        <v/>
      </c>
      <c r="I561" s="14" t="str">
        <f t="array" ref="I561">IF(getRGB1(Weekly!D275)="FFFF00","초방","재방")</f>
        <v>재방</v>
      </c>
    </row>
    <row r="562" spans="1:9" ht="11.25" customHeight="1" x14ac:dyDescent="0.3">
      <c r="A562" s="10" t="str">
        <f t="shared" si="98"/>
        <v/>
      </c>
      <c r="B562" s="11">
        <f>Weekly!$D$3</f>
        <v>45916</v>
      </c>
      <c r="C562" s="12">
        <v>0.94444444444444398</v>
      </c>
      <c r="D562" s="13">
        <f>Weekly!D276</f>
        <v>0</v>
      </c>
      <c r="E562" s="13" t="str">
        <f t="shared" si="99"/>
        <v/>
      </c>
      <c r="F562" s="13" t="str">
        <f t="shared" si="102"/>
        <v/>
      </c>
      <c r="G562" s="13" t="str">
        <f t="shared" si="100"/>
        <v/>
      </c>
      <c r="H562" s="13" t="str">
        <f t="shared" si="101"/>
        <v/>
      </c>
      <c r="I562" s="14" t="str">
        <f t="array" ref="I562">IF(getRGB1(Weekly!D276)="FFFF00","초방","재방")</f>
        <v>재방</v>
      </c>
    </row>
    <row r="563" spans="1:9" ht="11.25" customHeight="1" x14ac:dyDescent="0.3">
      <c r="A563" s="10" t="str">
        <f t="shared" si="98"/>
        <v/>
      </c>
      <c r="B563" s="11">
        <f>Weekly!$D$3</f>
        <v>45916</v>
      </c>
      <c r="C563" s="12">
        <v>0.94791666666666696</v>
      </c>
      <c r="D563" s="13">
        <f>Weekly!D277</f>
        <v>0</v>
      </c>
      <c r="E563" s="13" t="str">
        <f t="shared" si="99"/>
        <v/>
      </c>
      <c r="F563" s="13" t="str">
        <f t="shared" si="102"/>
        <v/>
      </c>
      <c r="G563" s="13" t="str">
        <f t="shared" si="100"/>
        <v/>
      </c>
      <c r="H563" s="13" t="str">
        <f t="shared" si="101"/>
        <v/>
      </c>
      <c r="I563" s="14" t="str">
        <f t="array" ref="I563">IF(getRGB1(Weekly!D277)="FFFF00","초방","재방")</f>
        <v>재방</v>
      </c>
    </row>
    <row r="564" spans="1:9" ht="11.25" customHeight="1" x14ac:dyDescent="0.3">
      <c r="A564" s="10" t="str">
        <f t="shared" si="98"/>
        <v/>
      </c>
      <c r="B564" s="11">
        <f>Weekly!$D$3</f>
        <v>45916</v>
      </c>
      <c r="C564" s="12">
        <v>0.95138888888888895</v>
      </c>
      <c r="D564" s="13">
        <f>Weekly!D278</f>
        <v>0</v>
      </c>
      <c r="E564" s="13" t="str">
        <f t="shared" si="99"/>
        <v/>
      </c>
      <c r="F564" s="13" t="str">
        <f t="shared" si="102"/>
        <v/>
      </c>
      <c r="G564" s="13" t="str">
        <f t="shared" si="100"/>
        <v/>
      </c>
      <c r="H564" s="13" t="str">
        <f t="shared" si="101"/>
        <v/>
      </c>
      <c r="I564" s="14" t="str">
        <f t="array" ref="I564">IF(getRGB1(Weekly!D278)="FFFF00","초방","재방")</f>
        <v>재방</v>
      </c>
    </row>
    <row r="565" spans="1:9" ht="11.25" customHeight="1" x14ac:dyDescent="0.3">
      <c r="A565" s="10" t="str">
        <f t="shared" si="98"/>
        <v/>
      </c>
      <c r="B565" s="11">
        <f>Weekly!$D$3</f>
        <v>45916</v>
      </c>
      <c r="C565" s="12">
        <v>0.95486111111111105</v>
      </c>
      <c r="D565" s="13">
        <f>Weekly!D279</f>
        <v>0</v>
      </c>
      <c r="E565" s="13" t="str">
        <f t="shared" si="99"/>
        <v/>
      </c>
      <c r="F565" s="13" t="str">
        <f t="shared" si="102"/>
        <v/>
      </c>
      <c r="G565" s="13" t="str">
        <f t="shared" si="100"/>
        <v/>
      </c>
      <c r="H565" s="13" t="str">
        <f t="shared" si="101"/>
        <v/>
      </c>
      <c r="I565" s="14" t="str">
        <f t="array" ref="I565">IF(getRGB1(Weekly!D279)="FFFF00","초방","재방")</f>
        <v>재방</v>
      </c>
    </row>
    <row r="566" spans="1:9" ht="11.25" customHeight="1" x14ac:dyDescent="0.3">
      <c r="A566" s="10">
        <f t="shared" si="98"/>
        <v>45916.958333333336</v>
      </c>
      <c r="B566" s="11">
        <f>Weekly!$D$3</f>
        <v>45916</v>
      </c>
      <c r="C566" s="12">
        <v>0.95833333333333304</v>
      </c>
      <c r="D566" s="13" t="str">
        <f>Weekly!D280</f>
        <v>특집 2026 지방선거_서울특별시의회 생생중계_상임위
&lt;16</v>
      </c>
      <c r="E566" s="13" t="str">
        <f t="shared" si="99"/>
        <v>특집 2026 지방선거_서울특별시의회 생생중계_상임위</v>
      </c>
      <c r="F566" s="13">
        <f t="shared" si="102"/>
        <v>16</v>
      </c>
      <c r="G566" s="13" t="str">
        <f t="shared" si="100"/>
        <v/>
      </c>
      <c r="H566" s="13" t="str">
        <f t="shared" si="101"/>
        <v/>
      </c>
      <c r="I566" s="14" t="str">
        <f t="array" ref="I566">IF(getRGB1(Weekly!D280)="FFFF00","초방","재방")</f>
        <v>재방</v>
      </c>
    </row>
    <row r="567" spans="1:9" ht="11.25" customHeight="1" x14ac:dyDescent="0.3">
      <c r="A567" s="10" t="str">
        <f t="shared" si="98"/>
        <v/>
      </c>
      <c r="B567" s="11">
        <f>Weekly!$D$3</f>
        <v>45916</v>
      </c>
      <c r="C567" s="12">
        <v>0.96180555555555503</v>
      </c>
      <c r="D567" s="13">
        <f>Weekly!D281</f>
        <v>0</v>
      </c>
      <c r="E567" s="13" t="str">
        <f t="shared" si="99"/>
        <v/>
      </c>
      <c r="F567" s="13" t="str">
        <f t="shared" si="102"/>
        <v/>
      </c>
      <c r="G567" s="13" t="str">
        <f t="shared" si="100"/>
        <v/>
      </c>
      <c r="H567" s="13" t="str">
        <f t="shared" si="101"/>
        <v/>
      </c>
      <c r="I567" s="14" t="str">
        <f t="array" ref="I567">IF(getRGB1(Weekly!D281)="FFFF00","초방","재방")</f>
        <v>재방</v>
      </c>
    </row>
    <row r="568" spans="1:9" ht="11.25" customHeight="1" x14ac:dyDescent="0.3">
      <c r="A568" s="10" t="str">
        <f t="shared" si="98"/>
        <v/>
      </c>
      <c r="B568" s="11">
        <f>Weekly!$D$3</f>
        <v>45916</v>
      </c>
      <c r="C568" s="12">
        <v>0.96527777777777801</v>
      </c>
      <c r="D568" s="13">
        <f>Weekly!D282</f>
        <v>0</v>
      </c>
      <c r="E568" s="13" t="str">
        <f t="shared" si="99"/>
        <v/>
      </c>
      <c r="F568" s="13" t="str">
        <f t="shared" si="102"/>
        <v/>
      </c>
      <c r="G568" s="13" t="str">
        <f t="shared" si="100"/>
        <v/>
      </c>
      <c r="H568" s="13" t="str">
        <f t="shared" si="101"/>
        <v/>
      </c>
      <c r="I568" s="14" t="str">
        <f t="array" ref="I568">IF(getRGB1(Weekly!D282)="FFFF00","초방","재방")</f>
        <v>재방</v>
      </c>
    </row>
    <row r="569" spans="1:9" ht="11.25" customHeight="1" x14ac:dyDescent="0.3">
      <c r="A569" s="10" t="str">
        <f t="shared" si="98"/>
        <v/>
      </c>
      <c r="B569" s="11">
        <f>Weekly!$D$3</f>
        <v>45916</v>
      </c>
      <c r="C569" s="12">
        <v>0.96875</v>
      </c>
      <c r="D569" s="13">
        <f>Weekly!D283</f>
        <v>0</v>
      </c>
      <c r="E569" s="13" t="str">
        <f t="shared" si="99"/>
        <v/>
      </c>
      <c r="F569" s="13" t="str">
        <f t="shared" si="102"/>
        <v/>
      </c>
      <c r="G569" s="13" t="str">
        <f t="shared" si="100"/>
        <v/>
      </c>
      <c r="H569" s="13" t="str">
        <f t="shared" si="101"/>
        <v/>
      </c>
      <c r="I569" s="14" t="str">
        <f t="array" ref="I569">IF(getRGB1(Weekly!D283)="FFFF00","초방","재방")</f>
        <v>재방</v>
      </c>
    </row>
    <row r="570" spans="1:9" ht="11.25" customHeight="1" x14ac:dyDescent="0.3">
      <c r="A570" s="10" t="str">
        <f t="shared" si="98"/>
        <v/>
      </c>
      <c r="B570" s="11">
        <f>Weekly!$D$3</f>
        <v>45916</v>
      </c>
      <c r="C570" s="12">
        <v>0.97222222222222199</v>
      </c>
      <c r="D570" s="13">
        <f>Weekly!D284</f>
        <v>0</v>
      </c>
      <c r="E570" s="13" t="str">
        <f t="shared" si="99"/>
        <v/>
      </c>
      <c r="F570" s="13" t="str">
        <f t="shared" si="102"/>
        <v/>
      </c>
      <c r="G570" s="13" t="str">
        <f t="shared" si="100"/>
        <v/>
      </c>
      <c r="H570" s="13" t="str">
        <f t="shared" si="101"/>
        <v/>
      </c>
      <c r="I570" s="14" t="str">
        <f t="array" ref="I570">IF(getRGB1(Weekly!D284)="FFFF00","초방","재방")</f>
        <v>재방</v>
      </c>
    </row>
    <row r="571" spans="1:9" ht="11.25" customHeight="1" x14ac:dyDescent="0.3">
      <c r="A571" s="10" t="str">
        <f t="shared" si="98"/>
        <v/>
      </c>
      <c r="B571" s="11">
        <f>Weekly!$D$3</f>
        <v>45916</v>
      </c>
      <c r="C571" s="12">
        <v>0.97569444444444398</v>
      </c>
      <c r="D571" s="13">
        <f>Weekly!D285</f>
        <v>0</v>
      </c>
      <c r="E571" s="13" t="str">
        <f t="shared" si="99"/>
        <v/>
      </c>
      <c r="F571" s="13" t="str">
        <f t="shared" si="102"/>
        <v/>
      </c>
      <c r="G571" s="13" t="str">
        <f t="shared" si="100"/>
        <v/>
      </c>
      <c r="H571" s="13" t="str">
        <f t="shared" si="101"/>
        <v/>
      </c>
      <c r="I571" s="14" t="str">
        <f t="array" ref="I571">IF(getRGB1(Weekly!D285)="FFFF00","초방","재방")</f>
        <v>재방</v>
      </c>
    </row>
    <row r="572" spans="1:9" ht="11.25" customHeight="1" x14ac:dyDescent="0.3">
      <c r="A572" s="10" t="str">
        <f t="shared" si="98"/>
        <v/>
      </c>
      <c r="B572" s="11">
        <f>Weekly!$D$3</f>
        <v>45916</v>
      </c>
      <c r="C572" s="12">
        <v>0.97916666666666696</v>
      </c>
      <c r="D572" s="13">
        <f>Weekly!D286</f>
        <v>0</v>
      </c>
      <c r="E572" s="13" t="str">
        <f t="shared" si="99"/>
        <v/>
      </c>
      <c r="F572" s="13" t="str">
        <f t="shared" si="102"/>
        <v/>
      </c>
      <c r="G572" s="13" t="str">
        <f t="shared" si="100"/>
        <v/>
      </c>
      <c r="H572" s="13" t="str">
        <f t="shared" si="101"/>
        <v/>
      </c>
      <c r="I572" s="14" t="str">
        <f t="array" ref="I572">IF(getRGB1(Weekly!D286)="FFFF00","초방","재방")</f>
        <v>재방</v>
      </c>
    </row>
    <row r="573" spans="1:9" ht="11.25" customHeight="1" x14ac:dyDescent="0.3">
      <c r="A573" s="10" t="str">
        <f t="shared" si="98"/>
        <v/>
      </c>
      <c r="B573" s="11">
        <f>Weekly!$D$3</f>
        <v>45916</v>
      </c>
      <c r="C573" s="12">
        <v>0.98263888888888895</v>
      </c>
      <c r="D573" s="13">
        <f>Weekly!D287</f>
        <v>0</v>
      </c>
      <c r="E573" s="13" t="str">
        <f t="shared" si="99"/>
        <v/>
      </c>
      <c r="F573" s="13" t="str">
        <f t="shared" si="102"/>
        <v/>
      </c>
      <c r="G573" s="13" t="str">
        <f t="shared" si="100"/>
        <v/>
      </c>
      <c r="H573" s="13" t="str">
        <f t="shared" si="101"/>
        <v/>
      </c>
      <c r="I573" s="14" t="str">
        <f t="array" ref="I573">IF(getRGB1(Weekly!D287)="FFFF00","초방","재방")</f>
        <v>재방</v>
      </c>
    </row>
    <row r="574" spans="1:9" ht="11.25" customHeight="1" x14ac:dyDescent="0.3">
      <c r="A574" s="10" t="str">
        <f t="shared" si="98"/>
        <v/>
      </c>
      <c r="B574" s="11">
        <f>Weekly!$D$3</f>
        <v>45916</v>
      </c>
      <c r="C574" s="12">
        <v>0.98611111111111105</v>
      </c>
      <c r="D574" s="13">
        <f>Weekly!D288</f>
        <v>0</v>
      </c>
      <c r="E574" s="13" t="str">
        <f t="shared" si="99"/>
        <v/>
      </c>
      <c r="F574" s="13" t="str">
        <f t="shared" si="102"/>
        <v/>
      </c>
      <c r="G574" s="13" t="str">
        <f t="shared" si="100"/>
        <v/>
      </c>
      <c r="H574" s="13" t="str">
        <f t="shared" si="101"/>
        <v/>
      </c>
      <c r="I574" s="14" t="str">
        <f t="array" ref="I574">IF(getRGB1(Weekly!D288)="FFFF00","초방","재방")</f>
        <v>재방</v>
      </c>
    </row>
    <row r="575" spans="1:9" ht="11.25" customHeight="1" x14ac:dyDescent="0.3">
      <c r="A575" s="10" t="str">
        <f t="shared" si="98"/>
        <v/>
      </c>
      <c r="B575" s="11">
        <f>Weekly!$D$3</f>
        <v>45916</v>
      </c>
      <c r="C575" s="12">
        <v>0.98958333333333304</v>
      </c>
      <c r="D575" s="13">
        <f>Weekly!D289</f>
        <v>0</v>
      </c>
      <c r="E575" s="13" t="str">
        <f t="shared" si="99"/>
        <v/>
      </c>
      <c r="F575" s="13" t="str">
        <f t="shared" si="102"/>
        <v/>
      </c>
      <c r="G575" s="13" t="str">
        <f t="shared" si="100"/>
        <v/>
      </c>
      <c r="H575" s="13" t="str">
        <f t="shared" si="101"/>
        <v/>
      </c>
      <c r="I575" s="14" t="str">
        <f t="array" ref="I575">IF(getRGB1(Weekly!D289)="FFFF00","초방","재방")</f>
        <v>재방</v>
      </c>
    </row>
    <row r="576" spans="1:9" ht="11.25" customHeight="1" x14ac:dyDescent="0.3">
      <c r="A576" s="10" t="str">
        <f t="shared" si="98"/>
        <v/>
      </c>
      <c r="B576" s="11">
        <f>Weekly!$D$3</f>
        <v>45916</v>
      </c>
      <c r="C576" s="12">
        <v>0.99305555555555503</v>
      </c>
      <c r="D576" s="13">
        <f>Weekly!D290</f>
        <v>0</v>
      </c>
      <c r="E576" s="13" t="str">
        <f t="shared" si="99"/>
        <v/>
      </c>
      <c r="F576" s="13" t="str">
        <f t="shared" si="102"/>
        <v/>
      </c>
      <c r="G576" s="13" t="str">
        <f t="shared" si="100"/>
        <v/>
      </c>
      <c r="H576" s="13" t="str">
        <f t="shared" si="101"/>
        <v/>
      </c>
      <c r="I576" s="14" t="str">
        <f t="array" ref="I576">IF(getRGB1(Weekly!D290)="FFFF00","초방","재방")</f>
        <v>재방</v>
      </c>
    </row>
    <row r="577" spans="1:9" ht="11.25" customHeight="1" x14ac:dyDescent="0.3">
      <c r="A577" s="10" t="str">
        <f t="shared" si="98"/>
        <v/>
      </c>
      <c r="B577" s="11">
        <f>Weekly!$D$3</f>
        <v>45916</v>
      </c>
      <c r="C577" s="12">
        <v>0.99652777777777801</v>
      </c>
      <c r="D577" s="13">
        <f>Weekly!D291</f>
        <v>0</v>
      </c>
      <c r="E577" s="13" t="str">
        <f t="shared" si="99"/>
        <v/>
      </c>
      <c r="F577" s="13" t="str">
        <f t="shared" si="102"/>
        <v/>
      </c>
      <c r="G577" s="13" t="str">
        <f t="shared" si="100"/>
        <v/>
      </c>
      <c r="H577" s="13" t="str">
        <f t="shared" si="101"/>
        <v/>
      </c>
      <c r="I577" s="14" t="str">
        <f t="array" ref="I577">IF(getRGB1(Weekly!D291)="FFFF00","초방","재방")</f>
        <v>재방</v>
      </c>
    </row>
    <row r="578" spans="1:9" ht="11.25" customHeight="1" x14ac:dyDescent="0.3">
      <c r="A578" s="10">
        <f t="shared" ref="A578:A641" si="103">IF(D578&lt;&gt;0,B578+C578,"")</f>
        <v>45917</v>
      </c>
      <c r="B578" s="11">
        <f>Weekly!$E$3</f>
        <v>45917</v>
      </c>
      <c r="C578" s="12">
        <v>0</v>
      </c>
      <c r="D578" s="13" t="str">
        <f>Weekly!E4</f>
        <v>특집 2026 지방선거_경기도의회 생생중계_본회의
&lt;15</v>
      </c>
      <c r="E578" s="13" t="str">
        <f t="shared" ref="E578:E641" si="104">IFERROR(SUBSTITUTE(SUBSTITUTE(TRIM(LEFT(D578,FIND("&lt;",D578)-1)),CHAR(10),""),"⑮ ",""),"")</f>
        <v>특집 2026 지방선거_경기도의회 생생중계_본회의</v>
      </c>
      <c r="F578" s="13">
        <f t="shared" si="102"/>
        <v>15</v>
      </c>
      <c r="G578" s="13" t="str">
        <f t="shared" ref="G578:G641" si="105">IFERROR(MID(D578,FIND("&gt;",D578)+1,10),"")</f>
        <v/>
      </c>
      <c r="H578" s="13" t="str">
        <f t="shared" ref="H578:H641" si="106">IFERROR(VLOOKUP(LEFT(D578,2),$W$1:$X$6,2,0),"")</f>
        <v/>
      </c>
      <c r="I578" s="14" t="e">
        <f t="array" aca="1" ref="I578" ca="1">IF(getRGB1(Weekly!E4)="FFFF00","초방","재방")</f>
        <v>#NAME?</v>
      </c>
    </row>
    <row r="579" spans="1:9" ht="11.25" customHeight="1" x14ac:dyDescent="0.3">
      <c r="A579" s="10" t="str">
        <f t="shared" si="103"/>
        <v/>
      </c>
      <c r="B579" s="11">
        <f>Weekly!$E$3</f>
        <v>45917</v>
      </c>
      <c r="C579" s="12">
        <v>3.472222222222222E-3</v>
      </c>
      <c r="D579" s="13">
        <f>Weekly!E5</f>
        <v>0</v>
      </c>
      <c r="E579" s="13" t="str">
        <f t="shared" si="104"/>
        <v/>
      </c>
      <c r="F579" s="13" t="str">
        <f t="shared" ref="F579:F642" si="107">IFERROR((MID(D579,FIND("&lt;",D579)+1,4))*1,"")</f>
        <v/>
      </c>
      <c r="G579" s="13" t="str">
        <f t="shared" si="105"/>
        <v/>
      </c>
      <c r="H579" s="13" t="str">
        <f t="shared" si="106"/>
        <v/>
      </c>
      <c r="I579" s="14" t="e">
        <f t="array" aca="1" ref="I579" ca="1">IF(getRGB1(Weekly!E5)="FFFF00","초방","재방")</f>
        <v>#NAME?</v>
      </c>
    </row>
    <row r="580" spans="1:9" ht="11.25" customHeight="1" x14ac:dyDescent="0.3">
      <c r="A580" s="10" t="str">
        <f t="shared" si="103"/>
        <v/>
      </c>
      <c r="B580" s="11">
        <f>Weekly!$E$3</f>
        <v>45917</v>
      </c>
      <c r="C580" s="12">
        <v>6.9444444444444397E-3</v>
      </c>
      <c r="D580" s="13">
        <f>Weekly!E6</f>
        <v>0</v>
      </c>
      <c r="E580" s="13" t="str">
        <f t="shared" si="104"/>
        <v/>
      </c>
      <c r="F580" s="13" t="str">
        <f t="shared" si="107"/>
        <v/>
      </c>
      <c r="G580" s="13" t="str">
        <f t="shared" si="105"/>
        <v/>
      </c>
      <c r="H580" s="13" t="str">
        <f t="shared" si="106"/>
        <v/>
      </c>
      <c r="I580" s="14" t="e">
        <f t="array" aca="1" ref="I580" ca="1">IF(getRGB1(Weekly!E6)="FFFF00","초방","재방")</f>
        <v>#NAME?</v>
      </c>
    </row>
    <row r="581" spans="1:9" ht="11.25" customHeight="1" x14ac:dyDescent="0.3">
      <c r="A581" s="10" t="str">
        <f t="shared" si="103"/>
        <v/>
      </c>
      <c r="B581" s="11">
        <f>Weekly!$E$3</f>
        <v>45917</v>
      </c>
      <c r="C581" s="12">
        <v>1.0416666666666701E-2</v>
      </c>
      <c r="D581" s="13">
        <f>Weekly!E7</f>
        <v>0</v>
      </c>
      <c r="E581" s="13" t="str">
        <f t="shared" si="104"/>
        <v/>
      </c>
      <c r="F581" s="13" t="str">
        <f t="shared" si="107"/>
        <v/>
      </c>
      <c r="G581" s="13" t="str">
        <f t="shared" si="105"/>
        <v/>
      </c>
      <c r="H581" s="13" t="str">
        <f t="shared" si="106"/>
        <v/>
      </c>
      <c r="I581" s="14" t="e">
        <f t="array" aca="1" ref="I581" ca="1">IF(getRGB1(Weekly!E7)="FFFF00","초방","재방")</f>
        <v>#NAME?</v>
      </c>
    </row>
    <row r="582" spans="1:9" ht="11.25" customHeight="1" x14ac:dyDescent="0.3">
      <c r="A582" s="10" t="str">
        <f t="shared" si="103"/>
        <v/>
      </c>
      <c r="B582" s="11">
        <f>Weekly!$E$3</f>
        <v>45917</v>
      </c>
      <c r="C582" s="12">
        <v>1.38888888888889E-2</v>
      </c>
      <c r="D582" s="13">
        <f>Weekly!E8</f>
        <v>0</v>
      </c>
      <c r="E582" s="13" t="str">
        <f t="shared" si="104"/>
        <v/>
      </c>
      <c r="F582" s="13" t="str">
        <f t="shared" si="107"/>
        <v/>
      </c>
      <c r="G582" s="13" t="str">
        <f t="shared" si="105"/>
        <v/>
      </c>
      <c r="H582" s="13" t="str">
        <f t="shared" si="106"/>
        <v/>
      </c>
      <c r="I582" s="14" t="e">
        <f t="array" aca="1" ref="I582" ca="1">IF(getRGB1(Weekly!E8)="FFFF00","초방","재방")</f>
        <v>#NAME?</v>
      </c>
    </row>
    <row r="583" spans="1:9" ht="11.25" customHeight="1" x14ac:dyDescent="0.3">
      <c r="A583" s="10" t="str">
        <f t="shared" si="103"/>
        <v/>
      </c>
      <c r="B583" s="11">
        <f>Weekly!$E$3</f>
        <v>45917</v>
      </c>
      <c r="C583" s="12">
        <v>1.7361111111111101E-2</v>
      </c>
      <c r="D583" s="13">
        <f>Weekly!E9</f>
        <v>0</v>
      </c>
      <c r="E583" s="13" t="str">
        <f t="shared" si="104"/>
        <v/>
      </c>
      <c r="F583" s="13" t="str">
        <f t="shared" si="107"/>
        <v/>
      </c>
      <c r="G583" s="13" t="str">
        <f t="shared" si="105"/>
        <v/>
      </c>
      <c r="H583" s="13" t="str">
        <f t="shared" si="106"/>
        <v/>
      </c>
      <c r="I583" s="14" t="e">
        <f t="array" aca="1" ref="I583" ca="1">IF(getRGB1(Weekly!E9)="FFFF00","초방","재방")</f>
        <v>#NAME?</v>
      </c>
    </row>
    <row r="584" spans="1:9" ht="11.25" customHeight="1" x14ac:dyDescent="0.3">
      <c r="A584" s="10" t="str">
        <f t="shared" si="103"/>
        <v/>
      </c>
      <c r="B584" s="11">
        <f>Weekly!$E$3</f>
        <v>45917</v>
      </c>
      <c r="C584" s="12">
        <v>2.0833333333333301E-2</v>
      </c>
      <c r="D584" s="13">
        <f>Weekly!E10</f>
        <v>0</v>
      </c>
      <c r="E584" s="13" t="str">
        <f t="shared" si="104"/>
        <v/>
      </c>
      <c r="F584" s="13" t="str">
        <f t="shared" si="107"/>
        <v/>
      </c>
      <c r="G584" s="13" t="str">
        <f t="shared" si="105"/>
        <v/>
      </c>
      <c r="H584" s="13" t="str">
        <f t="shared" si="106"/>
        <v/>
      </c>
      <c r="I584" s="14" t="e">
        <f t="array" aca="1" ref="I584" ca="1">IF(getRGB1(Weekly!E10)="FFFF00","초방","재방")</f>
        <v>#NAME?</v>
      </c>
    </row>
    <row r="585" spans="1:9" ht="11.25" customHeight="1" x14ac:dyDescent="0.3">
      <c r="A585" s="10" t="str">
        <f t="shared" si="103"/>
        <v/>
      </c>
      <c r="B585" s="11">
        <f>Weekly!$E$3</f>
        <v>45917</v>
      </c>
      <c r="C585" s="12">
        <v>2.4305555555555601E-2</v>
      </c>
      <c r="D585" s="13">
        <f>Weekly!E11</f>
        <v>0</v>
      </c>
      <c r="E585" s="13" t="str">
        <f t="shared" si="104"/>
        <v/>
      </c>
      <c r="F585" s="13" t="str">
        <f t="shared" si="107"/>
        <v/>
      </c>
      <c r="G585" s="13" t="str">
        <f t="shared" si="105"/>
        <v/>
      </c>
      <c r="H585" s="13" t="str">
        <f t="shared" si="106"/>
        <v/>
      </c>
      <c r="I585" s="14" t="e">
        <f t="array" aca="1" ref="I585" ca="1">IF(getRGB1(Weekly!E11)="FFFF00","초방","재방")</f>
        <v>#NAME?</v>
      </c>
    </row>
    <row r="586" spans="1:9" ht="11.25" customHeight="1" x14ac:dyDescent="0.3">
      <c r="A586" s="10" t="str">
        <f t="shared" si="103"/>
        <v/>
      </c>
      <c r="B586" s="11">
        <f>Weekly!$E$3</f>
        <v>45917</v>
      </c>
      <c r="C586" s="12">
        <v>2.7777777777777801E-2</v>
      </c>
      <c r="D586" s="13">
        <f>Weekly!E12</f>
        <v>0</v>
      </c>
      <c r="E586" s="13" t="str">
        <f t="shared" si="104"/>
        <v/>
      </c>
      <c r="F586" s="13" t="str">
        <f t="shared" si="107"/>
        <v/>
      </c>
      <c r="G586" s="13" t="str">
        <f t="shared" si="105"/>
        <v/>
      </c>
      <c r="H586" s="13" t="str">
        <f t="shared" si="106"/>
        <v/>
      </c>
      <c r="I586" s="14" t="e">
        <f t="array" aca="1" ref="I586" ca="1">IF(getRGB1(Weekly!E12)="FFFF00","초방","재방")</f>
        <v>#NAME?</v>
      </c>
    </row>
    <row r="587" spans="1:9" ht="11.25" customHeight="1" x14ac:dyDescent="0.3">
      <c r="A587" s="10" t="str">
        <f t="shared" si="103"/>
        <v/>
      </c>
      <c r="B587" s="11">
        <f>Weekly!$E$3</f>
        <v>45917</v>
      </c>
      <c r="C587" s="12">
        <v>3.125E-2</v>
      </c>
      <c r="D587" s="13">
        <f>Weekly!E13</f>
        <v>0</v>
      </c>
      <c r="E587" s="13" t="str">
        <f t="shared" si="104"/>
        <v/>
      </c>
      <c r="F587" s="13" t="str">
        <f t="shared" si="107"/>
        <v/>
      </c>
      <c r="G587" s="13" t="str">
        <f t="shared" si="105"/>
        <v/>
      </c>
      <c r="H587" s="13" t="str">
        <f t="shared" si="106"/>
        <v/>
      </c>
      <c r="I587" s="14" t="e">
        <f t="array" aca="1" ref="I587" ca="1">IF(getRGB1(Weekly!E13)="FFFF00","초방","재방")</f>
        <v>#NAME?</v>
      </c>
    </row>
    <row r="588" spans="1:9" ht="11.25" customHeight="1" x14ac:dyDescent="0.3">
      <c r="A588" s="10" t="str">
        <f t="shared" si="103"/>
        <v/>
      </c>
      <c r="B588" s="11">
        <f>Weekly!$E$3</f>
        <v>45917</v>
      </c>
      <c r="C588" s="12">
        <v>3.4722222222222203E-2</v>
      </c>
      <c r="D588" s="13">
        <f>Weekly!E14</f>
        <v>0</v>
      </c>
      <c r="E588" s="13" t="str">
        <f t="shared" si="104"/>
        <v/>
      </c>
      <c r="F588" s="13" t="str">
        <f t="shared" si="107"/>
        <v/>
      </c>
      <c r="G588" s="13" t="str">
        <f t="shared" si="105"/>
        <v/>
      </c>
      <c r="H588" s="13" t="str">
        <f t="shared" si="106"/>
        <v/>
      </c>
      <c r="I588" s="14" t="e">
        <f t="array" aca="1" ref="I588" ca="1">IF(getRGB1(Weekly!E14)="FFFF00","초방","재방")</f>
        <v>#NAME?</v>
      </c>
    </row>
    <row r="589" spans="1:9" ht="11.25" customHeight="1" x14ac:dyDescent="0.3">
      <c r="A589" s="10" t="str">
        <f t="shared" si="103"/>
        <v/>
      </c>
      <c r="B589" s="11">
        <f>Weekly!$E$3</f>
        <v>45917</v>
      </c>
      <c r="C589" s="12">
        <v>3.8194444444444399E-2</v>
      </c>
      <c r="D589" s="13">
        <f>Weekly!E15</f>
        <v>0</v>
      </c>
      <c r="E589" s="13" t="str">
        <f t="shared" si="104"/>
        <v/>
      </c>
      <c r="F589" s="13" t="str">
        <f t="shared" si="107"/>
        <v/>
      </c>
      <c r="G589" s="13" t="str">
        <f t="shared" si="105"/>
        <v/>
      </c>
      <c r="H589" s="13" t="str">
        <f t="shared" si="106"/>
        <v/>
      </c>
      <c r="I589" s="14" t="e">
        <f t="array" aca="1" ref="I589" ca="1">IF(getRGB1(Weekly!E15)="FFFF00","초방","재방")</f>
        <v>#NAME?</v>
      </c>
    </row>
    <row r="590" spans="1:9" ht="11.25" customHeight="1" x14ac:dyDescent="0.3">
      <c r="A590" s="10">
        <f t="shared" si="103"/>
        <v>45917.041666666664</v>
      </c>
      <c r="B590" s="11">
        <f>Weekly!$E$3</f>
        <v>45917</v>
      </c>
      <c r="C590" s="12">
        <v>4.1666666666666699E-2</v>
      </c>
      <c r="D590" s="13" t="str">
        <f>Weekly!E16</f>
        <v>특집 2026 지방선거_경기도의회 생생중계_상임위
&lt;15</v>
      </c>
      <c r="E590" s="13" t="str">
        <f t="shared" si="104"/>
        <v>특집 2026 지방선거_경기도의회 생생중계_상임위</v>
      </c>
      <c r="F590" s="13">
        <f t="shared" si="107"/>
        <v>15</v>
      </c>
      <c r="G590" s="13" t="str">
        <f t="shared" si="105"/>
        <v/>
      </c>
      <c r="H590" s="13" t="str">
        <f t="shared" si="106"/>
        <v/>
      </c>
      <c r="I590" s="14" t="e">
        <f t="array" aca="1" ref="I590" ca="1">IF(getRGB1(Weekly!E16)="FFFF00","초방","재방")</f>
        <v>#NAME?</v>
      </c>
    </row>
    <row r="591" spans="1:9" ht="11.25" customHeight="1" x14ac:dyDescent="0.3">
      <c r="A591" s="10" t="str">
        <f t="shared" si="103"/>
        <v/>
      </c>
      <c r="B591" s="11">
        <f>Weekly!$E$3</f>
        <v>45917</v>
      </c>
      <c r="C591" s="12">
        <v>4.5138888888888902E-2</v>
      </c>
      <c r="D591" s="13">
        <f>Weekly!E17</f>
        <v>0</v>
      </c>
      <c r="E591" s="13" t="str">
        <f t="shared" si="104"/>
        <v/>
      </c>
      <c r="F591" s="13" t="str">
        <f t="shared" si="107"/>
        <v/>
      </c>
      <c r="G591" s="13" t="str">
        <f t="shared" si="105"/>
        <v/>
      </c>
      <c r="H591" s="13" t="str">
        <f t="shared" si="106"/>
        <v/>
      </c>
      <c r="I591" s="14" t="e">
        <f t="array" aca="1" ref="I591" ca="1">IF(getRGB1(Weekly!E17)="FFFF00","초방","재방")</f>
        <v>#NAME?</v>
      </c>
    </row>
    <row r="592" spans="1:9" ht="11.25" customHeight="1" x14ac:dyDescent="0.3">
      <c r="A592" s="10" t="str">
        <f t="shared" si="103"/>
        <v/>
      </c>
      <c r="B592" s="11">
        <f>Weekly!$E$3</f>
        <v>45917</v>
      </c>
      <c r="C592" s="12">
        <v>4.8611111111111098E-2</v>
      </c>
      <c r="D592" s="13">
        <f>Weekly!E18</f>
        <v>0</v>
      </c>
      <c r="E592" s="13" t="str">
        <f t="shared" si="104"/>
        <v/>
      </c>
      <c r="F592" s="13" t="str">
        <f t="shared" si="107"/>
        <v/>
      </c>
      <c r="G592" s="13" t="str">
        <f t="shared" si="105"/>
        <v/>
      </c>
      <c r="H592" s="13" t="str">
        <f t="shared" si="106"/>
        <v/>
      </c>
      <c r="I592" s="14" t="e">
        <f t="array" aca="1" ref="I592" ca="1">IF(getRGB1(Weekly!E18)="FFFF00","초방","재방")</f>
        <v>#NAME?</v>
      </c>
    </row>
    <row r="593" spans="1:9" ht="11.25" customHeight="1" x14ac:dyDescent="0.3">
      <c r="A593" s="10" t="str">
        <f t="shared" si="103"/>
        <v/>
      </c>
      <c r="B593" s="11">
        <f>Weekly!$E$3</f>
        <v>45917</v>
      </c>
      <c r="C593" s="12">
        <v>5.2083333333333301E-2</v>
      </c>
      <c r="D593" s="13">
        <f>Weekly!E19</f>
        <v>0</v>
      </c>
      <c r="E593" s="13" t="str">
        <f t="shared" si="104"/>
        <v/>
      </c>
      <c r="F593" s="13" t="str">
        <f t="shared" si="107"/>
        <v/>
      </c>
      <c r="G593" s="13" t="str">
        <f t="shared" si="105"/>
        <v/>
      </c>
      <c r="H593" s="13" t="str">
        <f t="shared" si="106"/>
        <v/>
      </c>
      <c r="I593" s="14" t="e">
        <f t="array" aca="1" ref="I593" ca="1">IF(getRGB1(Weekly!E19)="FFFF00","초방","재방")</f>
        <v>#NAME?</v>
      </c>
    </row>
    <row r="594" spans="1:9" ht="11.25" customHeight="1" x14ac:dyDescent="0.3">
      <c r="A594" s="10" t="str">
        <f t="shared" si="103"/>
        <v/>
      </c>
      <c r="B594" s="11">
        <f>Weekly!$E$3</f>
        <v>45917</v>
      </c>
      <c r="C594" s="12">
        <v>5.5555555555555601E-2</v>
      </c>
      <c r="D594" s="13">
        <f>Weekly!E20</f>
        <v>0</v>
      </c>
      <c r="E594" s="13" t="str">
        <f t="shared" si="104"/>
        <v/>
      </c>
      <c r="F594" s="13" t="str">
        <f t="shared" si="107"/>
        <v/>
      </c>
      <c r="G594" s="13" t="str">
        <f t="shared" si="105"/>
        <v/>
      </c>
      <c r="H594" s="13" t="str">
        <f t="shared" si="106"/>
        <v/>
      </c>
      <c r="I594" s="14" t="e">
        <f t="array" aca="1" ref="I594" ca="1">IF(getRGB1(Weekly!E20)="FFFF00","초방","재방")</f>
        <v>#NAME?</v>
      </c>
    </row>
    <row r="595" spans="1:9" ht="11.25" customHeight="1" x14ac:dyDescent="0.3">
      <c r="A595" s="10" t="str">
        <f t="shared" si="103"/>
        <v/>
      </c>
      <c r="B595" s="11">
        <f>Weekly!$E$3</f>
        <v>45917</v>
      </c>
      <c r="C595" s="12">
        <v>5.9027777777777797E-2</v>
      </c>
      <c r="D595" s="13">
        <f>Weekly!E21</f>
        <v>0</v>
      </c>
      <c r="E595" s="13" t="str">
        <f t="shared" si="104"/>
        <v/>
      </c>
      <c r="F595" s="13" t="str">
        <f t="shared" si="107"/>
        <v/>
      </c>
      <c r="G595" s="13" t="str">
        <f t="shared" si="105"/>
        <v/>
      </c>
      <c r="H595" s="13" t="str">
        <f t="shared" si="106"/>
        <v/>
      </c>
      <c r="I595" s="14" t="e">
        <f t="array" aca="1" ref="I595" ca="1">IF(getRGB1(Weekly!E21)="FFFF00","초방","재방")</f>
        <v>#NAME?</v>
      </c>
    </row>
    <row r="596" spans="1:9" ht="11.25" customHeight="1" x14ac:dyDescent="0.3">
      <c r="A596" s="10" t="str">
        <f t="shared" si="103"/>
        <v/>
      </c>
      <c r="B596" s="11">
        <f>Weekly!$E$3</f>
        <v>45917</v>
      </c>
      <c r="C596" s="12">
        <v>6.25E-2</v>
      </c>
      <c r="D596" s="13">
        <f>Weekly!E22</f>
        <v>0</v>
      </c>
      <c r="E596" s="13" t="str">
        <f t="shared" si="104"/>
        <v/>
      </c>
      <c r="F596" s="13" t="str">
        <f t="shared" si="107"/>
        <v/>
      </c>
      <c r="G596" s="13" t="str">
        <f t="shared" si="105"/>
        <v/>
      </c>
      <c r="H596" s="13" t="str">
        <f t="shared" si="106"/>
        <v/>
      </c>
      <c r="I596" s="14" t="e">
        <f t="array" aca="1" ref="I596" ca="1">IF(getRGB1(Weekly!E22)="FFFF00","초방","재방")</f>
        <v>#NAME?</v>
      </c>
    </row>
    <row r="597" spans="1:9" ht="11.25" customHeight="1" x14ac:dyDescent="0.3">
      <c r="A597" s="10" t="str">
        <f t="shared" si="103"/>
        <v/>
      </c>
      <c r="B597" s="11">
        <f>Weekly!$E$3</f>
        <v>45917</v>
      </c>
      <c r="C597" s="12">
        <v>6.5972222222222196E-2</v>
      </c>
      <c r="D597" s="13">
        <f>Weekly!E23</f>
        <v>0</v>
      </c>
      <c r="E597" s="13" t="str">
        <f t="shared" si="104"/>
        <v/>
      </c>
      <c r="F597" s="13" t="str">
        <f t="shared" si="107"/>
        <v/>
      </c>
      <c r="G597" s="13" t="str">
        <f t="shared" si="105"/>
        <v/>
      </c>
      <c r="H597" s="13" t="str">
        <f t="shared" si="106"/>
        <v/>
      </c>
      <c r="I597" s="14" t="e">
        <f t="array" aca="1" ref="I597" ca="1">IF(getRGB1(Weekly!E23)="FFFF00","초방","재방")</f>
        <v>#NAME?</v>
      </c>
    </row>
    <row r="598" spans="1:9" ht="11.25" customHeight="1" x14ac:dyDescent="0.3">
      <c r="A598" s="10" t="str">
        <f t="shared" si="103"/>
        <v/>
      </c>
      <c r="B598" s="11">
        <f>Weekly!$E$3</f>
        <v>45917</v>
      </c>
      <c r="C598" s="12">
        <v>6.9444444444444406E-2</v>
      </c>
      <c r="D598" s="13">
        <f>Weekly!E24</f>
        <v>0</v>
      </c>
      <c r="E598" s="13" t="str">
        <f t="shared" si="104"/>
        <v/>
      </c>
      <c r="F598" s="13" t="str">
        <f t="shared" si="107"/>
        <v/>
      </c>
      <c r="G598" s="13" t="str">
        <f t="shared" si="105"/>
        <v/>
      </c>
      <c r="H598" s="13" t="str">
        <f t="shared" si="106"/>
        <v/>
      </c>
      <c r="I598" s="14" t="e">
        <f t="array" aca="1" ref="I598" ca="1">IF(getRGB1(Weekly!E24)="FFFF00","초방","재방")</f>
        <v>#NAME?</v>
      </c>
    </row>
    <row r="599" spans="1:9" ht="11.25" customHeight="1" x14ac:dyDescent="0.3">
      <c r="A599" s="10" t="str">
        <f t="shared" si="103"/>
        <v/>
      </c>
      <c r="B599" s="11">
        <f>Weekly!$E$3</f>
        <v>45917</v>
      </c>
      <c r="C599" s="12">
        <v>7.2916666666666699E-2</v>
      </c>
      <c r="D599" s="13">
        <f>Weekly!E25</f>
        <v>0</v>
      </c>
      <c r="E599" s="13" t="str">
        <f t="shared" si="104"/>
        <v/>
      </c>
      <c r="F599" s="13" t="str">
        <f t="shared" si="107"/>
        <v/>
      </c>
      <c r="G599" s="13" t="str">
        <f t="shared" si="105"/>
        <v/>
      </c>
      <c r="H599" s="13" t="str">
        <f t="shared" si="106"/>
        <v/>
      </c>
      <c r="I599" s="14" t="e">
        <f t="array" aca="1" ref="I599" ca="1">IF(getRGB1(Weekly!E25)="FFFF00","초방","재방")</f>
        <v>#NAME?</v>
      </c>
    </row>
    <row r="600" spans="1:9" ht="11.25" customHeight="1" x14ac:dyDescent="0.3">
      <c r="A600" s="10" t="str">
        <f t="shared" si="103"/>
        <v/>
      </c>
      <c r="B600" s="11">
        <f>Weekly!$E$3</f>
        <v>45917</v>
      </c>
      <c r="C600" s="12">
        <v>7.6388888888888895E-2</v>
      </c>
      <c r="D600" s="13">
        <f>Weekly!E26</f>
        <v>0</v>
      </c>
      <c r="E600" s="13" t="str">
        <f t="shared" si="104"/>
        <v/>
      </c>
      <c r="F600" s="13" t="str">
        <f t="shared" si="107"/>
        <v/>
      </c>
      <c r="G600" s="13" t="str">
        <f t="shared" si="105"/>
        <v/>
      </c>
      <c r="H600" s="13" t="str">
        <f t="shared" si="106"/>
        <v/>
      </c>
      <c r="I600" s="14" t="e">
        <f t="array" aca="1" ref="I600" ca="1">IF(getRGB1(Weekly!E26)="FFFF00","초방","재방")</f>
        <v>#NAME?</v>
      </c>
    </row>
    <row r="601" spans="1:9" ht="11.25" customHeight="1" x14ac:dyDescent="0.3">
      <c r="A601" s="10" t="str">
        <f t="shared" si="103"/>
        <v/>
      </c>
      <c r="B601" s="11">
        <f>Weekly!$E$3</f>
        <v>45917</v>
      </c>
      <c r="C601" s="12">
        <v>7.9861111111111105E-2</v>
      </c>
      <c r="D601" s="13">
        <f>Weekly!E27</f>
        <v>0</v>
      </c>
      <c r="E601" s="13" t="str">
        <f t="shared" si="104"/>
        <v/>
      </c>
      <c r="F601" s="13" t="str">
        <f t="shared" si="107"/>
        <v/>
      </c>
      <c r="G601" s="13" t="str">
        <f t="shared" si="105"/>
        <v/>
      </c>
      <c r="H601" s="13" t="str">
        <f t="shared" si="106"/>
        <v/>
      </c>
      <c r="I601" s="14" t="e">
        <f t="array" aca="1" ref="I601" ca="1">IF(getRGB1(Weekly!E27)="FFFF00","초방","재방")</f>
        <v>#NAME?</v>
      </c>
    </row>
    <row r="602" spans="1:9" ht="11.25" customHeight="1" x14ac:dyDescent="0.3">
      <c r="A602" s="10">
        <f t="shared" si="103"/>
        <v>45917.083333333336</v>
      </c>
      <c r="B602" s="11">
        <f>Weekly!$E$3</f>
        <v>45917</v>
      </c>
      <c r="C602" s="12">
        <v>8.3333333333333301E-2</v>
      </c>
      <c r="D602" s="13" t="str">
        <f>Weekly!E28</f>
        <v>휴먼다큐 시장사람들
&lt;17</v>
      </c>
      <c r="E602" s="13" t="str">
        <f t="shared" si="104"/>
        <v>휴먼다큐 시장사람들</v>
      </c>
      <c r="F602" s="13">
        <f t="shared" si="107"/>
        <v>17</v>
      </c>
      <c r="G602" s="13" t="str">
        <f t="shared" si="105"/>
        <v/>
      </c>
      <c r="H602" s="13" t="str">
        <f t="shared" si="106"/>
        <v/>
      </c>
      <c r="I602" s="14" t="str">
        <f t="array" ref="I602">IF(getRGB1(Weekly!E28)="FFFF00","초방","재방")</f>
        <v>재방</v>
      </c>
    </row>
    <row r="603" spans="1:9" ht="11.25" customHeight="1" x14ac:dyDescent="0.3">
      <c r="A603" s="10" t="str">
        <f t="shared" si="103"/>
        <v/>
      </c>
      <c r="B603" s="11">
        <f>Weekly!$E$3</f>
        <v>45917</v>
      </c>
      <c r="C603" s="12">
        <v>8.6805555555555594E-2</v>
      </c>
      <c r="D603" s="13">
        <f>Weekly!E29</f>
        <v>0</v>
      </c>
      <c r="E603" s="13" t="str">
        <f t="shared" si="104"/>
        <v/>
      </c>
      <c r="F603" s="13" t="str">
        <f t="shared" si="107"/>
        <v/>
      </c>
      <c r="G603" s="13" t="str">
        <f t="shared" si="105"/>
        <v/>
      </c>
      <c r="H603" s="13" t="str">
        <f t="shared" si="106"/>
        <v/>
      </c>
      <c r="I603" s="14" t="str">
        <f t="array" ref="I603">IF(getRGB1(Weekly!E29)="FFFF00","초방","재방")</f>
        <v>재방</v>
      </c>
    </row>
    <row r="604" spans="1:9" ht="11.25" customHeight="1" x14ac:dyDescent="0.3">
      <c r="A604" s="10" t="str">
        <f t="shared" si="103"/>
        <v/>
      </c>
      <c r="B604" s="11">
        <f>Weekly!$E$3</f>
        <v>45917</v>
      </c>
      <c r="C604" s="12">
        <v>9.0277777777777804E-2</v>
      </c>
      <c r="D604" s="13">
        <f>Weekly!E30</f>
        <v>0</v>
      </c>
      <c r="E604" s="13" t="str">
        <f t="shared" si="104"/>
        <v/>
      </c>
      <c r="F604" s="13" t="str">
        <f t="shared" si="107"/>
        <v/>
      </c>
      <c r="G604" s="13" t="str">
        <f t="shared" si="105"/>
        <v/>
      </c>
      <c r="H604" s="13" t="str">
        <f t="shared" si="106"/>
        <v/>
      </c>
      <c r="I604" s="14" t="str">
        <f t="array" ref="I604">IF(getRGB1(Weekly!E30)="FFFF00","초방","재방")</f>
        <v>재방</v>
      </c>
    </row>
    <row r="605" spans="1:9" ht="11.25" customHeight="1" x14ac:dyDescent="0.3">
      <c r="A605" s="10" t="str">
        <f t="shared" si="103"/>
        <v/>
      </c>
      <c r="B605" s="11">
        <f>Weekly!$E$3</f>
        <v>45917</v>
      </c>
      <c r="C605" s="12">
        <v>9.375E-2</v>
      </c>
      <c r="D605" s="13">
        <f>Weekly!E31</f>
        <v>0</v>
      </c>
      <c r="E605" s="13" t="str">
        <f t="shared" si="104"/>
        <v/>
      </c>
      <c r="F605" s="13" t="str">
        <f t="shared" si="107"/>
        <v/>
      </c>
      <c r="G605" s="13" t="str">
        <f t="shared" si="105"/>
        <v/>
      </c>
      <c r="H605" s="13" t="str">
        <f t="shared" si="106"/>
        <v/>
      </c>
      <c r="I605" s="14" t="str">
        <f t="array" ref="I605">IF(getRGB1(Weekly!E31)="FFFF00","초방","재방")</f>
        <v>재방</v>
      </c>
    </row>
    <row r="606" spans="1:9" ht="11.25" customHeight="1" x14ac:dyDescent="0.3">
      <c r="A606" s="10" t="str">
        <f t="shared" si="103"/>
        <v/>
      </c>
      <c r="B606" s="11">
        <f>Weekly!$E$3</f>
        <v>45917</v>
      </c>
      <c r="C606" s="12">
        <v>9.7222222222222196E-2</v>
      </c>
      <c r="D606" s="13">
        <f>Weekly!E32</f>
        <v>0</v>
      </c>
      <c r="E606" s="13" t="str">
        <f t="shared" si="104"/>
        <v/>
      </c>
      <c r="F606" s="13" t="str">
        <f t="shared" si="107"/>
        <v/>
      </c>
      <c r="G606" s="13" t="str">
        <f t="shared" si="105"/>
        <v/>
      </c>
      <c r="H606" s="13" t="str">
        <f t="shared" si="106"/>
        <v/>
      </c>
      <c r="I606" s="14" t="str">
        <f t="array" ref="I606">IF(getRGB1(Weekly!E32)="FFFF00","초방","재방")</f>
        <v>재방</v>
      </c>
    </row>
    <row r="607" spans="1:9" ht="11.25" customHeight="1" x14ac:dyDescent="0.3">
      <c r="A607" s="10" t="str">
        <f t="shared" si="103"/>
        <v/>
      </c>
      <c r="B607" s="11">
        <f>Weekly!$E$3</f>
        <v>45917</v>
      </c>
      <c r="C607" s="12">
        <v>0.100694444444444</v>
      </c>
      <c r="D607" s="13">
        <f>Weekly!E33</f>
        <v>0</v>
      </c>
      <c r="E607" s="13" t="str">
        <f t="shared" si="104"/>
        <v/>
      </c>
      <c r="F607" s="13" t="str">
        <f t="shared" si="107"/>
        <v/>
      </c>
      <c r="G607" s="13" t="str">
        <f t="shared" si="105"/>
        <v/>
      </c>
      <c r="H607" s="13" t="str">
        <f t="shared" si="106"/>
        <v/>
      </c>
      <c r="I607" s="14" t="str">
        <f t="array" ref="I607">IF(getRGB1(Weekly!E33)="FFFF00","초방","재방")</f>
        <v>재방</v>
      </c>
    </row>
    <row r="608" spans="1:9" ht="11.25" customHeight="1" x14ac:dyDescent="0.3">
      <c r="A608" s="10" t="str">
        <f t="shared" si="103"/>
        <v/>
      </c>
      <c r="B608" s="11">
        <f>Weekly!$E$3</f>
        <v>45917</v>
      </c>
      <c r="C608" s="12">
        <v>0.104166666666667</v>
      </c>
      <c r="D608" s="13">
        <f>Weekly!E34</f>
        <v>0</v>
      </c>
      <c r="E608" s="13" t="str">
        <f t="shared" si="104"/>
        <v/>
      </c>
      <c r="F608" s="13" t="str">
        <f t="shared" si="107"/>
        <v/>
      </c>
      <c r="G608" s="13" t="str">
        <f t="shared" si="105"/>
        <v/>
      </c>
      <c r="H608" s="13" t="str">
        <f t="shared" si="106"/>
        <v/>
      </c>
      <c r="I608" s="14" t="str">
        <f t="array" ref="I608">IF(getRGB1(Weekly!E34)="FFFF00","초방","재방")</f>
        <v>재방</v>
      </c>
    </row>
    <row r="609" spans="1:9" ht="11.25" customHeight="1" x14ac:dyDescent="0.3">
      <c r="A609" s="10" t="str">
        <f t="shared" si="103"/>
        <v/>
      </c>
      <c r="B609" s="11">
        <f>Weekly!$E$3</f>
        <v>45917</v>
      </c>
      <c r="C609" s="12">
        <v>0.10763888888888901</v>
      </c>
      <c r="D609" s="13">
        <f>Weekly!E35</f>
        <v>0</v>
      </c>
      <c r="E609" s="13" t="str">
        <f t="shared" si="104"/>
        <v/>
      </c>
      <c r="F609" s="13" t="str">
        <f t="shared" si="107"/>
        <v/>
      </c>
      <c r="G609" s="13" t="str">
        <f t="shared" si="105"/>
        <v/>
      </c>
      <c r="H609" s="13" t="str">
        <f t="shared" si="106"/>
        <v/>
      </c>
      <c r="I609" s="14" t="str">
        <f t="array" ref="I609">IF(getRGB1(Weekly!E35)="FFFF00","초방","재방")</f>
        <v>재방</v>
      </c>
    </row>
    <row r="610" spans="1:9" ht="11.25" customHeight="1" x14ac:dyDescent="0.3">
      <c r="A610" s="10">
        <f t="shared" si="103"/>
        <v>45917.111111111109</v>
      </c>
      <c r="B610" s="11">
        <f>Weekly!$E$3</f>
        <v>45917</v>
      </c>
      <c r="C610" s="12">
        <v>0.11111111111111099</v>
      </c>
      <c r="D610" s="13" t="str">
        <f>Weekly!E36</f>
        <v>최선규의 이제는 지방시대 시즌2
&lt;06</v>
      </c>
      <c r="E610" s="13" t="str">
        <f t="shared" si="104"/>
        <v>최선규의 이제는 지방시대 시즌2</v>
      </c>
      <c r="F610" s="13">
        <f t="shared" si="107"/>
        <v>6</v>
      </c>
      <c r="G610" s="13" t="str">
        <f t="shared" si="105"/>
        <v/>
      </c>
      <c r="H610" s="13" t="str">
        <f t="shared" si="106"/>
        <v/>
      </c>
      <c r="I610" s="14" t="str">
        <f t="array" ref="I610">IF(getRGB1(Weekly!E36)="FFFF00","초방","재방")</f>
        <v>재방</v>
      </c>
    </row>
    <row r="611" spans="1:9" ht="11.25" customHeight="1" x14ac:dyDescent="0.3">
      <c r="A611" s="10" t="str">
        <f t="shared" si="103"/>
        <v/>
      </c>
      <c r="B611" s="11">
        <f>Weekly!$E$3</f>
        <v>45917</v>
      </c>
      <c r="C611" s="12">
        <v>0.114583333333333</v>
      </c>
      <c r="D611" s="13">
        <f>Weekly!E37</f>
        <v>0</v>
      </c>
      <c r="E611" s="13" t="str">
        <f t="shared" si="104"/>
        <v/>
      </c>
      <c r="F611" s="13" t="str">
        <f t="shared" si="107"/>
        <v/>
      </c>
      <c r="G611" s="13" t="str">
        <f t="shared" si="105"/>
        <v/>
      </c>
      <c r="H611" s="13" t="str">
        <f t="shared" si="106"/>
        <v/>
      </c>
      <c r="I611" s="14" t="str">
        <f t="array" ref="I611">IF(getRGB1(Weekly!E37)="FFFF00","초방","재방")</f>
        <v>재방</v>
      </c>
    </row>
    <row r="612" spans="1:9" ht="11.25" customHeight="1" x14ac:dyDescent="0.3">
      <c r="A612" s="10" t="str">
        <f t="shared" si="103"/>
        <v/>
      </c>
      <c r="B612" s="11">
        <f>Weekly!$E$3</f>
        <v>45917</v>
      </c>
      <c r="C612" s="12">
        <v>0.118055555555556</v>
      </c>
      <c r="D612" s="13">
        <f>Weekly!E38</f>
        <v>0</v>
      </c>
      <c r="E612" s="13" t="str">
        <f t="shared" si="104"/>
        <v/>
      </c>
      <c r="F612" s="13" t="str">
        <f t="shared" si="107"/>
        <v/>
      </c>
      <c r="G612" s="13" t="str">
        <f t="shared" si="105"/>
        <v/>
      </c>
      <c r="H612" s="13" t="str">
        <f t="shared" si="106"/>
        <v/>
      </c>
      <c r="I612" s="14" t="str">
        <f t="array" ref="I612">IF(getRGB1(Weekly!E38)="FFFF00","초방","재방")</f>
        <v>재방</v>
      </c>
    </row>
    <row r="613" spans="1:9" ht="11.25" customHeight="1" x14ac:dyDescent="0.3">
      <c r="A613" s="10" t="str">
        <f t="shared" si="103"/>
        <v/>
      </c>
      <c r="B613" s="11">
        <f>Weekly!$E$3</f>
        <v>45917</v>
      </c>
      <c r="C613" s="12">
        <v>0.121527777777778</v>
      </c>
      <c r="D613" s="13">
        <f>Weekly!E39</f>
        <v>0</v>
      </c>
      <c r="E613" s="13" t="str">
        <f t="shared" si="104"/>
        <v/>
      </c>
      <c r="F613" s="13" t="str">
        <f t="shared" si="107"/>
        <v/>
      </c>
      <c r="G613" s="13" t="str">
        <f t="shared" si="105"/>
        <v/>
      </c>
      <c r="H613" s="13" t="str">
        <f t="shared" si="106"/>
        <v/>
      </c>
      <c r="I613" s="14" t="str">
        <f t="array" ref="I613">IF(getRGB1(Weekly!E39)="FFFF00","초방","재방")</f>
        <v>재방</v>
      </c>
    </row>
    <row r="614" spans="1:9" ht="11.25" customHeight="1" x14ac:dyDescent="0.3">
      <c r="A614" s="10" t="str">
        <f t="shared" si="103"/>
        <v/>
      </c>
      <c r="B614" s="11">
        <f>Weekly!$E$3</f>
        <v>45917</v>
      </c>
      <c r="C614" s="12">
        <v>0.125</v>
      </c>
      <c r="D614" s="13">
        <f>Weekly!E40</f>
        <v>0</v>
      </c>
      <c r="E614" s="13" t="str">
        <f t="shared" si="104"/>
        <v/>
      </c>
      <c r="F614" s="13" t="str">
        <f t="shared" si="107"/>
        <v/>
      </c>
      <c r="G614" s="13" t="str">
        <f t="shared" si="105"/>
        <v/>
      </c>
      <c r="H614" s="13" t="str">
        <f t="shared" si="106"/>
        <v/>
      </c>
      <c r="I614" s="14" t="str">
        <f t="array" ref="I614">IF(getRGB1(Weekly!E40)="FFFF00","초방","재방")</f>
        <v>재방</v>
      </c>
    </row>
    <row r="615" spans="1:9" ht="11.25" customHeight="1" x14ac:dyDescent="0.3">
      <c r="A615" s="10" t="str">
        <f t="shared" si="103"/>
        <v/>
      </c>
      <c r="B615" s="11">
        <f>Weekly!$E$3</f>
        <v>45917</v>
      </c>
      <c r="C615" s="12">
        <v>0.12847222222222199</v>
      </c>
      <c r="D615" s="13">
        <f>Weekly!E41</f>
        <v>0</v>
      </c>
      <c r="E615" s="13" t="str">
        <f t="shared" si="104"/>
        <v/>
      </c>
      <c r="F615" s="13" t="str">
        <f t="shared" si="107"/>
        <v/>
      </c>
      <c r="G615" s="13" t="str">
        <f t="shared" si="105"/>
        <v/>
      </c>
      <c r="H615" s="13" t="str">
        <f t="shared" si="106"/>
        <v/>
      </c>
      <c r="I615" s="14" t="str">
        <f t="array" ref="I615">IF(getRGB1(Weekly!E41)="FFFF00","초방","재방")</f>
        <v>재방</v>
      </c>
    </row>
    <row r="616" spans="1:9" ht="11.25" customHeight="1" x14ac:dyDescent="0.3">
      <c r="A616" s="10" t="str">
        <f t="shared" si="103"/>
        <v/>
      </c>
      <c r="B616" s="11">
        <f>Weekly!$E$3</f>
        <v>45917</v>
      </c>
      <c r="C616" s="12">
        <v>0.131944444444444</v>
      </c>
      <c r="D616" s="13">
        <f>Weekly!E42</f>
        <v>0</v>
      </c>
      <c r="E616" s="13" t="str">
        <f t="shared" si="104"/>
        <v/>
      </c>
      <c r="F616" s="13" t="str">
        <f t="shared" si="107"/>
        <v/>
      </c>
      <c r="G616" s="13" t="str">
        <f t="shared" si="105"/>
        <v/>
      </c>
      <c r="H616" s="13" t="str">
        <f t="shared" si="106"/>
        <v/>
      </c>
      <c r="I616" s="14" t="str">
        <f t="array" ref="I616">IF(getRGB1(Weekly!E42)="FFFF00","초방","재방")</f>
        <v>재방</v>
      </c>
    </row>
    <row r="617" spans="1:9" ht="11.25" customHeight="1" x14ac:dyDescent="0.3">
      <c r="A617" s="10" t="str">
        <f t="shared" si="103"/>
        <v/>
      </c>
      <c r="B617" s="11">
        <f>Weekly!$E$3</f>
        <v>45917</v>
      </c>
      <c r="C617" s="12">
        <v>0.13541666666666699</v>
      </c>
      <c r="D617" s="13">
        <f>Weekly!E43</f>
        <v>0</v>
      </c>
      <c r="E617" s="13" t="str">
        <f t="shared" si="104"/>
        <v/>
      </c>
      <c r="F617" s="13" t="str">
        <f t="shared" si="107"/>
        <v/>
      </c>
      <c r="G617" s="13" t="str">
        <f t="shared" si="105"/>
        <v/>
      </c>
      <c r="H617" s="13" t="str">
        <f t="shared" si="106"/>
        <v/>
      </c>
      <c r="I617" s="14" t="str">
        <f t="array" ref="I617">IF(getRGB1(Weekly!E43)="FFFF00","초방","재방")</f>
        <v>재방</v>
      </c>
    </row>
    <row r="618" spans="1:9" ht="11.25" customHeight="1" x14ac:dyDescent="0.3">
      <c r="A618" s="10" t="str">
        <f t="shared" si="103"/>
        <v/>
      </c>
      <c r="B618" s="11">
        <f>Weekly!$E$3</f>
        <v>45917</v>
      </c>
      <c r="C618" s="12">
        <v>0.13888888888888901</v>
      </c>
      <c r="D618" s="13">
        <f>Weekly!E44</f>
        <v>0</v>
      </c>
      <c r="E618" s="13" t="str">
        <f t="shared" si="104"/>
        <v/>
      </c>
      <c r="F618" s="13" t="str">
        <f t="shared" si="107"/>
        <v/>
      </c>
      <c r="G618" s="13" t="str">
        <f t="shared" si="105"/>
        <v/>
      </c>
      <c r="H618" s="13" t="str">
        <f t="shared" si="106"/>
        <v/>
      </c>
      <c r="I618" s="14" t="str">
        <f t="array" ref="I618">IF(getRGB1(Weekly!E44)="FFFF00","초방","재방")</f>
        <v>재방</v>
      </c>
    </row>
    <row r="619" spans="1:9" ht="11.25" customHeight="1" x14ac:dyDescent="0.3">
      <c r="A619" s="10" t="str">
        <f t="shared" si="103"/>
        <v/>
      </c>
      <c r="B619" s="11">
        <f>Weekly!$E$3</f>
        <v>45917</v>
      </c>
      <c r="C619" s="12">
        <v>0.14236111111111099</v>
      </c>
      <c r="D619" s="13">
        <f>Weekly!E45</f>
        <v>0</v>
      </c>
      <c r="E619" s="13" t="str">
        <f t="shared" si="104"/>
        <v/>
      </c>
      <c r="F619" s="13" t="str">
        <f t="shared" si="107"/>
        <v/>
      </c>
      <c r="G619" s="13" t="str">
        <f t="shared" si="105"/>
        <v/>
      </c>
      <c r="H619" s="13" t="str">
        <f t="shared" si="106"/>
        <v/>
      </c>
      <c r="I619" s="14" t="str">
        <f t="array" ref="I619">IF(getRGB1(Weekly!E45)="FFFF00","초방","재방")</f>
        <v>재방</v>
      </c>
    </row>
    <row r="620" spans="1:9" ht="11.25" customHeight="1" x14ac:dyDescent="0.3">
      <c r="A620" s="10" t="str">
        <f t="shared" si="103"/>
        <v/>
      </c>
      <c r="B620" s="11">
        <f>Weekly!$E$3</f>
        <v>45917</v>
      </c>
      <c r="C620" s="12">
        <v>0.14583333333333301</v>
      </c>
      <c r="D620" s="13">
        <f>Weekly!E46</f>
        <v>0</v>
      </c>
      <c r="E620" s="13" t="str">
        <f t="shared" si="104"/>
        <v/>
      </c>
      <c r="F620" s="13" t="str">
        <f t="shared" si="107"/>
        <v/>
      </c>
      <c r="G620" s="13" t="str">
        <f t="shared" si="105"/>
        <v/>
      </c>
      <c r="H620" s="13" t="str">
        <f t="shared" si="106"/>
        <v/>
      </c>
      <c r="I620" s="14" t="str">
        <f t="array" ref="I620">IF(getRGB1(Weekly!E46)="FFFF00","초방","재방")</f>
        <v>재방</v>
      </c>
    </row>
    <row r="621" spans="1:9" ht="11.25" customHeight="1" x14ac:dyDescent="0.3">
      <c r="A621" s="10" t="str">
        <f t="shared" si="103"/>
        <v/>
      </c>
      <c r="B621" s="11">
        <f>Weekly!$E$3</f>
        <v>45917</v>
      </c>
      <c r="C621" s="12">
        <v>0.149305555555556</v>
      </c>
      <c r="D621" s="13">
        <f>Weekly!E47</f>
        <v>0</v>
      </c>
      <c r="E621" s="13" t="str">
        <f t="shared" si="104"/>
        <v/>
      </c>
      <c r="F621" s="13" t="str">
        <f t="shared" si="107"/>
        <v/>
      </c>
      <c r="G621" s="13" t="str">
        <f t="shared" si="105"/>
        <v/>
      </c>
      <c r="H621" s="13" t="str">
        <f t="shared" si="106"/>
        <v/>
      </c>
      <c r="I621" s="14" t="str">
        <f t="array" ref="I621">IF(getRGB1(Weekly!E47)="FFFF00","초방","재방")</f>
        <v>재방</v>
      </c>
    </row>
    <row r="622" spans="1:9" ht="11.25" customHeight="1" x14ac:dyDescent="0.3">
      <c r="A622" s="10">
        <f t="shared" si="103"/>
        <v>45917.152777777781</v>
      </c>
      <c r="B622" s="11">
        <f>Weekly!$E$3</f>
        <v>45917</v>
      </c>
      <c r="C622" s="12">
        <v>0.15277777777777801</v>
      </c>
      <c r="D622" s="13" t="str">
        <f>Weekly!E48</f>
        <v>태군노래자랑
&lt;10</v>
      </c>
      <c r="E622" s="13" t="str">
        <f t="shared" si="104"/>
        <v>태군노래자랑</v>
      </c>
      <c r="F622" s="13">
        <f t="shared" si="107"/>
        <v>10</v>
      </c>
      <c r="G622" s="13" t="str">
        <f t="shared" si="105"/>
        <v/>
      </c>
      <c r="H622" s="13" t="str">
        <f t="shared" si="106"/>
        <v/>
      </c>
      <c r="I622" s="14" t="str">
        <f t="array" ref="I622">IF(getRGB1(Weekly!E48)="FFFF00","초방","재방")</f>
        <v>재방</v>
      </c>
    </row>
    <row r="623" spans="1:9" ht="11.25" customHeight="1" x14ac:dyDescent="0.3">
      <c r="A623" s="10" t="str">
        <f t="shared" si="103"/>
        <v/>
      </c>
      <c r="B623" s="11">
        <f>Weekly!$E$3</f>
        <v>45917</v>
      </c>
      <c r="C623" s="12">
        <v>0.15625</v>
      </c>
      <c r="D623" s="13">
        <f>Weekly!E49</f>
        <v>0</v>
      </c>
      <c r="E623" s="13" t="str">
        <f t="shared" si="104"/>
        <v/>
      </c>
      <c r="F623" s="13" t="str">
        <f t="shared" si="107"/>
        <v/>
      </c>
      <c r="G623" s="13" t="str">
        <f t="shared" si="105"/>
        <v/>
      </c>
      <c r="H623" s="13" t="str">
        <f t="shared" si="106"/>
        <v/>
      </c>
      <c r="I623" s="14" t="str">
        <f t="array" ref="I623">IF(getRGB1(Weekly!E49)="FFFF00","초방","재방")</f>
        <v>재방</v>
      </c>
    </row>
    <row r="624" spans="1:9" ht="11.25" customHeight="1" x14ac:dyDescent="0.3">
      <c r="A624" s="10" t="str">
        <f t="shared" si="103"/>
        <v/>
      </c>
      <c r="B624" s="11">
        <f>Weekly!$E$3</f>
        <v>45917</v>
      </c>
      <c r="C624" s="12">
        <v>0.15972222222222199</v>
      </c>
      <c r="D624" s="13">
        <f>Weekly!E50</f>
        <v>0</v>
      </c>
      <c r="E624" s="13" t="str">
        <f t="shared" si="104"/>
        <v/>
      </c>
      <c r="F624" s="13" t="str">
        <f t="shared" si="107"/>
        <v/>
      </c>
      <c r="G624" s="13" t="str">
        <f t="shared" si="105"/>
        <v/>
      </c>
      <c r="H624" s="13" t="str">
        <f t="shared" si="106"/>
        <v/>
      </c>
      <c r="I624" s="14" t="str">
        <f t="array" ref="I624">IF(getRGB1(Weekly!E50)="FFFF00","초방","재방")</f>
        <v>재방</v>
      </c>
    </row>
    <row r="625" spans="1:9" ht="11.25" customHeight="1" x14ac:dyDescent="0.3">
      <c r="A625" s="10" t="str">
        <f t="shared" si="103"/>
        <v/>
      </c>
      <c r="B625" s="11">
        <f>Weekly!$E$3</f>
        <v>45917</v>
      </c>
      <c r="C625" s="12">
        <v>0.163194444444444</v>
      </c>
      <c r="D625" s="13">
        <f>Weekly!E51</f>
        <v>0</v>
      </c>
      <c r="E625" s="13" t="str">
        <f t="shared" si="104"/>
        <v/>
      </c>
      <c r="F625" s="13" t="str">
        <f t="shared" si="107"/>
        <v/>
      </c>
      <c r="G625" s="13" t="str">
        <f t="shared" si="105"/>
        <v/>
      </c>
      <c r="H625" s="13" t="str">
        <f t="shared" si="106"/>
        <v/>
      </c>
      <c r="I625" s="14" t="str">
        <f t="array" ref="I625">IF(getRGB1(Weekly!E51)="FFFF00","초방","재방")</f>
        <v>재방</v>
      </c>
    </row>
    <row r="626" spans="1:9" ht="11.25" customHeight="1" x14ac:dyDescent="0.3">
      <c r="A626" s="10" t="str">
        <f t="shared" si="103"/>
        <v/>
      </c>
      <c r="B626" s="11">
        <f>Weekly!$E$3</f>
        <v>45917</v>
      </c>
      <c r="C626" s="12">
        <v>0.16666666666666699</v>
      </c>
      <c r="D626" s="13">
        <f>Weekly!E52</f>
        <v>0</v>
      </c>
      <c r="E626" s="13" t="str">
        <f t="shared" si="104"/>
        <v/>
      </c>
      <c r="F626" s="13" t="str">
        <f t="shared" si="107"/>
        <v/>
      </c>
      <c r="G626" s="13" t="str">
        <f t="shared" si="105"/>
        <v/>
      </c>
      <c r="H626" s="13" t="str">
        <f t="shared" si="106"/>
        <v/>
      </c>
      <c r="I626" s="14" t="str">
        <f t="array" ref="I626">IF(getRGB1(Weekly!E52)="FFFF00","초방","재방")</f>
        <v>재방</v>
      </c>
    </row>
    <row r="627" spans="1:9" ht="11.25" customHeight="1" x14ac:dyDescent="0.3">
      <c r="A627" s="10" t="str">
        <f t="shared" si="103"/>
        <v/>
      </c>
      <c r="B627" s="11">
        <f>Weekly!$E$3</f>
        <v>45917</v>
      </c>
      <c r="C627" s="12">
        <v>0.17013888888888901</v>
      </c>
      <c r="D627" s="13">
        <f>Weekly!E53</f>
        <v>0</v>
      </c>
      <c r="E627" s="13" t="str">
        <f t="shared" si="104"/>
        <v/>
      </c>
      <c r="F627" s="13" t="str">
        <f t="shared" si="107"/>
        <v/>
      </c>
      <c r="G627" s="13" t="str">
        <f t="shared" si="105"/>
        <v/>
      </c>
      <c r="H627" s="13" t="str">
        <f t="shared" si="106"/>
        <v/>
      </c>
      <c r="I627" s="14" t="str">
        <f t="array" ref="I627">IF(getRGB1(Weekly!E53)="FFFF00","초방","재방")</f>
        <v>재방</v>
      </c>
    </row>
    <row r="628" spans="1:9" ht="11.25" customHeight="1" x14ac:dyDescent="0.3">
      <c r="A628" s="10" t="str">
        <f t="shared" si="103"/>
        <v/>
      </c>
      <c r="B628" s="11">
        <f>Weekly!$E$3</f>
        <v>45917</v>
      </c>
      <c r="C628" s="12">
        <v>0.17361111111111099</v>
      </c>
      <c r="D628" s="13">
        <f>Weekly!E54</f>
        <v>0</v>
      </c>
      <c r="E628" s="13" t="str">
        <f t="shared" si="104"/>
        <v/>
      </c>
      <c r="F628" s="13" t="str">
        <f t="shared" si="107"/>
        <v/>
      </c>
      <c r="G628" s="13" t="str">
        <f t="shared" si="105"/>
        <v/>
      </c>
      <c r="H628" s="13" t="str">
        <f t="shared" si="106"/>
        <v/>
      </c>
      <c r="I628" s="14" t="str">
        <f t="array" ref="I628">IF(getRGB1(Weekly!E54)="FFFF00","초방","재방")</f>
        <v>재방</v>
      </c>
    </row>
    <row r="629" spans="1:9" ht="11.25" customHeight="1" x14ac:dyDescent="0.3">
      <c r="A629" s="10" t="str">
        <f t="shared" si="103"/>
        <v/>
      </c>
      <c r="B629" s="11">
        <f>Weekly!$E$3</f>
        <v>45917</v>
      </c>
      <c r="C629" s="12">
        <v>0.17708333333333301</v>
      </c>
      <c r="D629" s="13">
        <f>Weekly!E55</f>
        <v>0</v>
      </c>
      <c r="E629" s="13" t="str">
        <f t="shared" si="104"/>
        <v/>
      </c>
      <c r="F629" s="13" t="str">
        <f t="shared" si="107"/>
        <v/>
      </c>
      <c r="G629" s="13" t="str">
        <f t="shared" si="105"/>
        <v/>
      </c>
      <c r="H629" s="13" t="str">
        <f t="shared" si="106"/>
        <v/>
      </c>
      <c r="I629" s="14" t="str">
        <f t="array" ref="I629">IF(getRGB1(Weekly!E55)="FFFF00","초방","재방")</f>
        <v>재방</v>
      </c>
    </row>
    <row r="630" spans="1:9" ht="11.25" customHeight="1" x14ac:dyDescent="0.3">
      <c r="A630" s="10" t="str">
        <f t="shared" si="103"/>
        <v/>
      </c>
      <c r="B630" s="11">
        <f>Weekly!$E$3</f>
        <v>45917</v>
      </c>
      <c r="C630" s="12">
        <v>0.180555555555556</v>
      </c>
      <c r="D630" s="13">
        <f>Weekly!E56</f>
        <v>0</v>
      </c>
      <c r="E630" s="13" t="str">
        <f t="shared" si="104"/>
        <v/>
      </c>
      <c r="F630" s="13" t="str">
        <f t="shared" si="107"/>
        <v/>
      </c>
      <c r="G630" s="13" t="str">
        <f t="shared" si="105"/>
        <v/>
      </c>
      <c r="H630" s="13" t="str">
        <f t="shared" si="106"/>
        <v/>
      </c>
      <c r="I630" s="14" t="str">
        <f t="array" ref="I630">IF(getRGB1(Weekly!E56)="FFFF00","초방","재방")</f>
        <v>재방</v>
      </c>
    </row>
    <row r="631" spans="1:9" ht="11.25" customHeight="1" x14ac:dyDescent="0.3">
      <c r="A631" s="10" t="str">
        <f t="shared" si="103"/>
        <v/>
      </c>
      <c r="B631" s="11">
        <f>Weekly!$E$3</f>
        <v>45917</v>
      </c>
      <c r="C631" s="12">
        <v>0.18402777777777801</v>
      </c>
      <c r="D631" s="13">
        <f>Weekly!E57</f>
        <v>0</v>
      </c>
      <c r="E631" s="13" t="str">
        <f t="shared" si="104"/>
        <v/>
      </c>
      <c r="F631" s="13" t="str">
        <f t="shared" si="107"/>
        <v/>
      </c>
      <c r="G631" s="13" t="str">
        <f t="shared" si="105"/>
        <v/>
      </c>
      <c r="H631" s="13" t="str">
        <f t="shared" si="106"/>
        <v/>
      </c>
      <c r="I631" s="14" t="str">
        <f t="array" ref="I631">IF(getRGB1(Weekly!E57)="FFFF00","초방","재방")</f>
        <v>재방</v>
      </c>
    </row>
    <row r="632" spans="1:9" ht="11.25" customHeight="1" x14ac:dyDescent="0.3">
      <c r="A632" s="10" t="str">
        <f t="shared" si="103"/>
        <v/>
      </c>
      <c r="B632" s="11">
        <f>Weekly!$E$3</f>
        <v>45917</v>
      </c>
      <c r="C632" s="12">
        <v>0.1875</v>
      </c>
      <c r="D632" s="13">
        <f>Weekly!E58</f>
        <v>0</v>
      </c>
      <c r="E632" s="13" t="str">
        <f t="shared" si="104"/>
        <v/>
      </c>
      <c r="F632" s="13" t="str">
        <f t="shared" si="107"/>
        <v/>
      </c>
      <c r="G632" s="13" t="str">
        <f t="shared" si="105"/>
        <v/>
      </c>
      <c r="H632" s="13" t="str">
        <f t="shared" si="106"/>
        <v/>
      </c>
      <c r="I632" s="14" t="str">
        <f t="array" ref="I632">IF(getRGB1(Weekly!E58)="FFFF00","초방","재방")</f>
        <v>재방</v>
      </c>
    </row>
    <row r="633" spans="1:9" ht="11.25" customHeight="1" x14ac:dyDescent="0.3">
      <c r="A633" s="10" t="str">
        <f t="shared" si="103"/>
        <v/>
      </c>
      <c r="B633" s="11">
        <f>Weekly!$E$3</f>
        <v>45917</v>
      </c>
      <c r="C633" s="12">
        <v>0.19097222222222199</v>
      </c>
      <c r="D633" s="13">
        <f>Weekly!E59</f>
        <v>0</v>
      </c>
      <c r="E633" s="13" t="str">
        <f t="shared" si="104"/>
        <v/>
      </c>
      <c r="F633" s="13" t="str">
        <f t="shared" si="107"/>
        <v/>
      </c>
      <c r="G633" s="13" t="str">
        <f t="shared" si="105"/>
        <v/>
      </c>
      <c r="H633" s="13" t="str">
        <f t="shared" si="106"/>
        <v/>
      </c>
      <c r="I633" s="14" t="str">
        <f t="array" ref="I633">IF(getRGB1(Weekly!E59)="FFFF00","초방","재방")</f>
        <v>재방</v>
      </c>
    </row>
    <row r="634" spans="1:9" ht="11.25" customHeight="1" x14ac:dyDescent="0.3">
      <c r="A634" s="10">
        <f t="shared" si="103"/>
        <v>45917.194444444445</v>
      </c>
      <c r="B634" s="11">
        <f>Weekly!$E$3</f>
        <v>45917</v>
      </c>
      <c r="C634" s="12">
        <v>0.194444444444444</v>
      </c>
      <c r="D634" s="13" t="str">
        <f>Weekly!E60</f>
        <v xml:space="preserve"> NEWS4
&lt;63</v>
      </c>
      <c r="E634" s="13" t="str">
        <f t="shared" si="104"/>
        <v>NEWS4</v>
      </c>
      <c r="F634" s="13">
        <f t="shared" si="107"/>
        <v>63</v>
      </c>
      <c r="G634" s="13" t="str">
        <f t="shared" si="105"/>
        <v/>
      </c>
      <c r="H634" s="13" t="str">
        <f t="shared" si="106"/>
        <v/>
      </c>
      <c r="I634" s="14" t="str">
        <f t="array" ref="I634">IF(getRGB1(Weekly!E60)="FFFF00","초방","재방")</f>
        <v>재방</v>
      </c>
    </row>
    <row r="635" spans="1:9" ht="11.25" customHeight="1" x14ac:dyDescent="0.3">
      <c r="A635" s="10" t="str">
        <f t="shared" si="103"/>
        <v/>
      </c>
      <c r="B635" s="11">
        <f>Weekly!$E$3</f>
        <v>45917</v>
      </c>
      <c r="C635" s="12">
        <v>0.19791666666666699</v>
      </c>
      <c r="D635" s="13">
        <f>Weekly!E61</f>
        <v>0</v>
      </c>
      <c r="E635" s="13" t="str">
        <f t="shared" si="104"/>
        <v/>
      </c>
      <c r="F635" s="13" t="str">
        <f t="shared" si="107"/>
        <v/>
      </c>
      <c r="G635" s="13" t="str">
        <f t="shared" si="105"/>
        <v/>
      </c>
      <c r="H635" s="13" t="str">
        <f t="shared" si="106"/>
        <v/>
      </c>
      <c r="I635" s="14" t="str">
        <f t="array" ref="I635">IF(getRGB1(Weekly!E61)="FFFF00","초방","재방")</f>
        <v>재방</v>
      </c>
    </row>
    <row r="636" spans="1:9" ht="11.25" customHeight="1" x14ac:dyDescent="0.3">
      <c r="A636" s="10" t="str">
        <f t="shared" si="103"/>
        <v/>
      </c>
      <c r="B636" s="11">
        <f>Weekly!$E$3</f>
        <v>45917</v>
      </c>
      <c r="C636" s="12">
        <v>0.20138888888888901</v>
      </c>
      <c r="D636" s="13">
        <f>Weekly!E62</f>
        <v>0</v>
      </c>
      <c r="E636" s="13" t="str">
        <f t="shared" si="104"/>
        <v/>
      </c>
      <c r="F636" s="13" t="str">
        <f t="shared" si="107"/>
        <v/>
      </c>
      <c r="G636" s="13" t="str">
        <f t="shared" si="105"/>
        <v/>
      </c>
      <c r="H636" s="13" t="str">
        <f t="shared" si="106"/>
        <v/>
      </c>
      <c r="I636" s="14" t="str">
        <f t="array" ref="I636">IF(getRGB1(Weekly!E62)="FFFF00","초방","재방")</f>
        <v>재방</v>
      </c>
    </row>
    <row r="637" spans="1:9" ht="11.25" customHeight="1" x14ac:dyDescent="0.3">
      <c r="A637" s="10" t="str">
        <f t="shared" si="103"/>
        <v/>
      </c>
      <c r="B637" s="11">
        <f>Weekly!$E$3</f>
        <v>45917</v>
      </c>
      <c r="C637" s="12">
        <v>0.20486111111111099</v>
      </c>
      <c r="D637" s="13">
        <f>Weekly!E63</f>
        <v>0</v>
      </c>
      <c r="E637" s="13" t="str">
        <f t="shared" si="104"/>
        <v/>
      </c>
      <c r="F637" s="13" t="str">
        <f t="shared" si="107"/>
        <v/>
      </c>
      <c r="G637" s="13" t="str">
        <f t="shared" si="105"/>
        <v/>
      </c>
      <c r="H637" s="13" t="str">
        <f t="shared" si="106"/>
        <v/>
      </c>
      <c r="I637" s="14" t="str">
        <f t="array" ref="I637">IF(getRGB1(Weekly!E63)="FFFF00","초방","재방")</f>
        <v>재방</v>
      </c>
    </row>
    <row r="638" spans="1:9" ht="11.25" customHeight="1" x14ac:dyDescent="0.3">
      <c r="A638" s="10" t="str">
        <f t="shared" si="103"/>
        <v/>
      </c>
      <c r="B638" s="11">
        <f>Weekly!$E$3</f>
        <v>45917</v>
      </c>
      <c r="C638" s="12">
        <v>0.20833333333333301</v>
      </c>
      <c r="D638" s="13">
        <f>Weekly!E64</f>
        <v>0</v>
      </c>
      <c r="E638" s="13" t="str">
        <f t="shared" si="104"/>
        <v/>
      </c>
      <c r="F638" s="13" t="str">
        <f t="shared" si="107"/>
        <v/>
      </c>
      <c r="G638" s="13" t="str">
        <f t="shared" si="105"/>
        <v/>
      </c>
      <c r="H638" s="13" t="str">
        <f t="shared" si="106"/>
        <v/>
      </c>
      <c r="I638" s="14" t="str">
        <f t="array" ref="I638">IF(getRGB1(Weekly!E64)="FFFF00","초방","재방")</f>
        <v>재방</v>
      </c>
    </row>
    <row r="639" spans="1:9" ht="11.25" customHeight="1" x14ac:dyDescent="0.3">
      <c r="A639" s="10" t="str">
        <f t="shared" si="103"/>
        <v/>
      </c>
      <c r="B639" s="11">
        <f>Weekly!$E$3</f>
        <v>45917</v>
      </c>
      <c r="C639" s="12">
        <v>0.211805555555556</v>
      </c>
      <c r="D639" s="13">
        <f>Weekly!E65</f>
        <v>0</v>
      </c>
      <c r="E639" s="13" t="str">
        <f t="shared" si="104"/>
        <v/>
      </c>
      <c r="F639" s="13" t="str">
        <f t="shared" si="107"/>
        <v/>
      </c>
      <c r="G639" s="13" t="str">
        <f t="shared" si="105"/>
        <v/>
      </c>
      <c r="H639" s="13" t="str">
        <f t="shared" si="106"/>
        <v/>
      </c>
      <c r="I639" s="14" t="str">
        <f t="array" ref="I639">IF(getRGB1(Weekly!E65)="FFFF00","초방","재방")</f>
        <v>재방</v>
      </c>
    </row>
    <row r="640" spans="1:9" ht="11.25" customHeight="1" x14ac:dyDescent="0.3">
      <c r="A640" s="10">
        <f t="shared" si="103"/>
        <v>45917.215277777781</v>
      </c>
      <c r="B640" s="11">
        <f>Weekly!$E$3</f>
        <v>45917</v>
      </c>
      <c r="C640" s="12">
        <v>0.21527777777777801</v>
      </c>
      <c r="D640" s="13" t="str">
        <f>Weekly!E66</f>
        <v xml:space="preserve"> 내삶을바꾸는정책
&lt;2191</v>
      </c>
      <c r="E640" s="13" t="str">
        <f t="shared" si="104"/>
        <v>내삶을바꾸는정책</v>
      </c>
      <c r="F640" s="13">
        <f t="shared" si="107"/>
        <v>2191</v>
      </c>
      <c r="G640" s="13" t="str">
        <f t="shared" si="105"/>
        <v/>
      </c>
      <c r="H640" s="13" t="str">
        <f t="shared" si="106"/>
        <v/>
      </c>
      <c r="I640" s="14" t="str">
        <f t="array" ref="I640">IF(getRGB1(Weekly!E66)="FFFF00","초방","재방")</f>
        <v>초방</v>
      </c>
    </row>
    <row r="641" spans="1:9" ht="11.25" customHeight="1" x14ac:dyDescent="0.3">
      <c r="A641" s="10" t="str">
        <f t="shared" si="103"/>
        <v/>
      </c>
      <c r="B641" s="11">
        <f>Weekly!$E$3</f>
        <v>45917</v>
      </c>
      <c r="C641" s="12">
        <v>0.21875</v>
      </c>
      <c r="D641" s="13">
        <f>Weekly!E67</f>
        <v>0</v>
      </c>
      <c r="E641" s="13" t="str">
        <f t="shared" si="104"/>
        <v/>
      </c>
      <c r="F641" s="13" t="str">
        <f t="shared" si="107"/>
        <v/>
      </c>
      <c r="G641" s="13" t="str">
        <f t="shared" si="105"/>
        <v/>
      </c>
      <c r="H641" s="13" t="str">
        <f t="shared" si="106"/>
        <v/>
      </c>
      <c r="I641" s="14" t="str">
        <f t="array" ref="I641">IF(getRGB1(Weekly!E67)="FFFF00","초방","재방")</f>
        <v>초방</v>
      </c>
    </row>
    <row r="642" spans="1:9" ht="11.25" customHeight="1" x14ac:dyDescent="0.3">
      <c r="A642" s="10" t="str">
        <f t="shared" ref="A642:A705" si="108">IF(D642&lt;&gt;0,B642+C642,"")</f>
        <v/>
      </c>
      <c r="B642" s="11">
        <f>Weekly!$E$3</f>
        <v>45917</v>
      </c>
      <c r="C642" s="12">
        <v>0.22222222222222199</v>
      </c>
      <c r="D642" s="13">
        <f>Weekly!E68</f>
        <v>0</v>
      </c>
      <c r="E642" s="13" t="str">
        <f t="shared" ref="E642:E705" si="109">IFERROR(SUBSTITUTE(SUBSTITUTE(TRIM(LEFT(D642,FIND("&lt;",D642)-1)),CHAR(10),""),"⑮ ",""),"")</f>
        <v/>
      </c>
      <c r="F642" s="13" t="str">
        <f t="shared" si="107"/>
        <v/>
      </c>
      <c r="G642" s="13" t="str">
        <f t="shared" ref="G642:G705" si="110">IFERROR(MID(D642,FIND("&gt;",D642)+1,10),"")</f>
        <v/>
      </c>
      <c r="H642" s="13" t="str">
        <f t="shared" ref="H642:H705" si="111">IFERROR(VLOOKUP(LEFT(D642,2),$W$1:$X$6,2,0),"")</f>
        <v/>
      </c>
      <c r="I642" s="14" t="str">
        <f t="array" ref="I642">IF(getRGB1(Weekly!E68)="FFFF00","초방","재방")</f>
        <v>초방</v>
      </c>
    </row>
    <row r="643" spans="1:9" ht="11.25" customHeight="1" x14ac:dyDescent="0.3">
      <c r="A643" s="10" t="str">
        <f t="shared" si="108"/>
        <v/>
      </c>
      <c r="B643" s="11">
        <f>Weekly!$E$3</f>
        <v>45917</v>
      </c>
      <c r="C643" s="12">
        <v>0.225694444444444</v>
      </c>
      <c r="D643" s="13">
        <f>Weekly!E69</f>
        <v>0</v>
      </c>
      <c r="E643" s="13" t="str">
        <f t="shared" si="109"/>
        <v/>
      </c>
      <c r="F643" s="13" t="str">
        <f t="shared" ref="F643:F706" si="112">IFERROR((MID(D643,FIND("&lt;",D643)+1,4))*1,"")</f>
        <v/>
      </c>
      <c r="G643" s="13" t="str">
        <f t="shared" si="110"/>
        <v/>
      </c>
      <c r="H643" s="13" t="str">
        <f t="shared" si="111"/>
        <v/>
      </c>
      <c r="I643" s="14" t="str">
        <f t="array" ref="I643">IF(getRGB1(Weekly!E69)="FFFF00","초방","재방")</f>
        <v>초방</v>
      </c>
    </row>
    <row r="644" spans="1:9" ht="11.25" customHeight="1" x14ac:dyDescent="0.3">
      <c r="A644" s="10" t="str">
        <f t="shared" si="108"/>
        <v/>
      </c>
      <c r="B644" s="11">
        <f>Weekly!$E$3</f>
        <v>45917</v>
      </c>
      <c r="C644" s="12">
        <v>0.22916666666666699</v>
      </c>
      <c r="D644" s="13">
        <f>Weekly!E70</f>
        <v>0</v>
      </c>
      <c r="E644" s="13" t="str">
        <f t="shared" si="109"/>
        <v/>
      </c>
      <c r="F644" s="13" t="str">
        <f t="shared" si="112"/>
        <v/>
      </c>
      <c r="G644" s="13" t="str">
        <f t="shared" si="110"/>
        <v/>
      </c>
      <c r="H644" s="13" t="str">
        <f t="shared" si="111"/>
        <v/>
      </c>
      <c r="I644" s="14" t="str">
        <f t="array" ref="I644">IF(getRGB1(Weekly!E70)="FFFF00","초방","재방")</f>
        <v>초방</v>
      </c>
    </row>
    <row r="645" spans="1:9" ht="11.25" customHeight="1" x14ac:dyDescent="0.3">
      <c r="A645" s="10" t="str">
        <f t="shared" si="108"/>
        <v/>
      </c>
      <c r="B645" s="11">
        <f>Weekly!$E$3</f>
        <v>45917</v>
      </c>
      <c r="C645" s="12">
        <v>0.23263888888888901</v>
      </c>
      <c r="D645" s="13">
        <f>Weekly!E71</f>
        <v>0</v>
      </c>
      <c r="E645" s="13" t="str">
        <f t="shared" si="109"/>
        <v/>
      </c>
      <c r="F645" s="13" t="str">
        <f t="shared" si="112"/>
        <v/>
      </c>
      <c r="G645" s="13" t="str">
        <f t="shared" si="110"/>
        <v/>
      </c>
      <c r="H645" s="13" t="str">
        <f t="shared" si="111"/>
        <v/>
      </c>
      <c r="I645" s="14" t="str">
        <f t="array" ref="I645">IF(getRGB1(Weekly!E71)="FFFF00","초방","재방")</f>
        <v>초방</v>
      </c>
    </row>
    <row r="646" spans="1:9" ht="11.25" customHeight="1" x14ac:dyDescent="0.3">
      <c r="A646" s="10" t="str">
        <f t="shared" si="108"/>
        <v/>
      </c>
      <c r="B646" s="11">
        <f>Weekly!$E$3</f>
        <v>45917</v>
      </c>
      <c r="C646" s="12">
        <v>0.23611111111111099</v>
      </c>
      <c r="D646" s="13">
        <f>Weekly!E72</f>
        <v>0</v>
      </c>
      <c r="E646" s="13" t="str">
        <f t="shared" si="109"/>
        <v/>
      </c>
      <c r="F646" s="13" t="str">
        <f t="shared" si="112"/>
        <v/>
      </c>
      <c r="G646" s="13" t="str">
        <f t="shared" si="110"/>
        <v/>
      </c>
      <c r="H646" s="13" t="str">
        <f t="shared" si="111"/>
        <v/>
      </c>
      <c r="I646" s="14" t="str">
        <f t="array" ref="I646">IF(getRGB1(Weekly!E72)="FFFF00","초방","재방")</f>
        <v>초방</v>
      </c>
    </row>
    <row r="647" spans="1:9" ht="11.25" customHeight="1" x14ac:dyDescent="0.3">
      <c r="A647" s="10" t="str">
        <f t="shared" si="108"/>
        <v/>
      </c>
      <c r="B647" s="11">
        <f>Weekly!$E$3</f>
        <v>45917</v>
      </c>
      <c r="C647" s="12">
        <v>0.23958333333333301</v>
      </c>
      <c r="D647" s="13">
        <f>Weekly!E73</f>
        <v>0</v>
      </c>
      <c r="E647" s="13" t="str">
        <f t="shared" si="109"/>
        <v/>
      </c>
      <c r="F647" s="13" t="str">
        <f t="shared" si="112"/>
        <v/>
      </c>
      <c r="G647" s="13" t="str">
        <f t="shared" si="110"/>
        <v/>
      </c>
      <c r="H647" s="13" t="str">
        <f t="shared" si="111"/>
        <v/>
      </c>
      <c r="I647" s="14" t="str">
        <f t="array" ref="I647">IF(getRGB1(Weekly!E73)="FFFF00","초방","재방")</f>
        <v>초방</v>
      </c>
    </row>
    <row r="648" spans="1:9" ht="11.25" customHeight="1" x14ac:dyDescent="0.3">
      <c r="A648" s="10" t="str">
        <f t="shared" si="108"/>
        <v/>
      </c>
      <c r="B648" s="11">
        <f>Weekly!$E$3</f>
        <v>45917</v>
      </c>
      <c r="C648" s="12">
        <v>0.243055555555556</v>
      </c>
      <c r="D648" s="13">
        <f>Weekly!E74</f>
        <v>0</v>
      </c>
      <c r="E648" s="13" t="str">
        <f t="shared" si="109"/>
        <v/>
      </c>
      <c r="F648" s="13" t="str">
        <f t="shared" si="112"/>
        <v/>
      </c>
      <c r="G648" s="13" t="str">
        <f t="shared" si="110"/>
        <v/>
      </c>
      <c r="H648" s="13" t="str">
        <f t="shared" si="111"/>
        <v/>
      </c>
      <c r="I648" s="14" t="str">
        <f t="array" ref="I648">IF(getRGB1(Weekly!E74)="FFFF00","초방","재방")</f>
        <v>초방</v>
      </c>
    </row>
    <row r="649" spans="1:9" ht="11.25" customHeight="1" x14ac:dyDescent="0.3">
      <c r="A649" s="10" t="str">
        <f t="shared" si="108"/>
        <v/>
      </c>
      <c r="B649" s="11">
        <f>Weekly!$E$3</f>
        <v>45917</v>
      </c>
      <c r="C649" s="12">
        <v>0.24652777777777801</v>
      </c>
      <c r="D649" s="13">
        <f>Weekly!E75</f>
        <v>0</v>
      </c>
      <c r="E649" s="13" t="str">
        <f t="shared" si="109"/>
        <v/>
      </c>
      <c r="F649" s="13" t="str">
        <f t="shared" si="112"/>
        <v/>
      </c>
      <c r="G649" s="13" t="str">
        <f t="shared" si="110"/>
        <v/>
      </c>
      <c r="H649" s="13" t="str">
        <f t="shared" si="111"/>
        <v/>
      </c>
      <c r="I649" s="14" t="str">
        <f t="array" ref="I649">IF(getRGB1(Weekly!E75)="FFFF00","초방","재방")</f>
        <v>초방</v>
      </c>
    </row>
    <row r="650" spans="1:9" ht="11.25" customHeight="1" x14ac:dyDescent="0.3">
      <c r="A650" s="10" t="str">
        <f t="shared" si="108"/>
        <v/>
      </c>
      <c r="B650" s="11">
        <f>Weekly!$E$3</f>
        <v>45917</v>
      </c>
      <c r="C650" s="12">
        <v>0.25</v>
      </c>
      <c r="D650" s="13">
        <f>Weekly!E76</f>
        <v>0</v>
      </c>
      <c r="E650" s="13" t="str">
        <f t="shared" si="109"/>
        <v/>
      </c>
      <c r="F650" s="13" t="str">
        <f t="shared" si="112"/>
        <v/>
      </c>
      <c r="G650" s="13" t="str">
        <f t="shared" si="110"/>
        <v/>
      </c>
      <c r="H650" s="13" t="str">
        <f t="shared" si="111"/>
        <v/>
      </c>
      <c r="I650" s="14" t="str">
        <f t="array" ref="I650">IF(getRGB1(Weekly!E76)="FFFF00","초방","재방")</f>
        <v>초방</v>
      </c>
    </row>
    <row r="651" spans="1:9" ht="11.25" customHeight="1" x14ac:dyDescent="0.3">
      <c r="A651" s="10" t="str">
        <f t="shared" si="108"/>
        <v/>
      </c>
      <c r="B651" s="11">
        <f>Weekly!$E$3</f>
        <v>45917</v>
      </c>
      <c r="C651" s="12">
        <v>0.25347222222222199</v>
      </c>
      <c r="D651" s="13">
        <f>Weekly!E77</f>
        <v>0</v>
      </c>
      <c r="E651" s="13" t="str">
        <f t="shared" si="109"/>
        <v/>
      </c>
      <c r="F651" s="13" t="str">
        <f t="shared" si="112"/>
        <v/>
      </c>
      <c r="G651" s="13" t="str">
        <f t="shared" si="110"/>
        <v/>
      </c>
      <c r="H651" s="13" t="str">
        <f t="shared" si="111"/>
        <v/>
      </c>
      <c r="I651" s="14" t="str">
        <f t="array" ref="I651">IF(getRGB1(Weekly!E77)="FFFF00","초방","재방")</f>
        <v>초방</v>
      </c>
    </row>
    <row r="652" spans="1:9" ht="11.25" customHeight="1" x14ac:dyDescent="0.3">
      <c r="A652" s="10">
        <f t="shared" si="108"/>
        <v>45917.256944444445</v>
      </c>
      <c r="B652" s="11">
        <f>Weekly!$E$3</f>
        <v>45917</v>
      </c>
      <c r="C652" s="12">
        <v>0.25694444444444398</v>
      </c>
      <c r="D652" s="13" t="str">
        <f>Weekly!E78</f>
        <v>도시락
&lt;59</v>
      </c>
      <c r="E652" s="13" t="str">
        <f t="shared" si="109"/>
        <v>도시락</v>
      </c>
      <c r="F652" s="13">
        <f t="shared" si="112"/>
        <v>59</v>
      </c>
      <c r="G652" s="13" t="str">
        <f t="shared" si="110"/>
        <v/>
      </c>
      <c r="H652" s="13" t="str">
        <f t="shared" si="111"/>
        <v/>
      </c>
      <c r="I652" s="14" t="str">
        <f t="array" ref="I652">IF(getRGB1(Weekly!E78)="FFFF00","초방","재방")</f>
        <v>재방</v>
      </c>
    </row>
    <row r="653" spans="1:9" ht="11.25" customHeight="1" x14ac:dyDescent="0.3">
      <c r="A653" s="10" t="str">
        <f t="shared" si="108"/>
        <v/>
      </c>
      <c r="B653" s="11">
        <f>Weekly!$E$3</f>
        <v>45917</v>
      </c>
      <c r="C653" s="12">
        <v>0.26041666666666702</v>
      </c>
      <c r="D653" s="13">
        <f>Weekly!E79</f>
        <v>0</v>
      </c>
      <c r="E653" s="13" t="str">
        <f t="shared" si="109"/>
        <v/>
      </c>
      <c r="F653" s="13" t="str">
        <f t="shared" si="112"/>
        <v/>
      </c>
      <c r="G653" s="13" t="str">
        <f t="shared" si="110"/>
        <v/>
      </c>
      <c r="H653" s="13" t="str">
        <f t="shared" si="111"/>
        <v/>
      </c>
      <c r="I653" s="14" t="str">
        <f t="array" ref="I653">IF(getRGB1(Weekly!E79)="FFFF00","초방","재방")</f>
        <v>재방</v>
      </c>
    </row>
    <row r="654" spans="1:9" ht="11.25" customHeight="1" x14ac:dyDescent="0.3">
      <c r="A654" s="10" t="str">
        <f t="shared" si="108"/>
        <v/>
      </c>
      <c r="B654" s="11">
        <f>Weekly!$E$3</f>
        <v>45917</v>
      </c>
      <c r="C654" s="12">
        <v>0.26388888888888901</v>
      </c>
      <c r="D654" s="13">
        <f>Weekly!E80</f>
        <v>0</v>
      </c>
      <c r="E654" s="13" t="str">
        <f t="shared" si="109"/>
        <v/>
      </c>
      <c r="F654" s="13" t="str">
        <f t="shared" si="112"/>
        <v/>
      </c>
      <c r="G654" s="13" t="str">
        <f t="shared" si="110"/>
        <v/>
      </c>
      <c r="H654" s="13" t="str">
        <f t="shared" si="111"/>
        <v/>
      </c>
      <c r="I654" s="14" t="str">
        <f t="array" ref="I654">IF(getRGB1(Weekly!E80)="FFFF00","초방","재방")</f>
        <v>재방</v>
      </c>
    </row>
    <row r="655" spans="1:9" ht="11.25" customHeight="1" x14ac:dyDescent="0.3">
      <c r="A655" s="10" t="str">
        <f t="shared" si="108"/>
        <v/>
      </c>
      <c r="B655" s="11">
        <f>Weekly!$E$3</f>
        <v>45917</v>
      </c>
      <c r="C655" s="12">
        <v>0.26736111111111099</v>
      </c>
      <c r="D655" s="13">
        <f>Weekly!E81</f>
        <v>0</v>
      </c>
      <c r="E655" s="13" t="str">
        <f t="shared" si="109"/>
        <v/>
      </c>
      <c r="F655" s="13" t="str">
        <f t="shared" si="112"/>
        <v/>
      </c>
      <c r="G655" s="13" t="str">
        <f t="shared" si="110"/>
        <v/>
      </c>
      <c r="H655" s="13" t="str">
        <f t="shared" si="111"/>
        <v/>
      </c>
      <c r="I655" s="14" t="str">
        <f t="array" ref="I655">IF(getRGB1(Weekly!E81)="FFFF00","초방","재방")</f>
        <v>재방</v>
      </c>
    </row>
    <row r="656" spans="1:9" ht="11.25" customHeight="1" x14ac:dyDescent="0.3">
      <c r="A656" s="10" t="str">
        <f t="shared" si="108"/>
        <v/>
      </c>
      <c r="B656" s="11">
        <f>Weekly!$E$3</f>
        <v>45917</v>
      </c>
      <c r="C656" s="12">
        <v>0.27083333333333298</v>
      </c>
      <c r="D656" s="13">
        <f>Weekly!E82</f>
        <v>0</v>
      </c>
      <c r="E656" s="13" t="str">
        <f t="shared" si="109"/>
        <v/>
      </c>
      <c r="F656" s="13" t="str">
        <f t="shared" si="112"/>
        <v/>
      </c>
      <c r="G656" s="13" t="str">
        <f t="shared" si="110"/>
        <v/>
      </c>
      <c r="H656" s="13" t="str">
        <f t="shared" si="111"/>
        <v/>
      </c>
      <c r="I656" s="14" t="str">
        <f t="array" ref="I656">IF(getRGB1(Weekly!E82)="FFFF00","초방","재방")</f>
        <v>재방</v>
      </c>
    </row>
    <row r="657" spans="1:9" ht="11.25" customHeight="1" x14ac:dyDescent="0.3">
      <c r="A657" s="10" t="str">
        <f t="shared" si="108"/>
        <v/>
      </c>
      <c r="B657" s="11">
        <f>Weekly!$E$3</f>
        <v>45917</v>
      </c>
      <c r="C657" s="12">
        <v>0.27430555555555602</v>
      </c>
      <c r="D657" s="13">
        <f>Weekly!E83</f>
        <v>0</v>
      </c>
      <c r="E657" s="13" t="str">
        <f t="shared" si="109"/>
        <v/>
      </c>
      <c r="F657" s="13" t="str">
        <f t="shared" si="112"/>
        <v/>
      </c>
      <c r="G657" s="13" t="str">
        <f t="shared" si="110"/>
        <v/>
      </c>
      <c r="H657" s="13" t="str">
        <f t="shared" si="111"/>
        <v/>
      </c>
      <c r="I657" s="14" t="str">
        <f t="array" ref="I657">IF(getRGB1(Weekly!E83)="FFFF00","초방","재방")</f>
        <v>재방</v>
      </c>
    </row>
    <row r="658" spans="1:9" ht="11.25" customHeight="1" x14ac:dyDescent="0.3">
      <c r="A658" s="10" t="str">
        <f t="shared" si="108"/>
        <v/>
      </c>
      <c r="B658" s="11">
        <f>Weekly!$E$3</f>
        <v>45917</v>
      </c>
      <c r="C658" s="12">
        <v>0.27777777777777801</v>
      </c>
      <c r="D658" s="13">
        <f>Weekly!E84</f>
        <v>0</v>
      </c>
      <c r="E658" s="13" t="str">
        <f t="shared" si="109"/>
        <v/>
      </c>
      <c r="F658" s="13" t="str">
        <f t="shared" si="112"/>
        <v/>
      </c>
      <c r="G658" s="13" t="str">
        <f t="shared" si="110"/>
        <v/>
      </c>
      <c r="H658" s="13" t="str">
        <f t="shared" si="111"/>
        <v/>
      </c>
      <c r="I658" s="14" t="str">
        <f t="array" ref="I658">IF(getRGB1(Weekly!E84)="FFFF00","초방","재방")</f>
        <v>재방</v>
      </c>
    </row>
    <row r="659" spans="1:9" ht="11.25" customHeight="1" x14ac:dyDescent="0.3">
      <c r="A659" s="10" t="str">
        <f t="shared" si="108"/>
        <v/>
      </c>
      <c r="B659" s="11">
        <f>Weekly!$E$3</f>
        <v>45917</v>
      </c>
      <c r="C659" s="12">
        <v>0.28125</v>
      </c>
      <c r="D659" s="13">
        <f>Weekly!E85</f>
        <v>0</v>
      </c>
      <c r="E659" s="13" t="str">
        <f t="shared" si="109"/>
        <v/>
      </c>
      <c r="F659" s="13" t="str">
        <f t="shared" si="112"/>
        <v/>
      </c>
      <c r="G659" s="13" t="str">
        <f t="shared" si="110"/>
        <v/>
      </c>
      <c r="H659" s="13" t="str">
        <f t="shared" si="111"/>
        <v/>
      </c>
      <c r="I659" s="14" t="str">
        <f t="array" ref="I659">IF(getRGB1(Weekly!E85)="FFFF00","초방","재방")</f>
        <v>재방</v>
      </c>
    </row>
    <row r="660" spans="1:9" ht="11.25" customHeight="1" x14ac:dyDescent="0.3">
      <c r="A660" s="10" t="str">
        <f t="shared" si="108"/>
        <v/>
      </c>
      <c r="B660" s="11">
        <f>Weekly!$E$3</f>
        <v>45917</v>
      </c>
      <c r="C660" s="12">
        <v>0.28472222222222199</v>
      </c>
      <c r="D660" s="13">
        <f>Weekly!E86</f>
        <v>0</v>
      </c>
      <c r="E660" s="13" t="str">
        <f t="shared" si="109"/>
        <v/>
      </c>
      <c r="F660" s="13" t="str">
        <f t="shared" si="112"/>
        <v/>
      </c>
      <c r="G660" s="13" t="str">
        <f t="shared" si="110"/>
        <v/>
      </c>
      <c r="H660" s="13" t="str">
        <f t="shared" si="111"/>
        <v/>
      </c>
      <c r="I660" s="14" t="str">
        <f t="array" ref="I660">IF(getRGB1(Weekly!E86)="FFFF00","초방","재방")</f>
        <v>재방</v>
      </c>
    </row>
    <row r="661" spans="1:9" ht="11.25" customHeight="1" x14ac:dyDescent="0.3">
      <c r="A661" s="10" t="str">
        <f t="shared" si="108"/>
        <v/>
      </c>
      <c r="B661" s="11">
        <f>Weekly!$E$3</f>
        <v>45917</v>
      </c>
      <c r="C661" s="12">
        <v>0.28819444444444398</v>
      </c>
      <c r="D661" s="13">
        <f>Weekly!E87</f>
        <v>0</v>
      </c>
      <c r="E661" s="13" t="str">
        <f t="shared" si="109"/>
        <v/>
      </c>
      <c r="F661" s="13" t="str">
        <f t="shared" si="112"/>
        <v/>
      </c>
      <c r="G661" s="13" t="str">
        <f t="shared" si="110"/>
        <v/>
      </c>
      <c r="H661" s="13" t="str">
        <f t="shared" si="111"/>
        <v/>
      </c>
      <c r="I661" s="14" t="str">
        <f t="array" ref="I661">IF(getRGB1(Weekly!E87)="FFFF00","초방","재방")</f>
        <v>재방</v>
      </c>
    </row>
    <row r="662" spans="1:9" ht="11.25" customHeight="1" x14ac:dyDescent="0.3">
      <c r="A662" s="10">
        <f t="shared" si="108"/>
        <v>45917.291666666664</v>
      </c>
      <c r="B662" s="11">
        <f>Weekly!$E$3</f>
        <v>45917</v>
      </c>
      <c r="C662" s="12">
        <v>0.29166666666666702</v>
      </c>
      <c r="D662" s="13" t="str">
        <f>Weekly!E88</f>
        <v>최선규의 이제는 지방시대 시즌2
&lt;24</v>
      </c>
      <c r="E662" s="13" t="str">
        <f t="shared" si="109"/>
        <v>최선규의 이제는 지방시대 시즌2</v>
      </c>
      <c r="F662" s="13">
        <f t="shared" si="112"/>
        <v>24</v>
      </c>
      <c r="G662" s="13" t="str">
        <f t="shared" si="110"/>
        <v/>
      </c>
      <c r="H662" s="13" t="str">
        <f t="shared" si="111"/>
        <v/>
      </c>
      <c r="I662" s="14" t="str">
        <f t="array" ref="I662">IF(getRGB1(Weekly!E88)="FFFF00","초방","재방")</f>
        <v>재방</v>
      </c>
    </row>
    <row r="663" spans="1:9" ht="11.25" customHeight="1" x14ac:dyDescent="0.3">
      <c r="A663" s="10" t="str">
        <f t="shared" si="108"/>
        <v/>
      </c>
      <c r="B663" s="11">
        <f>Weekly!$E$3</f>
        <v>45917</v>
      </c>
      <c r="C663" s="12">
        <v>0.29513888888888901</v>
      </c>
      <c r="D663" s="13">
        <f>Weekly!E89</f>
        <v>0</v>
      </c>
      <c r="E663" s="13" t="str">
        <f t="shared" si="109"/>
        <v/>
      </c>
      <c r="F663" s="13" t="str">
        <f t="shared" si="112"/>
        <v/>
      </c>
      <c r="G663" s="13" t="str">
        <f t="shared" si="110"/>
        <v/>
      </c>
      <c r="H663" s="13" t="str">
        <f t="shared" si="111"/>
        <v/>
      </c>
      <c r="I663" s="14" t="str">
        <f t="array" ref="I663">IF(getRGB1(Weekly!E89)="FFFF00","초방","재방")</f>
        <v>재방</v>
      </c>
    </row>
    <row r="664" spans="1:9" ht="11.25" customHeight="1" x14ac:dyDescent="0.3">
      <c r="A664" s="10" t="str">
        <f t="shared" si="108"/>
        <v/>
      </c>
      <c r="B664" s="11">
        <f>Weekly!$E$3</f>
        <v>45917</v>
      </c>
      <c r="C664" s="12">
        <v>0.29861111111111099</v>
      </c>
      <c r="D664" s="13">
        <f>Weekly!E90</f>
        <v>0</v>
      </c>
      <c r="E664" s="13" t="str">
        <f t="shared" si="109"/>
        <v/>
      </c>
      <c r="F664" s="13" t="str">
        <f t="shared" si="112"/>
        <v/>
      </c>
      <c r="G664" s="13" t="str">
        <f t="shared" si="110"/>
        <v/>
      </c>
      <c r="H664" s="13" t="str">
        <f t="shared" si="111"/>
        <v/>
      </c>
      <c r="I664" s="14" t="str">
        <f t="array" ref="I664">IF(getRGB1(Weekly!E90)="FFFF00","초방","재방")</f>
        <v>재방</v>
      </c>
    </row>
    <row r="665" spans="1:9" ht="11.25" customHeight="1" x14ac:dyDescent="0.3">
      <c r="A665" s="10" t="str">
        <f t="shared" si="108"/>
        <v/>
      </c>
      <c r="B665" s="11">
        <f>Weekly!$E$3</f>
        <v>45917</v>
      </c>
      <c r="C665" s="12">
        <v>0.30208333333333298</v>
      </c>
      <c r="D665" s="13">
        <f>Weekly!E91</f>
        <v>0</v>
      </c>
      <c r="E665" s="13" t="str">
        <f t="shared" si="109"/>
        <v/>
      </c>
      <c r="F665" s="13" t="str">
        <f t="shared" si="112"/>
        <v/>
      </c>
      <c r="G665" s="13" t="str">
        <f t="shared" si="110"/>
        <v/>
      </c>
      <c r="H665" s="13" t="str">
        <f t="shared" si="111"/>
        <v/>
      </c>
      <c r="I665" s="14" t="str">
        <f t="array" ref="I665">IF(getRGB1(Weekly!E91)="FFFF00","초방","재방")</f>
        <v>재방</v>
      </c>
    </row>
    <row r="666" spans="1:9" ht="11.25" customHeight="1" x14ac:dyDescent="0.3">
      <c r="A666" s="10" t="str">
        <f t="shared" si="108"/>
        <v/>
      </c>
      <c r="B666" s="11">
        <f>Weekly!$E$3</f>
        <v>45917</v>
      </c>
      <c r="C666" s="12">
        <v>0.30555555555555602</v>
      </c>
      <c r="D666" s="13">
        <f>Weekly!E92</f>
        <v>0</v>
      </c>
      <c r="E666" s="13" t="str">
        <f t="shared" si="109"/>
        <v/>
      </c>
      <c r="F666" s="13" t="str">
        <f t="shared" si="112"/>
        <v/>
      </c>
      <c r="G666" s="13" t="str">
        <f t="shared" si="110"/>
        <v/>
      </c>
      <c r="H666" s="13" t="str">
        <f t="shared" si="111"/>
        <v/>
      </c>
      <c r="I666" s="14" t="str">
        <f t="array" ref="I666">IF(getRGB1(Weekly!E92)="FFFF00","초방","재방")</f>
        <v>재방</v>
      </c>
    </row>
    <row r="667" spans="1:9" ht="11.25" customHeight="1" x14ac:dyDescent="0.3">
      <c r="A667" s="10" t="str">
        <f t="shared" si="108"/>
        <v/>
      </c>
      <c r="B667" s="11">
        <f>Weekly!$E$3</f>
        <v>45917</v>
      </c>
      <c r="C667" s="12">
        <v>0.30902777777777801</v>
      </c>
      <c r="D667" s="13">
        <f>Weekly!E93</f>
        <v>0</v>
      </c>
      <c r="E667" s="13" t="str">
        <f t="shared" si="109"/>
        <v/>
      </c>
      <c r="F667" s="13" t="str">
        <f t="shared" si="112"/>
        <v/>
      </c>
      <c r="G667" s="13" t="str">
        <f t="shared" si="110"/>
        <v/>
      </c>
      <c r="H667" s="13" t="str">
        <f t="shared" si="111"/>
        <v/>
      </c>
      <c r="I667" s="14" t="str">
        <f t="array" ref="I667">IF(getRGB1(Weekly!E93)="FFFF00","초방","재방")</f>
        <v>재방</v>
      </c>
    </row>
    <row r="668" spans="1:9" ht="11.25" customHeight="1" x14ac:dyDescent="0.3">
      <c r="A668" s="10" t="str">
        <f t="shared" si="108"/>
        <v/>
      </c>
      <c r="B668" s="11">
        <f>Weekly!$E$3</f>
        <v>45917</v>
      </c>
      <c r="C668" s="12">
        <v>0.3125</v>
      </c>
      <c r="D668" s="13">
        <f>Weekly!E94</f>
        <v>0</v>
      </c>
      <c r="E668" s="13" t="str">
        <f t="shared" si="109"/>
        <v/>
      </c>
      <c r="F668" s="13" t="str">
        <f t="shared" si="112"/>
        <v/>
      </c>
      <c r="G668" s="13" t="str">
        <f t="shared" si="110"/>
        <v/>
      </c>
      <c r="H668" s="13" t="str">
        <f t="shared" si="111"/>
        <v/>
      </c>
      <c r="I668" s="14" t="str">
        <f t="array" ref="I668">IF(getRGB1(Weekly!E94)="FFFF00","초방","재방")</f>
        <v>재방</v>
      </c>
    </row>
    <row r="669" spans="1:9" ht="11.25" customHeight="1" x14ac:dyDescent="0.3">
      <c r="A669" s="10" t="str">
        <f t="shared" si="108"/>
        <v/>
      </c>
      <c r="B669" s="11">
        <f>Weekly!$E$3</f>
        <v>45917</v>
      </c>
      <c r="C669" s="12">
        <v>0.31597222222222199</v>
      </c>
      <c r="D669" s="13">
        <f>Weekly!E95</f>
        <v>0</v>
      </c>
      <c r="E669" s="13" t="str">
        <f t="shared" si="109"/>
        <v/>
      </c>
      <c r="F669" s="13" t="str">
        <f t="shared" si="112"/>
        <v/>
      </c>
      <c r="G669" s="13" t="str">
        <f t="shared" si="110"/>
        <v/>
      </c>
      <c r="H669" s="13" t="str">
        <f t="shared" si="111"/>
        <v/>
      </c>
      <c r="I669" s="14" t="str">
        <f t="array" ref="I669">IF(getRGB1(Weekly!E95)="FFFF00","초방","재방")</f>
        <v>재방</v>
      </c>
    </row>
    <row r="670" spans="1:9" ht="11.25" customHeight="1" x14ac:dyDescent="0.3">
      <c r="A670" s="10" t="str">
        <f t="shared" si="108"/>
        <v/>
      </c>
      <c r="B670" s="11">
        <f>Weekly!$E$3</f>
        <v>45917</v>
      </c>
      <c r="C670" s="12">
        <v>0.31944444444444398</v>
      </c>
      <c r="D670" s="13">
        <f>Weekly!E96</f>
        <v>0</v>
      </c>
      <c r="E670" s="13" t="str">
        <f t="shared" si="109"/>
        <v/>
      </c>
      <c r="F670" s="13" t="str">
        <f t="shared" si="112"/>
        <v/>
      </c>
      <c r="G670" s="13" t="str">
        <f t="shared" si="110"/>
        <v/>
      </c>
      <c r="H670" s="13" t="str">
        <f t="shared" si="111"/>
        <v/>
      </c>
      <c r="I670" s="14" t="str">
        <f t="array" ref="I670">IF(getRGB1(Weekly!E96)="FFFF00","초방","재방")</f>
        <v>재방</v>
      </c>
    </row>
    <row r="671" spans="1:9" ht="11.25" customHeight="1" x14ac:dyDescent="0.3">
      <c r="A671" s="10" t="str">
        <f t="shared" si="108"/>
        <v/>
      </c>
      <c r="B671" s="11">
        <f>Weekly!$E$3</f>
        <v>45917</v>
      </c>
      <c r="C671" s="12">
        <v>0.32291666666666702</v>
      </c>
      <c r="D671" s="13">
        <f>Weekly!E97</f>
        <v>0</v>
      </c>
      <c r="E671" s="13" t="str">
        <f t="shared" si="109"/>
        <v/>
      </c>
      <c r="F671" s="13" t="str">
        <f t="shared" si="112"/>
        <v/>
      </c>
      <c r="G671" s="13" t="str">
        <f t="shared" si="110"/>
        <v/>
      </c>
      <c r="H671" s="13" t="str">
        <f t="shared" si="111"/>
        <v/>
      </c>
      <c r="I671" s="14" t="str">
        <f t="array" ref="I671">IF(getRGB1(Weekly!E97)="FFFF00","초방","재방")</f>
        <v>재방</v>
      </c>
    </row>
    <row r="672" spans="1:9" ht="11.25" customHeight="1" x14ac:dyDescent="0.3">
      <c r="A672" s="10" t="str">
        <f t="shared" si="108"/>
        <v/>
      </c>
      <c r="B672" s="11">
        <f>Weekly!$E$3</f>
        <v>45917</v>
      </c>
      <c r="C672" s="12">
        <v>0.32638888888888901</v>
      </c>
      <c r="D672" s="13">
        <f>Weekly!E98</f>
        <v>0</v>
      </c>
      <c r="E672" s="13" t="str">
        <f t="shared" si="109"/>
        <v/>
      </c>
      <c r="F672" s="13" t="str">
        <f t="shared" si="112"/>
        <v/>
      </c>
      <c r="G672" s="13" t="str">
        <f t="shared" si="110"/>
        <v/>
      </c>
      <c r="H672" s="13" t="str">
        <f t="shared" si="111"/>
        <v/>
      </c>
      <c r="I672" s="14" t="str">
        <f t="array" ref="I672">IF(getRGB1(Weekly!E98)="FFFF00","초방","재방")</f>
        <v>재방</v>
      </c>
    </row>
    <row r="673" spans="1:9" ht="11.25" customHeight="1" x14ac:dyDescent="0.3">
      <c r="A673" s="10" t="str">
        <f t="shared" si="108"/>
        <v/>
      </c>
      <c r="B673" s="11">
        <f>Weekly!$E$3</f>
        <v>45917</v>
      </c>
      <c r="C673" s="12">
        <v>0.32986111111111099</v>
      </c>
      <c r="D673" s="13">
        <f>Weekly!E99</f>
        <v>0</v>
      </c>
      <c r="E673" s="13" t="str">
        <f t="shared" si="109"/>
        <v/>
      </c>
      <c r="F673" s="13" t="str">
        <f t="shared" si="112"/>
        <v/>
      </c>
      <c r="G673" s="13" t="str">
        <f t="shared" si="110"/>
        <v/>
      </c>
      <c r="H673" s="13" t="str">
        <f t="shared" si="111"/>
        <v/>
      </c>
      <c r="I673" s="14" t="str">
        <f t="array" ref="I673">IF(getRGB1(Weekly!E99)="FFFF00","초방","재방")</f>
        <v>재방</v>
      </c>
    </row>
    <row r="674" spans="1:9" ht="11.25" customHeight="1" x14ac:dyDescent="0.3">
      <c r="A674" s="10">
        <f t="shared" si="108"/>
        <v>45917.333333333336</v>
      </c>
      <c r="B674" s="11">
        <f>Weekly!$E$3</f>
        <v>45917</v>
      </c>
      <c r="C674" s="12">
        <v>0.33333333333333298</v>
      </c>
      <c r="D674" s="13" t="str">
        <f>Weekly!E100</f>
        <v xml:space="preserve"> NEWSPLUS
&lt;64</v>
      </c>
      <c r="E674" s="13" t="str">
        <f t="shared" si="109"/>
        <v>NEWSPLUS</v>
      </c>
      <c r="F674" s="13">
        <f t="shared" si="112"/>
        <v>64</v>
      </c>
      <c r="G674" s="13" t="str">
        <f t="shared" si="110"/>
        <v/>
      </c>
      <c r="H674" s="13" t="str">
        <f t="shared" si="111"/>
        <v/>
      </c>
      <c r="I674" s="14" t="str">
        <f t="array" ref="I674">IF(getRGB1(Weekly!E100)="FFFF00","초방","재방")</f>
        <v>초방</v>
      </c>
    </row>
    <row r="675" spans="1:9" ht="11.25" customHeight="1" x14ac:dyDescent="0.3">
      <c r="A675" s="10" t="str">
        <f t="shared" si="108"/>
        <v/>
      </c>
      <c r="B675" s="11">
        <f>Weekly!$E$3</f>
        <v>45917</v>
      </c>
      <c r="C675" s="12">
        <v>0.33680555555555602</v>
      </c>
      <c r="D675" s="13">
        <f>Weekly!E101</f>
        <v>0</v>
      </c>
      <c r="E675" s="13" t="str">
        <f t="shared" si="109"/>
        <v/>
      </c>
      <c r="F675" s="13" t="str">
        <f t="shared" si="112"/>
        <v/>
      </c>
      <c r="G675" s="13" t="str">
        <f t="shared" si="110"/>
        <v/>
      </c>
      <c r="H675" s="13" t="str">
        <f t="shared" si="111"/>
        <v/>
      </c>
      <c r="I675" s="14" t="str">
        <f t="array" ref="I675">IF(getRGB1(Weekly!E101)="FFFF00","초방","재방")</f>
        <v>초방</v>
      </c>
    </row>
    <row r="676" spans="1:9" ht="11.25" customHeight="1" x14ac:dyDescent="0.3">
      <c r="A676" s="10" t="str">
        <f t="shared" si="108"/>
        <v/>
      </c>
      <c r="B676" s="11">
        <f>Weekly!$E$3</f>
        <v>45917</v>
      </c>
      <c r="C676" s="12">
        <v>0.34027777777777801</v>
      </c>
      <c r="D676" s="13">
        <f>Weekly!E102</f>
        <v>0</v>
      </c>
      <c r="E676" s="13" t="str">
        <f t="shared" si="109"/>
        <v/>
      </c>
      <c r="F676" s="13" t="str">
        <f t="shared" si="112"/>
        <v/>
      </c>
      <c r="G676" s="13" t="str">
        <f t="shared" si="110"/>
        <v/>
      </c>
      <c r="H676" s="13" t="str">
        <f t="shared" si="111"/>
        <v/>
      </c>
      <c r="I676" s="14" t="str">
        <f t="array" ref="I676">IF(getRGB1(Weekly!E102)="FFFF00","초방","재방")</f>
        <v>초방</v>
      </c>
    </row>
    <row r="677" spans="1:9" ht="11.25" customHeight="1" x14ac:dyDescent="0.3">
      <c r="A677" s="10" t="str">
        <f t="shared" si="108"/>
        <v/>
      </c>
      <c r="B677" s="11">
        <f>Weekly!$E$3</f>
        <v>45917</v>
      </c>
      <c r="C677" s="12">
        <v>0.34375</v>
      </c>
      <c r="D677" s="13">
        <f>Weekly!E103</f>
        <v>0</v>
      </c>
      <c r="E677" s="13" t="str">
        <f t="shared" si="109"/>
        <v/>
      </c>
      <c r="F677" s="13" t="str">
        <f t="shared" si="112"/>
        <v/>
      </c>
      <c r="G677" s="13" t="str">
        <f t="shared" si="110"/>
        <v/>
      </c>
      <c r="H677" s="13" t="str">
        <f t="shared" si="111"/>
        <v/>
      </c>
      <c r="I677" s="14" t="str">
        <f t="array" ref="I677">IF(getRGB1(Weekly!E103)="FFFF00","초방","재방")</f>
        <v>초방</v>
      </c>
    </row>
    <row r="678" spans="1:9" ht="11.25" customHeight="1" x14ac:dyDescent="0.3">
      <c r="A678" s="10" t="str">
        <f t="shared" si="108"/>
        <v/>
      </c>
      <c r="B678" s="11">
        <f>Weekly!$E$3</f>
        <v>45917</v>
      </c>
      <c r="C678" s="12">
        <v>0.34722222222222199</v>
      </c>
      <c r="D678" s="13">
        <f>Weekly!E104</f>
        <v>0</v>
      </c>
      <c r="E678" s="13" t="str">
        <f t="shared" si="109"/>
        <v/>
      </c>
      <c r="F678" s="13" t="str">
        <f t="shared" si="112"/>
        <v/>
      </c>
      <c r="G678" s="13" t="str">
        <f t="shared" si="110"/>
        <v/>
      </c>
      <c r="H678" s="13" t="str">
        <f t="shared" si="111"/>
        <v/>
      </c>
      <c r="I678" s="14" t="str">
        <f t="array" ref="I678">IF(getRGB1(Weekly!E104)="FFFF00","초방","재방")</f>
        <v>초방</v>
      </c>
    </row>
    <row r="679" spans="1:9" ht="11.25" customHeight="1" x14ac:dyDescent="0.3">
      <c r="A679" s="10" t="str">
        <f t="shared" si="108"/>
        <v/>
      </c>
      <c r="B679" s="11">
        <f>Weekly!$E$3</f>
        <v>45917</v>
      </c>
      <c r="C679" s="12">
        <v>0.35069444444444398</v>
      </c>
      <c r="D679" s="13">
        <f>Weekly!E105</f>
        <v>0</v>
      </c>
      <c r="E679" s="13" t="str">
        <f t="shared" si="109"/>
        <v/>
      </c>
      <c r="F679" s="13" t="str">
        <f t="shared" si="112"/>
        <v/>
      </c>
      <c r="G679" s="13" t="str">
        <f t="shared" si="110"/>
        <v/>
      </c>
      <c r="H679" s="13" t="str">
        <f t="shared" si="111"/>
        <v/>
      </c>
      <c r="I679" s="14" t="str">
        <f t="array" ref="I679">IF(getRGB1(Weekly!E105)="FFFF00","초방","재방")</f>
        <v>초방</v>
      </c>
    </row>
    <row r="680" spans="1:9" ht="11.25" customHeight="1" x14ac:dyDescent="0.3">
      <c r="A680" s="10">
        <f t="shared" si="108"/>
        <v>45917.354166666664</v>
      </c>
      <c r="B680" s="11">
        <f>Weekly!$E$3</f>
        <v>45917</v>
      </c>
      <c r="C680" s="12">
        <v>0.35416666666666702</v>
      </c>
      <c r="D680" s="13" t="str">
        <f>Weekly!E106</f>
        <v>남도스럽게
&lt;05</v>
      </c>
      <c r="E680" s="13" t="str">
        <f t="shared" si="109"/>
        <v>남도스럽게</v>
      </c>
      <c r="F680" s="13">
        <f t="shared" si="112"/>
        <v>5</v>
      </c>
      <c r="G680" s="13" t="str">
        <f t="shared" si="110"/>
        <v/>
      </c>
      <c r="H680" s="13" t="str">
        <f t="shared" si="111"/>
        <v/>
      </c>
      <c r="I680" s="14" t="str">
        <f t="array" ref="I680">IF(getRGB1(Weekly!E106)="FFFF00","초방","재방")</f>
        <v>재방</v>
      </c>
    </row>
    <row r="681" spans="1:9" ht="11.25" customHeight="1" x14ac:dyDescent="0.3">
      <c r="A681" s="10" t="str">
        <f t="shared" si="108"/>
        <v/>
      </c>
      <c r="B681" s="11">
        <f>Weekly!$E$3</f>
        <v>45917</v>
      </c>
      <c r="C681" s="12">
        <v>0.35763888888888901</v>
      </c>
      <c r="D681" s="13">
        <f>Weekly!E107</f>
        <v>0</v>
      </c>
      <c r="E681" s="13" t="str">
        <f t="shared" si="109"/>
        <v/>
      </c>
      <c r="F681" s="13" t="str">
        <f t="shared" si="112"/>
        <v/>
      </c>
      <c r="G681" s="13" t="str">
        <f t="shared" si="110"/>
        <v/>
      </c>
      <c r="H681" s="13" t="str">
        <f t="shared" si="111"/>
        <v/>
      </c>
      <c r="I681" s="14" t="str">
        <f t="array" ref="I681">IF(getRGB1(Weekly!E107)="FFFF00","초방","재방")</f>
        <v>재방</v>
      </c>
    </row>
    <row r="682" spans="1:9" ht="11.25" customHeight="1" x14ac:dyDescent="0.3">
      <c r="A682" s="10" t="str">
        <f t="shared" si="108"/>
        <v/>
      </c>
      <c r="B682" s="11">
        <f>Weekly!$E$3</f>
        <v>45917</v>
      </c>
      <c r="C682" s="12">
        <v>0.36111111111111099</v>
      </c>
      <c r="D682" s="13">
        <f>Weekly!E108</f>
        <v>0</v>
      </c>
      <c r="E682" s="13" t="str">
        <f t="shared" si="109"/>
        <v/>
      </c>
      <c r="F682" s="13" t="str">
        <f t="shared" si="112"/>
        <v/>
      </c>
      <c r="G682" s="13" t="str">
        <f t="shared" si="110"/>
        <v/>
      </c>
      <c r="H682" s="13" t="str">
        <f t="shared" si="111"/>
        <v/>
      </c>
      <c r="I682" s="14" t="str">
        <f t="array" ref="I682">IF(getRGB1(Weekly!E108)="FFFF00","초방","재방")</f>
        <v>재방</v>
      </c>
    </row>
    <row r="683" spans="1:9" ht="11.25" customHeight="1" x14ac:dyDescent="0.3">
      <c r="A683" s="10" t="str">
        <f t="shared" si="108"/>
        <v/>
      </c>
      <c r="B683" s="11">
        <f>Weekly!$E$3</f>
        <v>45917</v>
      </c>
      <c r="C683" s="12">
        <v>0.36458333333333298</v>
      </c>
      <c r="D683" s="13">
        <f>Weekly!E109</f>
        <v>0</v>
      </c>
      <c r="E683" s="13" t="str">
        <f t="shared" si="109"/>
        <v/>
      </c>
      <c r="F683" s="13" t="str">
        <f t="shared" si="112"/>
        <v/>
      </c>
      <c r="G683" s="13" t="str">
        <f t="shared" si="110"/>
        <v/>
      </c>
      <c r="H683" s="13" t="str">
        <f t="shared" si="111"/>
        <v/>
      </c>
      <c r="I683" s="14" t="str">
        <f t="array" ref="I683">IF(getRGB1(Weekly!E109)="FFFF00","초방","재방")</f>
        <v>재방</v>
      </c>
    </row>
    <row r="684" spans="1:9" ht="11.25" customHeight="1" x14ac:dyDescent="0.3">
      <c r="A684" s="10" t="str">
        <f t="shared" si="108"/>
        <v/>
      </c>
      <c r="B684" s="11">
        <f>Weekly!$E$3</f>
        <v>45917</v>
      </c>
      <c r="C684" s="12">
        <v>0.36805555555555602</v>
      </c>
      <c r="D684" s="13">
        <f>Weekly!E110</f>
        <v>0</v>
      </c>
      <c r="E684" s="13" t="str">
        <f t="shared" si="109"/>
        <v/>
      </c>
      <c r="F684" s="13" t="str">
        <f t="shared" si="112"/>
        <v/>
      </c>
      <c r="G684" s="13" t="str">
        <f t="shared" si="110"/>
        <v/>
      </c>
      <c r="H684" s="13" t="str">
        <f t="shared" si="111"/>
        <v/>
      </c>
      <c r="I684" s="14" t="str">
        <f t="array" ref="I684">IF(getRGB1(Weekly!E110)="FFFF00","초방","재방")</f>
        <v>재방</v>
      </c>
    </row>
    <row r="685" spans="1:9" ht="11.25" customHeight="1" x14ac:dyDescent="0.3">
      <c r="A685" s="10" t="str">
        <f t="shared" si="108"/>
        <v/>
      </c>
      <c r="B685" s="11">
        <f>Weekly!$E$3</f>
        <v>45917</v>
      </c>
      <c r="C685" s="12">
        <v>0.37152777777777801</v>
      </c>
      <c r="D685" s="13">
        <f>Weekly!E111</f>
        <v>0</v>
      </c>
      <c r="E685" s="13" t="str">
        <f t="shared" si="109"/>
        <v/>
      </c>
      <c r="F685" s="13" t="str">
        <f t="shared" si="112"/>
        <v/>
      </c>
      <c r="G685" s="13" t="str">
        <f t="shared" si="110"/>
        <v/>
      </c>
      <c r="H685" s="13" t="str">
        <f t="shared" si="111"/>
        <v/>
      </c>
      <c r="I685" s="14" t="str">
        <f t="array" ref="I685">IF(getRGB1(Weekly!E111)="FFFF00","초방","재방")</f>
        <v>재방</v>
      </c>
    </row>
    <row r="686" spans="1:9" ht="11.25" customHeight="1" x14ac:dyDescent="0.3">
      <c r="A686" s="10" t="str">
        <f t="shared" si="108"/>
        <v/>
      </c>
      <c r="B686" s="11">
        <f>Weekly!$E$3</f>
        <v>45917</v>
      </c>
      <c r="C686" s="12">
        <v>0.375</v>
      </c>
      <c r="D686" s="13">
        <f>Weekly!E112</f>
        <v>0</v>
      </c>
      <c r="E686" s="13" t="str">
        <f t="shared" si="109"/>
        <v/>
      </c>
      <c r="F686" s="13" t="str">
        <f t="shared" si="112"/>
        <v/>
      </c>
      <c r="G686" s="13" t="str">
        <f t="shared" si="110"/>
        <v/>
      </c>
      <c r="H686" s="13" t="str">
        <f t="shared" si="111"/>
        <v/>
      </c>
      <c r="I686" s="14" t="str">
        <f t="array" ref="I686">IF(getRGB1(Weekly!E112)="FFFF00","초방","재방")</f>
        <v>재방</v>
      </c>
    </row>
    <row r="687" spans="1:9" ht="11.25" customHeight="1" x14ac:dyDescent="0.3">
      <c r="A687" s="10" t="str">
        <f t="shared" si="108"/>
        <v/>
      </c>
      <c r="B687" s="11">
        <f>Weekly!$E$3</f>
        <v>45917</v>
      </c>
      <c r="C687" s="12">
        <v>0.37847222222222199</v>
      </c>
      <c r="D687" s="13">
        <f>Weekly!E113</f>
        <v>0</v>
      </c>
      <c r="E687" s="13" t="str">
        <f t="shared" si="109"/>
        <v/>
      </c>
      <c r="F687" s="13" t="str">
        <f t="shared" si="112"/>
        <v/>
      </c>
      <c r="G687" s="13" t="str">
        <f t="shared" si="110"/>
        <v/>
      </c>
      <c r="H687" s="13" t="str">
        <f t="shared" si="111"/>
        <v/>
      </c>
      <c r="I687" s="14" t="str">
        <f t="array" ref="I687">IF(getRGB1(Weekly!E113)="FFFF00","초방","재방")</f>
        <v>재방</v>
      </c>
    </row>
    <row r="688" spans="1:9" ht="11.25" customHeight="1" x14ac:dyDescent="0.3">
      <c r="A688" s="10" t="str">
        <f t="shared" si="108"/>
        <v/>
      </c>
      <c r="B688" s="11">
        <f>Weekly!$E$3</f>
        <v>45917</v>
      </c>
      <c r="C688" s="12">
        <v>0.38194444444444398</v>
      </c>
      <c r="D688" s="13">
        <f>Weekly!E114</f>
        <v>0</v>
      </c>
      <c r="E688" s="13" t="str">
        <f t="shared" si="109"/>
        <v/>
      </c>
      <c r="F688" s="13" t="str">
        <f t="shared" si="112"/>
        <v/>
      </c>
      <c r="G688" s="13" t="str">
        <f t="shared" si="110"/>
        <v/>
      </c>
      <c r="H688" s="13" t="str">
        <f t="shared" si="111"/>
        <v/>
      </c>
      <c r="I688" s="14" t="str">
        <f t="array" ref="I688">IF(getRGB1(Weekly!E114)="FFFF00","초방","재방")</f>
        <v>재방</v>
      </c>
    </row>
    <row r="689" spans="1:9" ht="11.25" customHeight="1" x14ac:dyDescent="0.3">
      <c r="A689" s="10" t="str">
        <f t="shared" si="108"/>
        <v/>
      </c>
      <c r="B689" s="11">
        <f>Weekly!$E$3</f>
        <v>45917</v>
      </c>
      <c r="C689" s="12">
        <v>0.38541666666666702</v>
      </c>
      <c r="D689" s="13">
        <f>Weekly!E115</f>
        <v>0</v>
      </c>
      <c r="E689" s="13" t="str">
        <f t="shared" si="109"/>
        <v/>
      </c>
      <c r="F689" s="13" t="str">
        <f t="shared" si="112"/>
        <v/>
      </c>
      <c r="G689" s="13" t="str">
        <f t="shared" si="110"/>
        <v/>
      </c>
      <c r="H689" s="13" t="str">
        <f t="shared" si="111"/>
        <v/>
      </c>
      <c r="I689" s="14" t="str">
        <f t="array" ref="I689">IF(getRGB1(Weekly!E115)="FFFF00","초방","재방")</f>
        <v>재방</v>
      </c>
    </row>
    <row r="690" spans="1:9" ht="11.25" customHeight="1" x14ac:dyDescent="0.3">
      <c r="A690" s="10">
        <f t="shared" si="108"/>
        <v>45917.388888888891</v>
      </c>
      <c r="B690" s="11">
        <f>Weekly!$E$3</f>
        <v>45917</v>
      </c>
      <c r="C690" s="12">
        <v>0.38888888888888901</v>
      </c>
      <c r="D690" s="13" t="str">
        <f>Weekly!E116</f>
        <v>눈에 띄는 그녀들 시즌3
&lt;09</v>
      </c>
      <c r="E690" s="13" t="str">
        <f t="shared" si="109"/>
        <v>눈에 띄는 그녀들 시즌3</v>
      </c>
      <c r="F690" s="13">
        <f t="shared" si="112"/>
        <v>9</v>
      </c>
      <c r="G690" s="13" t="str">
        <f t="shared" si="110"/>
        <v/>
      </c>
      <c r="H690" s="13" t="str">
        <f t="shared" si="111"/>
        <v/>
      </c>
      <c r="I690" s="14" t="str">
        <f t="array" ref="I690">IF(getRGB1(Weekly!E116)="FFFF00","초방","재방")</f>
        <v>재방</v>
      </c>
    </row>
    <row r="691" spans="1:9" ht="11.25" customHeight="1" x14ac:dyDescent="0.3">
      <c r="A691" s="10" t="str">
        <f t="shared" si="108"/>
        <v/>
      </c>
      <c r="B691" s="11">
        <f>Weekly!$E$3</f>
        <v>45917</v>
      </c>
      <c r="C691" s="12">
        <v>0.39236111111111099</v>
      </c>
      <c r="D691" s="13">
        <f>Weekly!E117</f>
        <v>0</v>
      </c>
      <c r="E691" s="13" t="str">
        <f t="shared" si="109"/>
        <v/>
      </c>
      <c r="F691" s="13" t="str">
        <f t="shared" si="112"/>
        <v/>
      </c>
      <c r="G691" s="13" t="str">
        <f t="shared" si="110"/>
        <v/>
      </c>
      <c r="H691" s="13" t="str">
        <f t="shared" si="111"/>
        <v/>
      </c>
      <c r="I691" s="14" t="str">
        <f t="array" ref="I691">IF(getRGB1(Weekly!E117)="FFFF00","초방","재방")</f>
        <v>재방</v>
      </c>
    </row>
    <row r="692" spans="1:9" ht="11.25" customHeight="1" x14ac:dyDescent="0.3">
      <c r="A692" s="10" t="str">
        <f t="shared" si="108"/>
        <v/>
      </c>
      <c r="B692" s="11">
        <f>Weekly!$E$3</f>
        <v>45917</v>
      </c>
      <c r="C692" s="12">
        <v>0.39583333333333298</v>
      </c>
      <c r="D692" s="13">
        <f>Weekly!E118</f>
        <v>0</v>
      </c>
      <c r="E692" s="13" t="str">
        <f t="shared" si="109"/>
        <v/>
      </c>
      <c r="F692" s="13" t="str">
        <f t="shared" si="112"/>
        <v/>
      </c>
      <c r="G692" s="13" t="str">
        <f t="shared" si="110"/>
        <v/>
      </c>
      <c r="H692" s="13" t="str">
        <f t="shared" si="111"/>
        <v/>
      </c>
      <c r="I692" s="14" t="str">
        <f t="array" ref="I692">IF(getRGB1(Weekly!E118)="FFFF00","초방","재방")</f>
        <v>재방</v>
      </c>
    </row>
    <row r="693" spans="1:9" ht="11.25" customHeight="1" x14ac:dyDescent="0.3">
      <c r="A693" s="10" t="str">
        <f t="shared" si="108"/>
        <v/>
      </c>
      <c r="B693" s="11">
        <f>Weekly!$E$3</f>
        <v>45917</v>
      </c>
      <c r="C693" s="12">
        <v>0.39930555555555602</v>
      </c>
      <c r="D693" s="13">
        <f>Weekly!E119</f>
        <v>0</v>
      </c>
      <c r="E693" s="13" t="str">
        <f t="shared" si="109"/>
        <v/>
      </c>
      <c r="F693" s="13" t="str">
        <f t="shared" si="112"/>
        <v/>
      </c>
      <c r="G693" s="13" t="str">
        <f t="shared" si="110"/>
        <v/>
      </c>
      <c r="H693" s="13" t="str">
        <f t="shared" si="111"/>
        <v/>
      </c>
      <c r="I693" s="14" t="str">
        <f t="array" ref="I693">IF(getRGB1(Weekly!E119)="FFFF00","초방","재방")</f>
        <v>재방</v>
      </c>
    </row>
    <row r="694" spans="1:9" ht="11.25" customHeight="1" x14ac:dyDescent="0.3">
      <c r="A694" s="10" t="str">
        <f t="shared" si="108"/>
        <v/>
      </c>
      <c r="B694" s="11">
        <f>Weekly!$E$3</f>
        <v>45917</v>
      </c>
      <c r="C694" s="12">
        <v>0.40277777777777801</v>
      </c>
      <c r="D694" s="13">
        <f>Weekly!E120</f>
        <v>0</v>
      </c>
      <c r="E694" s="13" t="str">
        <f t="shared" si="109"/>
        <v/>
      </c>
      <c r="F694" s="13" t="str">
        <f t="shared" si="112"/>
        <v/>
      </c>
      <c r="G694" s="13" t="str">
        <f t="shared" si="110"/>
        <v/>
      </c>
      <c r="H694" s="13" t="str">
        <f t="shared" si="111"/>
        <v/>
      </c>
      <c r="I694" s="14" t="str">
        <f t="array" ref="I694">IF(getRGB1(Weekly!E120)="FFFF00","초방","재방")</f>
        <v>재방</v>
      </c>
    </row>
    <row r="695" spans="1:9" ht="11.25" customHeight="1" x14ac:dyDescent="0.3">
      <c r="A695" s="10" t="str">
        <f t="shared" si="108"/>
        <v/>
      </c>
      <c r="B695" s="11">
        <f>Weekly!$E$3</f>
        <v>45917</v>
      </c>
      <c r="C695" s="12">
        <v>0.40625</v>
      </c>
      <c r="D695" s="13">
        <f>Weekly!E121</f>
        <v>0</v>
      </c>
      <c r="E695" s="13" t="str">
        <f t="shared" si="109"/>
        <v/>
      </c>
      <c r="F695" s="13" t="str">
        <f t="shared" si="112"/>
        <v/>
      </c>
      <c r="G695" s="13" t="str">
        <f t="shared" si="110"/>
        <v/>
      </c>
      <c r="H695" s="13" t="str">
        <f t="shared" si="111"/>
        <v/>
      </c>
      <c r="I695" s="14" t="str">
        <f t="array" ref="I695">IF(getRGB1(Weekly!E121)="FFFF00","초방","재방")</f>
        <v>재방</v>
      </c>
    </row>
    <row r="696" spans="1:9" ht="11.25" customHeight="1" x14ac:dyDescent="0.3">
      <c r="A696" s="10" t="str">
        <f t="shared" si="108"/>
        <v/>
      </c>
      <c r="B696" s="11">
        <f>Weekly!$E$3</f>
        <v>45917</v>
      </c>
      <c r="C696" s="12">
        <v>0.40972222222222199</v>
      </c>
      <c r="D696" s="13">
        <f>Weekly!E122</f>
        <v>0</v>
      </c>
      <c r="E696" s="13" t="str">
        <f t="shared" si="109"/>
        <v/>
      </c>
      <c r="F696" s="13" t="str">
        <f t="shared" si="112"/>
        <v/>
      </c>
      <c r="G696" s="13" t="str">
        <f t="shared" si="110"/>
        <v/>
      </c>
      <c r="H696" s="13" t="str">
        <f t="shared" si="111"/>
        <v/>
      </c>
      <c r="I696" s="14" t="str">
        <f t="array" ref="I696">IF(getRGB1(Weekly!E122)="FFFF00","초방","재방")</f>
        <v>재방</v>
      </c>
    </row>
    <row r="697" spans="1:9" ht="11.25" customHeight="1" x14ac:dyDescent="0.3">
      <c r="A697" s="10" t="str">
        <f t="shared" si="108"/>
        <v/>
      </c>
      <c r="B697" s="11">
        <f>Weekly!$E$3</f>
        <v>45917</v>
      </c>
      <c r="C697" s="12">
        <v>0.41319444444444398</v>
      </c>
      <c r="D697" s="13">
        <f>Weekly!E123</f>
        <v>0</v>
      </c>
      <c r="E697" s="13" t="str">
        <f t="shared" si="109"/>
        <v/>
      </c>
      <c r="F697" s="13" t="str">
        <f t="shared" si="112"/>
        <v/>
      </c>
      <c r="G697" s="13" t="str">
        <f t="shared" si="110"/>
        <v/>
      </c>
      <c r="H697" s="13" t="str">
        <f t="shared" si="111"/>
        <v/>
      </c>
      <c r="I697" s="14" t="str">
        <f t="array" ref="I697">IF(getRGB1(Weekly!E123)="FFFF00","초방","재방")</f>
        <v>재방</v>
      </c>
    </row>
    <row r="698" spans="1:9" ht="11.25" customHeight="1" x14ac:dyDescent="0.3">
      <c r="A698" s="10">
        <f t="shared" si="108"/>
        <v>45917.416666666664</v>
      </c>
      <c r="B698" s="11">
        <f>Weekly!$E$3</f>
        <v>45917</v>
      </c>
      <c r="C698" s="12">
        <v>0.41666666666666702</v>
      </c>
      <c r="D698" s="13" t="str">
        <f>Weekly!E124</f>
        <v>특집 2026 지방선거_서울특별시의회 생생중계_본회의
&lt;17</v>
      </c>
      <c r="E698" s="13" t="str">
        <f t="shared" si="109"/>
        <v>특집 2026 지방선거_서울특별시의회 생생중계_본회의</v>
      </c>
      <c r="F698" s="13">
        <f t="shared" si="112"/>
        <v>17</v>
      </c>
      <c r="G698" s="13" t="str">
        <f t="shared" si="110"/>
        <v/>
      </c>
      <c r="H698" s="13" t="str">
        <f t="shared" si="111"/>
        <v/>
      </c>
      <c r="I698" s="14" t="str">
        <f t="array" ref="I698">IF(getRGB1(Weekly!E124)="FFFF00","초방","재방")</f>
        <v>초방</v>
      </c>
    </row>
    <row r="699" spans="1:9" ht="11.25" customHeight="1" x14ac:dyDescent="0.3">
      <c r="A699" s="10" t="str">
        <f t="shared" si="108"/>
        <v/>
      </c>
      <c r="B699" s="11">
        <f>Weekly!$E$3</f>
        <v>45917</v>
      </c>
      <c r="C699" s="12">
        <v>0.42013888888888901</v>
      </c>
      <c r="D699" s="13">
        <f>Weekly!E125</f>
        <v>0</v>
      </c>
      <c r="E699" s="13" t="str">
        <f t="shared" si="109"/>
        <v/>
      </c>
      <c r="F699" s="13" t="str">
        <f t="shared" si="112"/>
        <v/>
      </c>
      <c r="G699" s="13" t="str">
        <f t="shared" si="110"/>
        <v/>
      </c>
      <c r="H699" s="13" t="str">
        <f t="shared" si="111"/>
        <v/>
      </c>
      <c r="I699" s="14" t="str">
        <f t="array" ref="I699">IF(getRGB1(Weekly!E125)="FFFF00","초방","재방")</f>
        <v>초방</v>
      </c>
    </row>
    <row r="700" spans="1:9" ht="11.25" customHeight="1" x14ac:dyDescent="0.3">
      <c r="A700" s="10" t="str">
        <f t="shared" si="108"/>
        <v/>
      </c>
      <c r="B700" s="11">
        <f>Weekly!$E$3</f>
        <v>45917</v>
      </c>
      <c r="C700" s="12">
        <v>0.42361111111111099</v>
      </c>
      <c r="D700" s="13">
        <f>Weekly!E126</f>
        <v>0</v>
      </c>
      <c r="E700" s="13" t="str">
        <f t="shared" si="109"/>
        <v/>
      </c>
      <c r="F700" s="13" t="str">
        <f t="shared" si="112"/>
        <v/>
      </c>
      <c r="G700" s="13" t="str">
        <f t="shared" si="110"/>
        <v/>
      </c>
      <c r="H700" s="13" t="str">
        <f t="shared" si="111"/>
        <v/>
      </c>
      <c r="I700" s="14" t="str">
        <f t="array" ref="I700">IF(getRGB1(Weekly!E126)="FFFF00","초방","재방")</f>
        <v>초방</v>
      </c>
    </row>
    <row r="701" spans="1:9" ht="11.25" customHeight="1" x14ac:dyDescent="0.3">
      <c r="A701" s="10" t="str">
        <f t="shared" si="108"/>
        <v/>
      </c>
      <c r="B701" s="11">
        <f>Weekly!$E$3</f>
        <v>45917</v>
      </c>
      <c r="C701" s="12">
        <v>0.42708333333333298</v>
      </c>
      <c r="D701" s="13">
        <f>Weekly!E127</f>
        <v>0</v>
      </c>
      <c r="E701" s="13" t="str">
        <f t="shared" si="109"/>
        <v/>
      </c>
      <c r="F701" s="13" t="str">
        <f t="shared" si="112"/>
        <v/>
      </c>
      <c r="G701" s="13" t="str">
        <f t="shared" si="110"/>
        <v/>
      </c>
      <c r="H701" s="13" t="str">
        <f t="shared" si="111"/>
        <v/>
      </c>
      <c r="I701" s="14" t="str">
        <f t="array" ref="I701">IF(getRGB1(Weekly!E127)="FFFF00","초방","재방")</f>
        <v>초방</v>
      </c>
    </row>
    <row r="702" spans="1:9" ht="11.25" customHeight="1" x14ac:dyDescent="0.3">
      <c r="A702" s="10" t="str">
        <f t="shared" si="108"/>
        <v/>
      </c>
      <c r="B702" s="11">
        <f>Weekly!$E$3</f>
        <v>45917</v>
      </c>
      <c r="C702" s="12">
        <v>0.43055555555555602</v>
      </c>
      <c r="D702" s="13">
        <f>Weekly!E128</f>
        <v>0</v>
      </c>
      <c r="E702" s="13" t="str">
        <f t="shared" si="109"/>
        <v/>
      </c>
      <c r="F702" s="13" t="str">
        <f t="shared" si="112"/>
        <v/>
      </c>
      <c r="G702" s="13" t="str">
        <f t="shared" si="110"/>
        <v/>
      </c>
      <c r="H702" s="13" t="str">
        <f t="shared" si="111"/>
        <v/>
      </c>
      <c r="I702" s="14" t="str">
        <f t="array" ref="I702">IF(getRGB1(Weekly!E128)="FFFF00","초방","재방")</f>
        <v>초방</v>
      </c>
    </row>
    <row r="703" spans="1:9" ht="11.25" customHeight="1" x14ac:dyDescent="0.3">
      <c r="A703" s="10" t="str">
        <f t="shared" si="108"/>
        <v/>
      </c>
      <c r="B703" s="11">
        <f>Weekly!$E$3</f>
        <v>45917</v>
      </c>
      <c r="C703" s="12">
        <v>0.43402777777777801</v>
      </c>
      <c r="D703" s="13">
        <f>Weekly!E129</f>
        <v>0</v>
      </c>
      <c r="E703" s="13" t="str">
        <f t="shared" si="109"/>
        <v/>
      </c>
      <c r="F703" s="13" t="str">
        <f t="shared" si="112"/>
        <v/>
      </c>
      <c r="G703" s="13" t="str">
        <f t="shared" si="110"/>
        <v/>
      </c>
      <c r="H703" s="13" t="str">
        <f t="shared" si="111"/>
        <v/>
      </c>
      <c r="I703" s="14" t="str">
        <f t="array" ref="I703">IF(getRGB1(Weekly!E129)="FFFF00","초방","재방")</f>
        <v>초방</v>
      </c>
    </row>
    <row r="704" spans="1:9" ht="11.25" customHeight="1" x14ac:dyDescent="0.3">
      <c r="A704" s="10" t="str">
        <f t="shared" si="108"/>
        <v/>
      </c>
      <c r="B704" s="11">
        <f>Weekly!$E$3</f>
        <v>45917</v>
      </c>
      <c r="C704" s="12">
        <v>0.4375</v>
      </c>
      <c r="D704" s="13">
        <f>Weekly!E130</f>
        <v>0</v>
      </c>
      <c r="E704" s="13" t="str">
        <f t="shared" si="109"/>
        <v/>
      </c>
      <c r="F704" s="13" t="str">
        <f t="shared" si="112"/>
        <v/>
      </c>
      <c r="G704" s="13" t="str">
        <f t="shared" si="110"/>
        <v/>
      </c>
      <c r="H704" s="13" t="str">
        <f t="shared" si="111"/>
        <v/>
      </c>
      <c r="I704" s="14" t="str">
        <f t="array" ref="I704">IF(getRGB1(Weekly!E130)="FFFF00","초방","재방")</f>
        <v>초방</v>
      </c>
    </row>
    <row r="705" spans="1:9" ht="11.25" customHeight="1" x14ac:dyDescent="0.3">
      <c r="A705" s="10" t="str">
        <f t="shared" si="108"/>
        <v/>
      </c>
      <c r="B705" s="11">
        <f>Weekly!$E$3</f>
        <v>45917</v>
      </c>
      <c r="C705" s="12">
        <v>0.44097222222222199</v>
      </c>
      <c r="D705" s="13">
        <f>Weekly!E131</f>
        <v>0</v>
      </c>
      <c r="E705" s="13" t="str">
        <f t="shared" si="109"/>
        <v/>
      </c>
      <c r="F705" s="13" t="str">
        <f t="shared" si="112"/>
        <v/>
      </c>
      <c r="G705" s="13" t="str">
        <f t="shared" si="110"/>
        <v/>
      </c>
      <c r="H705" s="13" t="str">
        <f t="shared" si="111"/>
        <v/>
      </c>
      <c r="I705" s="14" t="str">
        <f t="array" ref="I705">IF(getRGB1(Weekly!E131)="FFFF00","초방","재방")</f>
        <v>초방</v>
      </c>
    </row>
    <row r="706" spans="1:9" ht="11.25" customHeight="1" x14ac:dyDescent="0.3">
      <c r="A706" s="10" t="str">
        <f t="shared" ref="A706:A769" si="113">IF(D706&lt;&gt;0,B706+C706,"")</f>
        <v/>
      </c>
      <c r="B706" s="11">
        <f>Weekly!$E$3</f>
        <v>45917</v>
      </c>
      <c r="C706" s="12">
        <v>0.44444444444444398</v>
      </c>
      <c r="D706" s="13">
        <f>Weekly!E132</f>
        <v>0</v>
      </c>
      <c r="E706" s="13" t="str">
        <f t="shared" ref="E706:E769" si="114">IFERROR(SUBSTITUTE(SUBSTITUTE(TRIM(LEFT(D706,FIND("&lt;",D706)-1)),CHAR(10),""),"⑮ ",""),"")</f>
        <v/>
      </c>
      <c r="F706" s="13" t="str">
        <f t="shared" si="112"/>
        <v/>
      </c>
      <c r="G706" s="13" t="str">
        <f t="shared" ref="G706:G769" si="115">IFERROR(MID(D706,FIND("&gt;",D706)+1,10),"")</f>
        <v/>
      </c>
      <c r="H706" s="13" t="str">
        <f t="shared" ref="H706:H769" si="116">IFERROR(VLOOKUP(LEFT(D706,2),$W$1:$X$6,2,0),"")</f>
        <v/>
      </c>
      <c r="I706" s="14" t="str">
        <f t="array" ref="I706">IF(getRGB1(Weekly!E132)="FFFF00","초방","재방")</f>
        <v>초방</v>
      </c>
    </row>
    <row r="707" spans="1:9" ht="11.25" customHeight="1" x14ac:dyDescent="0.3">
      <c r="A707" s="10" t="str">
        <f t="shared" si="113"/>
        <v/>
      </c>
      <c r="B707" s="11">
        <f>Weekly!$E$3</f>
        <v>45917</v>
      </c>
      <c r="C707" s="12">
        <v>0.44791666666666702</v>
      </c>
      <c r="D707" s="13">
        <f>Weekly!E133</f>
        <v>0</v>
      </c>
      <c r="E707" s="13" t="str">
        <f t="shared" si="114"/>
        <v/>
      </c>
      <c r="F707" s="13" t="str">
        <f t="shared" ref="F707:F770" si="117">IFERROR((MID(D707,FIND("&lt;",D707)+1,4))*1,"")</f>
        <v/>
      </c>
      <c r="G707" s="13" t="str">
        <f t="shared" si="115"/>
        <v/>
      </c>
      <c r="H707" s="13" t="str">
        <f t="shared" si="116"/>
        <v/>
      </c>
      <c r="I707" s="14" t="str">
        <f t="array" ref="I707">IF(getRGB1(Weekly!E133)="FFFF00","초방","재방")</f>
        <v>초방</v>
      </c>
    </row>
    <row r="708" spans="1:9" ht="11.25" customHeight="1" x14ac:dyDescent="0.3">
      <c r="A708" s="10" t="str">
        <f t="shared" si="113"/>
        <v/>
      </c>
      <c r="B708" s="11">
        <f>Weekly!$E$3</f>
        <v>45917</v>
      </c>
      <c r="C708" s="12">
        <v>0.45138888888888901</v>
      </c>
      <c r="D708" s="13">
        <f>Weekly!E134</f>
        <v>0</v>
      </c>
      <c r="E708" s="13" t="str">
        <f t="shared" si="114"/>
        <v/>
      </c>
      <c r="F708" s="13" t="str">
        <f t="shared" si="117"/>
        <v/>
      </c>
      <c r="G708" s="13" t="str">
        <f t="shared" si="115"/>
        <v/>
      </c>
      <c r="H708" s="13" t="str">
        <f t="shared" si="116"/>
        <v/>
      </c>
      <c r="I708" s="14" t="str">
        <f t="array" ref="I708">IF(getRGB1(Weekly!E134)="FFFF00","초방","재방")</f>
        <v>초방</v>
      </c>
    </row>
    <row r="709" spans="1:9" ht="11.25" customHeight="1" x14ac:dyDescent="0.3">
      <c r="A709" s="10" t="str">
        <f t="shared" si="113"/>
        <v/>
      </c>
      <c r="B709" s="11">
        <f>Weekly!$E$3</f>
        <v>45917</v>
      </c>
      <c r="C709" s="12">
        <v>0.45486111111111099</v>
      </c>
      <c r="D709" s="13">
        <f>Weekly!E135</f>
        <v>0</v>
      </c>
      <c r="E709" s="13" t="str">
        <f t="shared" si="114"/>
        <v/>
      </c>
      <c r="F709" s="13" t="str">
        <f t="shared" si="117"/>
        <v/>
      </c>
      <c r="G709" s="13" t="str">
        <f t="shared" si="115"/>
        <v/>
      </c>
      <c r="H709" s="13" t="str">
        <f t="shared" si="116"/>
        <v/>
      </c>
      <c r="I709" s="14" t="str">
        <f t="array" ref="I709">IF(getRGB1(Weekly!E135)="FFFF00","초방","재방")</f>
        <v>초방</v>
      </c>
    </row>
    <row r="710" spans="1:9" ht="11.25" customHeight="1" x14ac:dyDescent="0.3">
      <c r="A710" s="10">
        <f t="shared" si="113"/>
        <v>45917.458333333336</v>
      </c>
      <c r="B710" s="11">
        <f>Weekly!$E$3</f>
        <v>45917</v>
      </c>
      <c r="C710" s="12">
        <v>0.45833333333333298</v>
      </c>
      <c r="D710" s="13" t="str">
        <f>Weekly!E136</f>
        <v>특집 2026 지방선거_경기도의회 생생중계_본회의
&lt;16</v>
      </c>
      <c r="E710" s="13" t="str">
        <f t="shared" si="114"/>
        <v>특집 2026 지방선거_경기도의회 생생중계_본회의</v>
      </c>
      <c r="F710" s="13">
        <f t="shared" si="117"/>
        <v>16</v>
      </c>
      <c r="G710" s="13" t="str">
        <f t="shared" si="115"/>
        <v/>
      </c>
      <c r="H710" s="13" t="str">
        <f t="shared" si="116"/>
        <v/>
      </c>
      <c r="I710" s="14" t="str">
        <f t="array" ref="I710">IF(getRGB1(Weekly!E136)="FFFF00","초방","재방")</f>
        <v>초방</v>
      </c>
    </row>
    <row r="711" spans="1:9" ht="11.25" customHeight="1" x14ac:dyDescent="0.3">
      <c r="A711" s="10" t="str">
        <f t="shared" si="113"/>
        <v/>
      </c>
      <c r="B711" s="11">
        <f>Weekly!$E$3</f>
        <v>45917</v>
      </c>
      <c r="C711" s="12">
        <v>0.46180555555555602</v>
      </c>
      <c r="D711" s="13">
        <f>Weekly!E137</f>
        <v>0</v>
      </c>
      <c r="E711" s="13" t="str">
        <f t="shared" si="114"/>
        <v/>
      </c>
      <c r="F711" s="13" t="str">
        <f t="shared" si="117"/>
        <v/>
      </c>
      <c r="G711" s="13" t="str">
        <f t="shared" si="115"/>
        <v/>
      </c>
      <c r="H711" s="13" t="str">
        <f t="shared" si="116"/>
        <v/>
      </c>
      <c r="I711" s="14" t="str">
        <f t="array" ref="I711">IF(getRGB1(Weekly!E137)="FFFF00","초방","재방")</f>
        <v>초방</v>
      </c>
    </row>
    <row r="712" spans="1:9" ht="11.25" customHeight="1" x14ac:dyDescent="0.3">
      <c r="A712" s="10" t="str">
        <f t="shared" si="113"/>
        <v/>
      </c>
      <c r="B712" s="11">
        <f>Weekly!$E$3</f>
        <v>45917</v>
      </c>
      <c r="C712" s="12">
        <v>0.46527777777777801</v>
      </c>
      <c r="D712" s="13">
        <f>Weekly!E138</f>
        <v>0</v>
      </c>
      <c r="E712" s="13" t="str">
        <f t="shared" si="114"/>
        <v/>
      </c>
      <c r="F712" s="13" t="str">
        <f t="shared" si="117"/>
        <v/>
      </c>
      <c r="G712" s="13" t="str">
        <f t="shared" si="115"/>
        <v/>
      </c>
      <c r="H712" s="13" t="str">
        <f t="shared" si="116"/>
        <v/>
      </c>
      <c r="I712" s="14" t="str">
        <f t="array" ref="I712">IF(getRGB1(Weekly!E138)="FFFF00","초방","재방")</f>
        <v>초방</v>
      </c>
    </row>
    <row r="713" spans="1:9" ht="11.25" customHeight="1" x14ac:dyDescent="0.3">
      <c r="A713" s="10" t="str">
        <f t="shared" si="113"/>
        <v/>
      </c>
      <c r="B713" s="11">
        <f>Weekly!$E$3</f>
        <v>45917</v>
      </c>
      <c r="C713" s="12">
        <v>0.46875</v>
      </c>
      <c r="D713" s="13">
        <f>Weekly!E139</f>
        <v>0</v>
      </c>
      <c r="E713" s="13" t="str">
        <f t="shared" si="114"/>
        <v/>
      </c>
      <c r="F713" s="13" t="str">
        <f t="shared" si="117"/>
        <v/>
      </c>
      <c r="G713" s="13" t="str">
        <f t="shared" si="115"/>
        <v/>
      </c>
      <c r="H713" s="13" t="str">
        <f t="shared" si="116"/>
        <v/>
      </c>
      <c r="I713" s="14" t="str">
        <f t="array" ref="I713">IF(getRGB1(Weekly!E139)="FFFF00","초방","재방")</f>
        <v>초방</v>
      </c>
    </row>
    <row r="714" spans="1:9" ht="11.25" customHeight="1" x14ac:dyDescent="0.3">
      <c r="A714" s="10" t="str">
        <f t="shared" si="113"/>
        <v/>
      </c>
      <c r="B714" s="11">
        <f>Weekly!$E$3</f>
        <v>45917</v>
      </c>
      <c r="C714" s="12">
        <v>0.47222222222222199</v>
      </c>
      <c r="D714" s="13">
        <f>Weekly!E140</f>
        <v>0</v>
      </c>
      <c r="E714" s="13" t="str">
        <f t="shared" si="114"/>
        <v/>
      </c>
      <c r="F714" s="13" t="str">
        <f t="shared" si="117"/>
        <v/>
      </c>
      <c r="G714" s="13" t="str">
        <f t="shared" si="115"/>
        <v/>
      </c>
      <c r="H714" s="13" t="str">
        <f t="shared" si="116"/>
        <v/>
      </c>
      <c r="I714" s="14" t="str">
        <f t="array" ref="I714">IF(getRGB1(Weekly!E140)="FFFF00","초방","재방")</f>
        <v>초방</v>
      </c>
    </row>
    <row r="715" spans="1:9" ht="11.25" customHeight="1" x14ac:dyDescent="0.3">
      <c r="A715" s="10" t="str">
        <f t="shared" si="113"/>
        <v/>
      </c>
      <c r="B715" s="11">
        <f>Weekly!$E$3</f>
        <v>45917</v>
      </c>
      <c r="C715" s="12">
        <v>0.47569444444444398</v>
      </c>
      <c r="D715" s="13">
        <f>Weekly!E141</f>
        <v>0</v>
      </c>
      <c r="E715" s="13" t="str">
        <f t="shared" si="114"/>
        <v/>
      </c>
      <c r="F715" s="13" t="str">
        <f t="shared" si="117"/>
        <v/>
      </c>
      <c r="G715" s="13" t="str">
        <f t="shared" si="115"/>
        <v/>
      </c>
      <c r="H715" s="13" t="str">
        <f t="shared" si="116"/>
        <v/>
      </c>
      <c r="I715" s="14" t="str">
        <f t="array" ref="I715">IF(getRGB1(Weekly!E141)="FFFF00","초방","재방")</f>
        <v>초방</v>
      </c>
    </row>
    <row r="716" spans="1:9" ht="11.25" customHeight="1" x14ac:dyDescent="0.3">
      <c r="A716" s="10" t="str">
        <f t="shared" si="113"/>
        <v/>
      </c>
      <c r="B716" s="11">
        <f>Weekly!$E$3</f>
        <v>45917</v>
      </c>
      <c r="C716" s="12">
        <v>0.47916666666666702</v>
      </c>
      <c r="D716" s="13">
        <f>Weekly!E142</f>
        <v>0</v>
      </c>
      <c r="E716" s="13" t="str">
        <f t="shared" si="114"/>
        <v/>
      </c>
      <c r="F716" s="13" t="str">
        <f t="shared" si="117"/>
        <v/>
      </c>
      <c r="G716" s="13" t="str">
        <f t="shared" si="115"/>
        <v/>
      </c>
      <c r="H716" s="13" t="str">
        <f t="shared" si="116"/>
        <v/>
      </c>
      <c r="I716" s="14" t="str">
        <f t="array" ref="I716">IF(getRGB1(Weekly!E142)="FFFF00","초방","재방")</f>
        <v>초방</v>
      </c>
    </row>
    <row r="717" spans="1:9" ht="11.25" customHeight="1" x14ac:dyDescent="0.3">
      <c r="A717" s="10" t="str">
        <f t="shared" si="113"/>
        <v/>
      </c>
      <c r="B717" s="11">
        <f>Weekly!$E$3</f>
        <v>45917</v>
      </c>
      <c r="C717" s="12">
        <v>0.48263888888888901</v>
      </c>
      <c r="D717" s="13">
        <f>Weekly!E143</f>
        <v>0</v>
      </c>
      <c r="E717" s="13" t="str">
        <f t="shared" si="114"/>
        <v/>
      </c>
      <c r="F717" s="13" t="str">
        <f t="shared" si="117"/>
        <v/>
      </c>
      <c r="G717" s="13" t="str">
        <f t="shared" si="115"/>
        <v/>
      </c>
      <c r="H717" s="13" t="str">
        <f t="shared" si="116"/>
        <v/>
      </c>
      <c r="I717" s="14" t="str">
        <f t="array" ref="I717">IF(getRGB1(Weekly!E143)="FFFF00","초방","재방")</f>
        <v>초방</v>
      </c>
    </row>
    <row r="718" spans="1:9" ht="11.25" customHeight="1" x14ac:dyDescent="0.3">
      <c r="A718" s="10" t="str">
        <f t="shared" si="113"/>
        <v/>
      </c>
      <c r="B718" s="11">
        <f>Weekly!$E$3</f>
        <v>45917</v>
      </c>
      <c r="C718" s="12">
        <v>0.48611111111111099</v>
      </c>
      <c r="D718" s="13">
        <f>Weekly!E144</f>
        <v>0</v>
      </c>
      <c r="E718" s="13" t="str">
        <f t="shared" si="114"/>
        <v/>
      </c>
      <c r="F718" s="13" t="str">
        <f t="shared" si="117"/>
        <v/>
      </c>
      <c r="G718" s="13" t="str">
        <f t="shared" si="115"/>
        <v/>
      </c>
      <c r="H718" s="13" t="str">
        <f t="shared" si="116"/>
        <v/>
      </c>
      <c r="I718" s="14" t="str">
        <f t="array" ref="I718">IF(getRGB1(Weekly!E144)="FFFF00","초방","재방")</f>
        <v>초방</v>
      </c>
    </row>
    <row r="719" spans="1:9" ht="11.25" customHeight="1" x14ac:dyDescent="0.3">
      <c r="A719" s="10" t="str">
        <f t="shared" si="113"/>
        <v/>
      </c>
      <c r="B719" s="11">
        <f>Weekly!$E$3</f>
        <v>45917</v>
      </c>
      <c r="C719" s="12">
        <v>0.48958333333333298</v>
      </c>
      <c r="D719" s="13">
        <f>Weekly!E145</f>
        <v>0</v>
      </c>
      <c r="E719" s="13" t="str">
        <f t="shared" si="114"/>
        <v/>
      </c>
      <c r="F719" s="13" t="str">
        <f t="shared" si="117"/>
        <v/>
      </c>
      <c r="G719" s="13" t="str">
        <f t="shared" si="115"/>
        <v/>
      </c>
      <c r="H719" s="13" t="str">
        <f t="shared" si="116"/>
        <v/>
      </c>
      <c r="I719" s="14" t="str">
        <f t="array" ref="I719">IF(getRGB1(Weekly!E145)="FFFF00","초방","재방")</f>
        <v>초방</v>
      </c>
    </row>
    <row r="720" spans="1:9" ht="11.25" customHeight="1" x14ac:dyDescent="0.3">
      <c r="A720" s="10" t="str">
        <f t="shared" si="113"/>
        <v/>
      </c>
      <c r="B720" s="11">
        <f>Weekly!$E$3</f>
        <v>45917</v>
      </c>
      <c r="C720" s="12">
        <v>0.49305555555555602</v>
      </c>
      <c r="D720" s="13">
        <f>Weekly!E146</f>
        <v>0</v>
      </c>
      <c r="E720" s="13" t="str">
        <f t="shared" si="114"/>
        <v/>
      </c>
      <c r="F720" s="13" t="str">
        <f t="shared" si="117"/>
        <v/>
      </c>
      <c r="G720" s="13" t="str">
        <f t="shared" si="115"/>
        <v/>
      </c>
      <c r="H720" s="13" t="str">
        <f t="shared" si="116"/>
        <v/>
      </c>
      <c r="I720" s="14" t="str">
        <f t="array" ref="I720">IF(getRGB1(Weekly!E146)="FFFF00","초방","재방")</f>
        <v>초방</v>
      </c>
    </row>
    <row r="721" spans="1:9" ht="11.25" customHeight="1" x14ac:dyDescent="0.3">
      <c r="A721" s="10" t="str">
        <f t="shared" si="113"/>
        <v/>
      </c>
      <c r="B721" s="11">
        <f>Weekly!$E$3</f>
        <v>45917</v>
      </c>
      <c r="C721" s="12">
        <v>0.49652777777777801</v>
      </c>
      <c r="D721" s="13">
        <f>Weekly!E147</f>
        <v>0</v>
      </c>
      <c r="E721" s="13" t="str">
        <f t="shared" si="114"/>
        <v/>
      </c>
      <c r="F721" s="13" t="str">
        <f t="shared" si="117"/>
        <v/>
      </c>
      <c r="G721" s="13" t="str">
        <f t="shared" si="115"/>
        <v/>
      </c>
      <c r="H721" s="13" t="str">
        <f t="shared" si="116"/>
        <v/>
      </c>
      <c r="I721" s="14" t="str">
        <f t="array" ref="I721">IF(getRGB1(Weekly!E147)="FFFF00","초방","재방")</f>
        <v>초방</v>
      </c>
    </row>
    <row r="722" spans="1:9" ht="11.25" customHeight="1" x14ac:dyDescent="0.3">
      <c r="A722" s="10">
        <f t="shared" si="113"/>
        <v>45917.5</v>
      </c>
      <c r="B722" s="11">
        <f>Weekly!$E$3</f>
        <v>45917</v>
      </c>
      <c r="C722" s="12">
        <v>0.5</v>
      </c>
      <c r="D722" s="13" t="str">
        <f>Weekly!E148</f>
        <v>행복무지개
&lt;31</v>
      </c>
      <c r="E722" s="13" t="str">
        <f t="shared" si="114"/>
        <v>행복무지개</v>
      </c>
      <c r="F722" s="13">
        <f t="shared" si="117"/>
        <v>31</v>
      </c>
      <c r="G722" s="13" t="str">
        <f t="shared" si="115"/>
        <v/>
      </c>
      <c r="H722" s="13" t="str">
        <f t="shared" si="116"/>
        <v/>
      </c>
      <c r="I722" s="14" t="str">
        <f t="array" ref="I722">IF(getRGB1(Weekly!E148)="FFFF00","초방","재방")</f>
        <v>재방</v>
      </c>
    </row>
    <row r="723" spans="1:9" ht="11.25" customHeight="1" x14ac:dyDescent="0.3">
      <c r="A723" s="10" t="str">
        <f t="shared" si="113"/>
        <v/>
      </c>
      <c r="B723" s="11">
        <f>Weekly!$E$3</f>
        <v>45917</v>
      </c>
      <c r="C723" s="12">
        <v>0.50347222222222199</v>
      </c>
      <c r="D723" s="13">
        <f>Weekly!E149</f>
        <v>0</v>
      </c>
      <c r="E723" s="13" t="str">
        <f t="shared" si="114"/>
        <v/>
      </c>
      <c r="F723" s="13" t="str">
        <f t="shared" si="117"/>
        <v/>
      </c>
      <c r="G723" s="13" t="str">
        <f t="shared" si="115"/>
        <v/>
      </c>
      <c r="H723" s="13" t="str">
        <f t="shared" si="116"/>
        <v/>
      </c>
      <c r="I723" s="14" t="str">
        <f t="array" ref="I723">IF(getRGB1(Weekly!E149)="FFFF00","초방","재방")</f>
        <v>재방</v>
      </c>
    </row>
    <row r="724" spans="1:9" ht="11.25" customHeight="1" x14ac:dyDescent="0.3">
      <c r="A724" s="10" t="str">
        <f t="shared" si="113"/>
        <v/>
      </c>
      <c r="B724" s="11">
        <f>Weekly!$E$3</f>
        <v>45917</v>
      </c>
      <c r="C724" s="12">
        <v>0.50694444444444398</v>
      </c>
      <c r="D724" s="13">
        <f>Weekly!E150</f>
        <v>0</v>
      </c>
      <c r="E724" s="13" t="str">
        <f t="shared" si="114"/>
        <v/>
      </c>
      <c r="F724" s="13" t="str">
        <f t="shared" si="117"/>
        <v/>
      </c>
      <c r="G724" s="13" t="str">
        <f t="shared" si="115"/>
        <v/>
      </c>
      <c r="H724" s="13" t="str">
        <f t="shared" si="116"/>
        <v/>
      </c>
      <c r="I724" s="14" t="str">
        <f t="array" ref="I724">IF(getRGB1(Weekly!E150)="FFFF00","초방","재방")</f>
        <v>재방</v>
      </c>
    </row>
    <row r="725" spans="1:9" ht="11.25" customHeight="1" x14ac:dyDescent="0.3">
      <c r="A725" s="10" t="str">
        <f t="shared" si="113"/>
        <v/>
      </c>
      <c r="B725" s="11">
        <f>Weekly!$E$3</f>
        <v>45917</v>
      </c>
      <c r="C725" s="12">
        <v>0.51041666666666696</v>
      </c>
      <c r="D725" s="13">
        <f>Weekly!E151</f>
        <v>0</v>
      </c>
      <c r="E725" s="13" t="str">
        <f t="shared" si="114"/>
        <v/>
      </c>
      <c r="F725" s="13" t="str">
        <f t="shared" si="117"/>
        <v/>
      </c>
      <c r="G725" s="13" t="str">
        <f t="shared" si="115"/>
        <v/>
      </c>
      <c r="H725" s="13" t="str">
        <f t="shared" si="116"/>
        <v/>
      </c>
      <c r="I725" s="14" t="str">
        <f t="array" ref="I725">IF(getRGB1(Weekly!E151)="FFFF00","초방","재방")</f>
        <v>재방</v>
      </c>
    </row>
    <row r="726" spans="1:9" ht="11.25" customHeight="1" x14ac:dyDescent="0.3">
      <c r="A726" s="10" t="str">
        <f t="shared" si="113"/>
        <v/>
      </c>
      <c r="B726" s="11">
        <f>Weekly!$E$3</f>
        <v>45917</v>
      </c>
      <c r="C726" s="12">
        <v>0.51388888888888895</v>
      </c>
      <c r="D726" s="13">
        <f>Weekly!E152</f>
        <v>0</v>
      </c>
      <c r="E726" s="13" t="str">
        <f t="shared" si="114"/>
        <v/>
      </c>
      <c r="F726" s="13" t="str">
        <f t="shared" si="117"/>
        <v/>
      </c>
      <c r="G726" s="13" t="str">
        <f t="shared" si="115"/>
        <v/>
      </c>
      <c r="H726" s="13" t="str">
        <f t="shared" si="116"/>
        <v/>
      </c>
      <c r="I726" s="14" t="str">
        <f t="array" ref="I726">IF(getRGB1(Weekly!E152)="FFFF00","초방","재방")</f>
        <v>재방</v>
      </c>
    </row>
    <row r="727" spans="1:9" ht="11.25" customHeight="1" x14ac:dyDescent="0.3">
      <c r="A727" s="10" t="str">
        <f t="shared" si="113"/>
        <v/>
      </c>
      <c r="B727" s="11">
        <f>Weekly!$E$3</f>
        <v>45917</v>
      </c>
      <c r="C727" s="12">
        <v>0.51736111111111105</v>
      </c>
      <c r="D727" s="13">
        <f>Weekly!E153</f>
        <v>0</v>
      </c>
      <c r="E727" s="13" t="str">
        <f t="shared" si="114"/>
        <v/>
      </c>
      <c r="F727" s="13" t="str">
        <f t="shared" si="117"/>
        <v/>
      </c>
      <c r="G727" s="13" t="str">
        <f t="shared" si="115"/>
        <v/>
      </c>
      <c r="H727" s="13" t="str">
        <f t="shared" si="116"/>
        <v/>
      </c>
      <c r="I727" s="14" t="str">
        <f t="array" ref="I727">IF(getRGB1(Weekly!E153)="FFFF00","초방","재방")</f>
        <v>재방</v>
      </c>
    </row>
    <row r="728" spans="1:9" ht="11.25" customHeight="1" x14ac:dyDescent="0.3">
      <c r="A728" s="10" t="str">
        <f t="shared" si="113"/>
        <v/>
      </c>
      <c r="B728" s="11">
        <f>Weekly!$E$3</f>
        <v>45917</v>
      </c>
      <c r="C728" s="12">
        <v>0.52083333333333304</v>
      </c>
      <c r="D728" s="13">
        <f>Weekly!E154</f>
        <v>0</v>
      </c>
      <c r="E728" s="13" t="str">
        <f t="shared" si="114"/>
        <v/>
      </c>
      <c r="F728" s="13" t="str">
        <f t="shared" si="117"/>
        <v/>
      </c>
      <c r="G728" s="13" t="str">
        <f t="shared" si="115"/>
        <v/>
      </c>
      <c r="H728" s="13" t="str">
        <f t="shared" si="116"/>
        <v/>
      </c>
      <c r="I728" s="14" t="str">
        <f t="array" ref="I728">IF(getRGB1(Weekly!E154)="FFFF00","초방","재방")</f>
        <v>재방</v>
      </c>
    </row>
    <row r="729" spans="1:9" ht="11.25" customHeight="1" x14ac:dyDescent="0.3">
      <c r="A729" s="10" t="str">
        <f t="shared" si="113"/>
        <v/>
      </c>
      <c r="B729" s="11">
        <f>Weekly!$E$3</f>
        <v>45917</v>
      </c>
      <c r="C729" s="12">
        <v>0.52430555555555602</v>
      </c>
      <c r="D729" s="13">
        <f>Weekly!E155</f>
        <v>0</v>
      </c>
      <c r="E729" s="13" t="str">
        <f t="shared" si="114"/>
        <v/>
      </c>
      <c r="F729" s="13" t="str">
        <f t="shared" si="117"/>
        <v/>
      </c>
      <c r="G729" s="13" t="str">
        <f t="shared" si="115"/>
        <v/>
      </c>
      <c r="H729" s="13" t="str">
        <f t="shared" si="116"/>
        <v/>
      </c>
      <c r="I729" s="14" t="str">
        <f t="array" ref="I729">IF(getRGB1(Weekly!E155)="FFFF00","초방","재방")</f>
        <v>재방</v>
      </c>
    </row>
    <row r="730" spans="1:9" ht="11.25" customHeight="1" x14ac:dyDescent="0.3">
      <c r="A730" s="10" t="str">
        <f t="shared" si="113"/>
        <v/>
      </c>
      <c r="B730" s="11">
        <f>Weekly!$E$3</f>
        <v>45917</v>
      </c>
      <c r="C730" s="12">
        <v>0.52777777777777801</v>
      </c>
      <c r="D730" s="13">
        <f>Weekly!E156</f>
        <v>0</v>
      </c>
      <c r="E730" s="13" t="str">
        <f t="shared" si="114"/>
        <v/>
      </c>
      <c r="F730" s="13" t="str">
        <f t="shared" si="117"/>
        <v/>
      </c>
      <c r="G730" s="13" t="str">
        <f t="shared" si="115"/>
        <v/>
      </c>
      <c r="H730" s="13" t="str">
        <f t="shared" si="116"/>
        <v/>
      </c>
      <c r="I730" s="14" t="str">
        <f t="array" ref="I730">IF(getRGB1(Weekly!E156)="FFFF00","초방","재방")</f>
        <v>재방</v>
      </c>
    </row>
    <row r="731" spans="1:9" ht="11.25" customHeight="1" x14ac:dyDescent="0.3">
      <c r="A731" s="10" t="str">
        <f t="shared" si="113"/>
        <v/>
      </c>
      <c r="B731" s="11">
        <f>Weekly!$E$3</f>
        <v>45917</v>
      </c>
      <c r="C731" s="12">
        <v>0.53125</v>
      </c>
      <c r="D731" s="13">
        <f>Weekly!E157</f>
        <v>0</v>
      </c>
      <c r="E731" s="13" t="str">
        <f t="shared" si="114"/>
        <v/>
      </c>
      <c r="F731" s="13" t="str">
        <f t="shared" si="117"/>
        <v/>
      </c>
      <c r="G731" s="13" t="str">
        <f t="shared" si="115"/>
        <v/>
      </c>
      <c r="H731" s="13" t="str">
        <f t="shared" si="116"/>
        <v/>
      </c>
      <c r="I731" s="14" t="str">
        <f t="array" ref="I731">IF(getRGB1(Weekly!E157)="FFFF00","초방","재방")</f>
        <v>재방</v>
      </c>
    </row>
    <row r="732" spans="1:9" ht="11.25" customHeight="1" x14ac:dyDescent="0.3">
      <c r="A732" s="10" t="str">
        <f t="shared" si="113"/>
        <v/>
      </c>
      <c r="B732" s="11">
        <f>Weekly!$E$3</f>
        <v>45917</v>
      </c>
      <c r="C732" s="12">
        <v>0.53472222222222199</v>
      </c>
      <c r="D732" s="13">
        <f>Weekly!E158</f>
        <v>0</v>
      </c>
      <c r="E732" s="13" t="str">
        <f t="shared" si="114"/>
        <v/>
      </c>
      <c r="F732" s="13" t="str">
        <f t="shared" si="117"/>
        <v/>
      </c>
      <c r="G732" s="13" t="str">
        <f t="shared" si="115"/>
        <v/>
      </c>
      <c r="H732" s="13" t="str">
        <f t="shared" si="116"/>
        <v/>
      </c>
      <c r="I732" s="14" t="str">
        <f t="array" ref="I732">IF(getRGB1(Weekly!E158)="FFFF00","초방","재방")</f>
        <v>재방</v>
      </c>
    </row>
    <row r="733" spans="1:9" ht="11.25" customHeight="1" x14ac:dyDescent="0.3">
      <c r="A733" s="10" t="str">
        <f t="shared" si="113"/>
        <v/>
      </c>
      <c r="B733" s="11">
        <f>Weekly!$E$3</f>
        <v>45917</v>
      </c>
      <c r="C733" s="12">
        <v>0.53819444444444398</v>
      </c>
      <c r="D733" s="13">
        <f>Weekly!E159</f>
        <v>0</v>
      </c>
      <c r="E733" s="13" t="str">
        <f t="shared" si="114"/>
        <v/>
      </c>
      <c r="F733" s="13" t="str">
        <f t="shared" si="117"/>
        <v/>
      </c>
      <c r="G733" s="13" t="str">
        <f t="shared" si="115"/>
        <v/>
      </c>
      <c r="H733" s="13" t="str">
        <f t="shared" si="116"/>
        <v/>
      </c>
      <c r="I733" s="14" t="str">
        <f t="array" ref="I733">IF(getRGB1(Weekly!E159)="FFFF00","초방","재방")</f>
        <v>재방</v>
      </c>
    </row>
    <row r="734" spans="1:9" ht="11.25" customHeight="1" x14ac:dyDescent="0.3">
      <c r="A734" s="10">
        <f t="shared" si="113"/>
        <v>45917.541666666664</v>
      </c>
      <c r="B734" s="11">
        <f>Weekly!$E$3</f>
        <v>45917</v>
      </c>
      <c r="C734" s="12">
        <v>0.54166666666666696</v>
      </c>
      <c r="D734" s="13" t="str">
        <f>Weekly!E160</f>
        <v xml:space="preserve"> NEWSJ
&lt;66</v>
      </c>
      <c r="E734" s="13" t="str">
        <f t="shared" si="114"/>
        <v>NEWSJ</v>
      </c>
      <c r="F734" s="13">
        <f t="shared" si="117"/>
        <v>66</v>
      </c>
      <c r="G734" s="13" t="str">
        <f t="shared" si="115"/>
        <v/>
      </c>
      <c r="H734" s="13" t="str">
        <f t="shared" si="116"/>
        <v/>
      </c>
      <c r="I734" s="14" t="str">
        <f t="array" ref="I734">IF(getRGB1(Weekly!E160)="FFFF00","초방","재방")</f>
        <v>재방</v>
      </c>
    </row>
    <row r="735" spans="1:9" ht="11.25" customHeight="1" x14ac:dyDescent="0.3">
      <c r="A735" s="10" t="str">
        <f t="shared" si="113"/>
        <v/>
      </c>
      <c r="B735" s="11">
        <f>Weekly!$E$3</f>
        <v>45917</v>
      </c>
      <c r="C735" s="12">
        <v>0.54513888888888895</v>
      </c>
      <c r="D735" s="13">
        <f>Weekly!E161</f>
        <v>0</v>
      </c>
      <c r="E735" s="13" t="str">
        <f t="shared" si="114"/>
        <v/>
      </c>
      <c r="F735" s="13" t="str">
        <f t="shared" si="117"/>
        <v/>
      </c>
      <c r="G735" s="13" t="str">
        <f t="shared" si="115"/>
        <v/>
      </c>
      <c r="H735" s="13" t="str">
        <f t="shared" si="116"/>
        <v/>
      </c>
      <c r="I735" s="14" t="str">
        <f t="array" ref="I735">IF(getRGB1(Weekly!E161)="FFFF00","초방","재방")</f>
        <v>재방</v>
      </c>
    </row>
    <row r="736" spans="1:9" ht="11.25" customHeight="1" x14ac:dyDescent="0.3">
      <c r="A736" s="10" t="str">
        <f t="shared" si="113"/>
        <v/>
      </c>
      <c r="B736" s="11">
        <f>Weekly!$E$3</f>
        <v>45917</v>
      </c>
      <c r="C736" s="12">
        <v>0.54861111111111105</v>
      </c>
      <c r="D736" s="13">
        <f>Weekly!E162</f>
        <v>0</v>
      </c>
      <c r="E736" s="13" t="str">
        <f t="shared" si="114"/>
        <v/>
      </c>
      <c r="F736" s="13" t="str">
        <f t="shared" si="117"/>
        <v/>
      </c>
      <c r="G736" s="13" t="str">
        <f t="shared" si="115"/>
        <v/>
      </c>
      <c r="H736" s="13" t="str">
        <f t="shared" si="116"/>
        <v/>
      </c>
      <c r="I736" s="14" t="str">
        <f t="array" ref="I736">IF(getRGB1(Weekly!E162)="FFFF00","초방","재방")</f>
        <v>재방</v>
      </c>
    </row>
    <row r="737" spans="1:9" ht="11.25" customHeight="1" x14ac:dyDescent="0.3">
      <c r="A737" s="10" t="str">
        <f t="shared" si="113"/>
        <v/>
      </c>
      <c r="B737" s="11">
        <f>Weekly!$E$3</f>
        <v>45917</v>
      </c>
      <c r="C737" s="12">
        <v>0.55208333333333304</v>
      </c>
      <c r="D737" s="13">
        <f>Weekly!E163</f>
        <v>0</v>
      </c>
      <c r="E737" s="13" t="str">
        <f t="shared" si="114"/>
        <v/>
      </c>
      <c r="F737" s="13" t="str">
        <f t="shared" si="117"/>
        <v/>
      </c>
      <c r="G737" s="13" t="str">
        <f t="shared" si="115"/>
        <v/>
      </c>
      <c r="H737" s="13" t="str">
        <f t="shared" si="116"/>
        <v/>
      </c>
      <c r="I737" s="14" t="str">
        <f t="array" ref="I737">IF(getRGB1(Weekly!E163)="FFFF00","초방","재방")</f>
        <v>재방</v>
      </c>
    </row>
    <row r="738" spans="1:9" ht="11.25" customHeight="1" x14ac:dyDescent="0.3">
      <c r="A738" s="10" t="str">
        <f t="shared" si="113"/>
        <v/>
      </c>
      <c r="B738" s="11">
        <f>Weekly!$E$3</f>
        <v>45917</v>
      </c>
      <c r="C738" s="12">
        <v>0.55555555555555602</v>
      </c>
      <c r="D738" s="13">
        <f>Weekly!E164</f>
        <v>0</v>
      </c>
      <c r="E738" s="13" t="str">
        <f t="shared" si="114"/>
        <v/>
      </c>
      <c r="F738" s="13" t="str">
        <f t="shared" si="117"/>
        <v/>
      </c>
      <c r="G738" s="13" t="str">
        <f t="shared" si="115"/>
        <v/>
      </c>
      <c r="H738" s="13" t="str">
        <f t="shared" si="116"/>
        <v/>
      </c>
      <c r="I738" s="14" t="str">
        <f t="array" ref="I738">IF(getRGB1(Weekly!E164)="FFFF00","초방","재방")</f>
        <v>재방</v>
      </c>
    </row>
    <row r="739" spans="1:9" ht="11.25" customHeight="1" x14ac:dyDescent="0.3">
      <c r="A739" s="10" t="str">
        <f t="shared" si="113"/>
        <v/>
      </c>
      <c r="B739" s="11">
        <f>Weekly!$E$3</f>
        <v>45917</v>
      </c>
      <c r="C739" s="12">
        <v>0.55902777777777801</v>
      </c>
      <c r="D739" s="13">
        <f>Weekly!E165</f>
        <v>0</v>
      </c>
      <c r="E739" s="13" t="str">
        <f t="shared" si="114"/>
        <v/>
      </c>
      <c r="F739" s="13" t="str">
        <f t="shared" si="117"/>
        <v/>
      </c>
      <c r="G739" s="13" t="str">
        <f t="shared" si="115"/>
        <v/>
      </c>
      <c r="H739" s="13" t="str">
        <f t="shared" si="116"/>
        <v/>
      </c>
      <c r="I739" s="14" t="str">
        <f t="array" ref="I739">IF(getRGB1(Weekly!E165)="FFFF00","초방","재방")</f>
        <v>재방</v>
      </c>
    </row>
    <row r="740" spans="1:9" ht="11.25" customHeight="1" x14ac:dyDescent="0.3">
      <c r="A740" s="10">
        <f t="shared" si="113"/>
        <v>45917.5625</v>
      </c>
      <c r="B740" s="11">
        <f>Weekly!$E$3</f>
        <v>45917</v>
      </c>
      <c r="C740" s="12">
        <v>0.5625</v>
      </c>
      <c r="D740" s="13" t="str">
        <f>Weekly!E166</f>
        <v>더 人터뷰
&lt;53</v>
      </c>
      <c r="E740" s="13" t="str">
        <f t="shared" si="114"/>
        <v>더 人터뷰</v>
      </c>
      <c r="F740" s="13">
        <f t="shared" si="117"/>
        <v>53</v>
      </c>
      <c r="G740" s="13" t="str">
        <f t="shared" si="115"/>
        <v/>
      </c>
      <c r="H740" s="13" t="str">
        <f t="shared" si="116"/>
        <v/>
      </c>
      <c r="I740" s="14" t="str">
        <f t="array" ref="I740">IF(getRGB1(Weekly!E166)="FFFF00","초방","재방")</f>
        <v>재방</v>
      </c>
    </row>
    <row r="741" spans="1:9" ht="11.25" customHeight="1" x14ac:dyDescent="0.3">
      <c r="A741" s="10" t="str">
        <f t="shared" si="113"/>
        <v/>
      </c>
      <c r="B741" s="11">
        <f>Weekly!$E$3</f>
        <v>45917</v>
      </c>
      <c r="C741" s="12">
        <v>0.56597222222222199</v>
      </c>
      <c r="D741" s="13">
        <f>Weekly!E167</f>
        <v>0</v>
      </c>
      <c r="E741" s="13" t="str">
        <f t="shared" si="114"/>
        <v/>
      </c>
      <c r="F741" s="13" t="str">
        <f t="shared" si="117"/>
        <v/>
      </c>
      <c r="G741" s="13" t="str">
        <f t="shared" si="115"/>
        <v/>
      </c>
      <c r="H741" s="13" t="str">
        <f t="shared" si="116"/>
        <v/>
      </c>
      <c r="I741" s="14" t="str">
        <f t="array" ref="I741">IF(getRGB1(Weekly!E167)="FFFF00","초방","재방")</f>
        <v>재방</v>
      </c>
    </row>
    <row r="742" spans="1:9" ht="11.25" customHeight="1" x14ac:dyDescent="0.3">
      <c r="A742" s="10" t="str">
        <f t="shared" si="113"/>
        <v/>
      </c>
      <c r="B742" s="11">
        <f>Weekly!$E$3</f>
        <v>45917</v>
      </c>
      <c r="C742" s="12">
        <v>0.56944444444444398</v>
      </c>
      <c r="D742" s="13">
        <f>Weekly!E168</f>
        <v>0</v>
      </c>
      <c r="E742" s="13" t="str">
        <f t="shared" si="114"/>
        <v/>
      </c>
      <c r="F742" s="13" t="str">
        <f t="shared" si="117"/>
        <v/>
      </c>
      <c r="G742" s="13" t="str">
        <f t="shared" si="115"/>
        <v/>
      </c>
      <c r="H742" s="13" t="str">
        <f t="shared" si="116"/>
        <v/>
      </c>
      <c r="I742" s="14" t="str">
        <f t="array" ref="I742">IF(getRGB1(Weekly!E168)="FFFF00","초방","재방")</f>
        <v>재방</v>
      </c>
    </row>
    <row r="743" spans="1:9" ht="11.25" customHeight="1" x14ac:dyDescent="0.3">
      <c r="A743" s="10" t="str">
        <f t="shared" si="113"/>
        <v/>
      </c>
      <c r="B743" s="11">
        <f>Weekly!$E$3</f>
        <v>45917</v>
      </c>
      <c r="C743" s="12">
        <v>0.57291666666666696</v>
      </c>
      <c r="D743" s="13">
        <f>Weekly!E169</f>
        <v>0</v>
      </c>
      <c r="E743" s="13" t="str">
        <f t="shared" si="114"/>
        <v/>
      </c>
      <c r="F743" s="13" t="str">
        <f t="shared" si="117"/>
        <v/>
      </c>
      <c r="G743" s="13" t="str">
        <f t="shared" si="115"/>
        <v/>
      </c>
      <c r="H743" s="13" t="str">
        <f t="shared" si="116"/>
        <v/>
      </c>
      <c r="I743" s="14" t="str">
        <f t="array" ref="I743">IF(getRGB1(Weekly!E169)="FFFF00","초방","재방")</f>
        <v>재방</v>
      </c>
    </row>
    <row r="744" spans="1:9" ht="11.25" customHeight="1" x14ac:dyDescent="0.3">
      <c r="A744" s="10" t="str">
        <f t="shared" si="113"/>
        <v/>
      </c>
      <c r="B744" s="11">
        <f>Weekly!$E$3</f>
        <v>45917</v>
      </c>
      <c r="C744" s="12">
        <v>0.57638888888888895</v>
      </c>
      <c r="D744" s="13">
        <f>Weekly!E170</f>
        <v>0</v>
      </c>
      <c r="E744" s="13" t="str">
        <f t="shared" si="114"/>
        <v/>
      </c>
      <c r="F744" s="13" t="str">
        <f t="shared" si="117"/>
        <v/>
      </c>
      <c r="G744" s="13" t="str">
        <f t="shared" si="115"/>
        <v/>
      </c>
      <c r="H744" s="13" t="str">
        <f t="shared" si="116"/>
        <v/>
      </c>
      <c r="I744" s="14" t="str">
        <f t="array" ref="I744">IF(getRGB1(Weekly!E170)="FFFF00","초방","재방")</f>
        <v>재방</v>
      </c>
    </row>
    <row r="745" spans="1:9" ht="11.25" customHeight="1" x14ac:dyDescent="0.3">
      <c r="A745" s="10" t="str">
        <f t="shared" si="113"/>
        <v/>
      </c>
      <c r="B745" s="11">
        <f>Weekly!$E$3</f>
        <v>45917</v>
      </c>
      <c r="C745" s="12">
        <v>0.57986111111111105</v>
      </c>
      <c r="D745" s="13">
        <f>Weekly!E171</f>
        <v>0</v>
      </c>
      <c r="E745" s="13" t="str">
        <f t="shared" si="114"/>
        <v/>
      </c>
      <c r="F745" s="13" t="str">
        <f t="shared" si="117"/>
        <v/>
      </c>
      <c r="G745" s="13" t="str">
        <f t="shared" si="115"/>
        <v/>
      </c>
      <c r="H745" s="13" t="str">
        <f t="shared" si="116"/>
        <v/>
      </c>
      <c r="I745" s="14" t="str">
        <f t="array" ref="I745">IF(getRGB1(Weekly!E171)="FFFF00","초방","재방")</f>
        <v>재방</v>
      </c>
    </row>
    <row r="746" spans="1:9" ht="11.25" customHeight="1" x14ac:dyDescent="0.3">
      <c r="A746" s="10">
        <f t="shared" si="113"/>
        <v>45917.583333333336</v>
      </c>
      <c r="B746" s="11">
        <f>Weekly!$E$3</f>
        <v>45917</v>
      </c>
      <c r="C746" s="12">
        <v>0.58333333333333304</v>
      </c>
      <c r="D746" s="13" t="str">
        <f>Weekly!E172</f>
        <v>특집 2026 지방선거_서울특별시의회 생생중계_상임위
&lt;17</v>
      </c>
      <c r="E746" s="13" t="str">
        <f t="shared" si="114"/>
        <v>특집 2026 지방선거_서울특별시의회 생생중계_상임위</v>
      </c>
      <c r="F746" s="13">
        <f t="shared" si="117"/>
        <v>17</v>
      </c>
      <c r="G746" s="13" t="str">
        <f t="shared" si="115"/>
        <v/>
      </c>
      <c r="H746" s="13" t="str">
        <f t="shared" si="116"/>
        <v/>
      </c>
      <c r="I746" s="14" t="str">
        <f t="array" ref="I746">IF(getRGB1(Weekly!E172)="FFFF00","초방","재방")</f>
        <v>초방</v>
      </c>
    </row>
    <row r="747" spans="1:9" ht="11.25" customHeight="1" x14ac:dyDescent="0.3">
      <c r="A747" s="10" t="str">
        <f t="shared" si="113"/>
        <v/>
      </c>
      <c r="B747" s="11">
        <f>Weekly!$E$3</f>
        <v>45917</v>
      </c>
      <c r="C747" s="12">
        <v>0.58680555555555503</v>
      </c>
      <c r="D747" s="13">
        <f>Weekly!E173</f>
        <v>0</v>
      </c>
      <c r="E747" s="13" t="str">
        <f t="shared" si="114"/>
        <v/>
      </c>
      <c r="F747" s="13" t="str">
        <f t="shared" si="117"/>
        <v/>
      </c>
      <c r="G747" s="13" t="str">
        <f t="shared" si="115"/>
        <v/>
      </c>
      <c r="H747" s="13" t="str">
        <f t="shared" si="116"/>
        <v/>
      </c>
      <c r="I747" s="14" t="str">
        <f t="array" ref="I747">IF(getRGB1(Weekly!E173)="FFFF00","초방","재방")</f>
        <v>초방</v>
      </c>
    </row>
    <row r="748" spans="1:9" ht="11.25" customHeight="1" x14ac:dyDescent="0.3">
      <c r="A748" s="10" t="str">
        <f t="shared" si="113"/>
        <v/>
      </c>
      <c r="B748" s="11">
        <f>Weekly!$E$3</f>
        <v>45917</v>
      </c>
      <c r="C748" s="12">
        <v>0.59027777777777801</v>
      </c>
      <c r="D748" s="13">
        <f>Weekly!E174</f>
        <v>0</v>
      </c>
      <c r="E748" s="13" t="str">
        <f t="shared" si="114"/>
        <v/>
      </c>
      <c r="F748" s="13" t="str">
        <f t="shared" si="117"/>
        <v/>
      </c>
      <c r="G748" s="13" t="str">
        <f t="shared" si="115"/>
        <v/>
      </c>
      <c r="H748" s="13" t="str">
        <f t="shared" si="116"/>
        <v/>
      </c>
      <c r="I748" s="14" t="str">
        <f t="array" ref="I748">IF(getRGB1(Weekly!E174)="FFFF00","초방","재방")</f>
        <v>초방</v>
      </c>
    </row>
    <row r="749" spans="1:9" ht="11.25" customHeight="1" x14ac:dyDescent="0.3">
      <c r="A749" s="10" t="str">
        <f t="shared" si="113"/>
        <v/>
      </c>
      <c r="B749" s="11">
        <f>Weekly!$E$3</f>
        <v>45917</v>
      </c>
      <c r="C749" s="12">
        <v>0.59375</v>
      </c>
      <c r="D749" s="13">
        <f>Weekly!E175</f>
        <v>0</v>
      </c>
      <c r="E749" s="13" t="str">
        <f t="shared" si="114"/>
        <v/>
      </c>
      <c r="F749" s="13" t="str">
        <f t="shared" si="117"/>
        <v/>
      </c>
      <c r="G749" s="13" t="str">
        <f t="shared" si="115"/>
        <v/>
      </c>
      <c r="H749" s="13" t="str">
        <f t="shared" si="116"/>
        <v/>
      </c>
      <c r="I749" s="14" t="str">
        <f t="array" ref="I749">IF(getRGB1(Weekly!E175)="FFFF00","초방","재방")</f>
        <v>초방</v>
      </c>
    </row>
    <row r="750" spans="1:9" ht="11.25" customHeight="1" x14ac:dyDescent="0.3">
      <c r="A750" s="10" t="str">
        <f t="shared" si="113"/>
        <v/>
      </c>
      <c r="B750" s="11">
        <f>Weekly!$E$3</f>
        <v>45917</v>
      </c>
      <c r="C750" s="12">
        <v>0.59722222222222199</v>
      </c>
      <c r="D750" s="13">
        <f>Weekly!E176</f>
        <v>0</v>
      </c>
      <c r="E750" s="13" t="str">
        <f t="shared" si="114"/>
        <v/>
      </c>
      <c r="F750" s="13" t="str">
        <f t="shared" si="117"/>
        <v/>
      </c>
      <c r="G750" s="13" t="str">
        <f t="shared" si="115"/>
        <v/>
      </c>
      <c r="H750" s="13" t="str">
        <f t="shared" si="116"/>
        <v/>
      </c>
      <c r="I750" s="14" t="str">
        <f t="array" ref="I750">IF(getRGB1(Weekly!E176)="FFFF00","초방","재방")</f>
        <v>초방</v>
      </c>
    </row>
    <row r="751" spans="1:9" ht="11.25" customHeight="1" x14ac:dyDescent="0.3">
      <c r="A751" s="10" t="str">
        <f t="shared" si="113"/>
        <v/>
      </c>
      <c r="B751" s="11">
        <f>Weekly!$E$3</f>
        <v>45917</v>
      </c>
      <c r="C751" s="12">
        <v>0.60069444444444398</v>
      </c>
      <c r="D751" s="13">
        <f>Weekly!E177</f>
        <v>0</v>
      </c>
      <c r="E751" s="13" t="str">
        <f t="shared" si="114"/>
        <v/>
      </c>
      <c r="F751" s="13" t="str">
        <f t="shared" si="117"/>
        <v/>
      </c>
      <c r="G751" s="13" t="str">
        <f t="shared" si="115"/>
        <v/>
      </c>
      <c r="H751" s="13" t="str">
        <f t="shared" si="116"/>
        <v/>
      </c>
      <c r="I751" s="14" t="str">
        <f t="array" ref="I751">IF(getRGB1(Weekly!E177)="FFFF00","초방","재방")</f>
        <v>초방</v>
      </c>
    </row>
    <row r="752" spans="1:9" ht="11.25" customHeight="1" x14ac:dyDescent="0.3">
      <c r="A752" s="10" t="str">
        <f t="shared" si="113"/>
        <v/>
      </c>
      <c r="B752" s="11">
        <f>Weekly!$E$3</f>
        <v>45917</v>
      </c>
      <c r="C752" s="12">
        <v>0.60416666666666696</v>
      </c>
      <c r="D752" s="13">
        <f>Weekly!E178</f>
        <v>0</v>
      </c>
      <c r="E752" s="13" t="str">
        <f t="shared" si="114"/>
        <v/>
      </c>
      <c r="F752" s="13" t="str">
        <f t="shared" si="117"/>
        <v/>
      </c>
      <c r="G752" s="13" t="str">
        <f t="shared" si="115"/>
        <v/>
      </c>
      <c r="H752" s="13" t="str">
        <f t="shared" si="116"/>
        <v/>
      </c>
      <c r="I752" s="14" t="str">
        <f t="array" ref="I752">IF(getRGB1(Weekly!E178)="FFFF00","초방","재방")</f>
        <v>초방</v>
      </c>
    </row>
    <row r="753" spans="1:9" ht="11.25" customHeight="1" x14ac:dyDescent="0.3">
      <c r="A753" s="10" t="str">
        <f t="shared" si="113"/>
        <v/>
      </c>
      <c r="B753" s="11">
        <f>Weekly!$E$3</f>
        <v>45917</v>
      </c>
      <c r="C753" s="12">
        <v>0.60763888888888895</v>
      </c>
      <c r="D753" s="13">
        <f>Weekly!E179</f>
        <v>0</v>
      </c>
      <c r="E753" s="13" t="str">
        <f t="shared" si="114"/>
        <v/>
      </c>
      <c r="F753" s="13" t="str">
        <f t="shared" si="117"/>
        <v/>
      </c>
      <c r="G753" s="13" t="str">
        <f t="shared" si="115"/>
        <v/>
      </c>
      <c r="H753" s="13" t="str">
        <f t="shared" si="116"/>
        <v/>
      </c>
      <c r="I753" s="14" t="str">
        <f t="array" ref="I753">IF(getRGB1(Weekly!E179)="FFFF00","초방","재방")</f>
        <v>초방</v>
      </c>
    </row>
    <row r="754" spans="1:9" ht="11.25" customHeight="1" x14ac:dyDescent="0.3">
      <c r="A754" s="10" t="str">
        <f t="shared" si="113"/>
        <v/>
      </c>
      <c r="B754" s="11">
        <f>Weekly!$E$3</f>
        <v>45917</v>
      </c>
      <c r="C754" s="12">
        <v>0.61111111111111105</v>
      </c>
      <c r="D754" s="13">
        <f>Weekly!E180</f>
        <v>0</v>
      </c>
      <c r="E754" s="13" t="str">
        <f t="shared" si="114"/>
        <v/>
      </c>
      <c r="F754" s="13" t="str">
        <f t="shared" si="117"/>
        <v/>
      </c>
      <c r="G754" s="13" t="str">
        <f t="shared" si="115"/>
        <v/>
      </c>
      <c r="H754" s="13" t="str">
        <f t="shared" si="116"/>
        <v/>
      </c>
      <c r="I754" s="14" t="str">
        <f t="array" ref="I754">IF(getRGB1(Weekly!E180)="FFFF00","초방","재방")</f>
        <v>초방</v>
      </c>
    </row>
    <row r="755" spans="1:9" ht="11.25" customHeight="1" x14ac:dyDescent="0.3">
      <c r="A755" s="10" t="str">
        <f t="shared" si="113"/>
        <v/>
      </c>
      <c r="B755" s="11">
        <f>Weekly!$E$3</f>
        <v>45917</v>
      </c>
      <c r="C755" s="12">
        <v>0.61458333333333304</v>
      </c>
      <c r="D755" s="13">
        <f>Weekly!E181</f>
        <v>0</v>
      </c>
      <c r="E755" s="13" t="str">
        <f t="shared" si="114"/>
        <v/>
      </c>
      <c r="F755" s="13" t="str">
        <f t="shared" si="117"/>
        <v/>
      </c>
      <c r="G755" s="13" t="str">
        <f t="shared" si="115"/>
        <v/>
      </c>
      <c r="H755" s="13" t="str">
        <f t="shared" si="116"/>
        <v/>
      </c>
      <c r="I755" s="14" t="str">
        <f t="array" ref="I755">IF(getRGB1(Weekly!E181)="FFFF00","초방","재방")</f>
        <v>초방</v>
      </c>
    </row>
    <row r="756" spans="1:9" ht="11.25" customHeight="1" x14ac:dyDescent="0.3">
      <c r="A756" s="10" t="str">
        <f t="shared" si="113"/>
        <v/>
      </c>
      <c r="B756" s="11">
        <f>Weekly!$E$3</f>
        <v>45917</v>
      </c>
      <c r="C756" s="12">
        <v>0.61805555555555503</v>
      </c>
      <c r="D756" s="13">
        <f>Weekly!E182</f>
        <v>0</v>
      </c>
      <c r="E756" s="13" t="str">
        <f t="shared" si="114"/>
        <v/>
      </c>
      <c r="F756" s="13" t="str">
        <f t="shared" si="117"/>
        <v/>
      </c>
      <c r="G756" s="13" t="str">
        <f t="shared" si="115"/>
        <v/>
      </c>
      <c r="H756" s="13" t="str">
        <f t="shared" si="116"/>
        <v/>
      </c>
      <c r="I756" s="14" t="str">
        <f t="array" ref="I756">IF(getRGB1(Weekly!E182)="FFFF00","초방","재방")</f>
        <v>초방</v>
      </c>
    </row>
    <row r="757" spans="1:9" ht="11.25" customHeight="1" x14ac:dyDescent="0.3">
      <c r="A757" s="10" t="str">
        <f t="shared" si="113"/>
        <v/>
      </c>
      <c r="B757" s="11">
        <f>Weekly!$E$3</f>
        <v>45917</v>
      </c>
      <c r="C757" s="12">
        <v>0.62152777777777801</v>
      </c>
      <c r="D757" s="13">
        <f>Weekly!E183</f>
        <v>0</v>
      </c>
      <c r="E757" s="13" t="str">
        <f t="shared" si="114"/>
        <v/>
      </c>
      <c r="F757" s="13" t="str">
        <f t="shared" si="117"/>
        <v/>
      </c>
      <c r="G757" s="13" t="str">
        <f t="shared" si="115"/>
        <v/>
      </c>
      <c r="H757" s="13" t="str">
        <f t="shared" si="116"/>
        <v/>
      </c>
      <c r="I757" s="14" t="str">
        <f t="array" ref="I757">IF(getRGB1(Weekly!E183)="FFFF00","초방","재방")</f>
        <v>초방</v>
      </c>
    </row>
    <row r="758" spans="1:9" ht="11.25" customHeight="1" x14ac:dyDescent="0.3">
      <c r="A758" s="10">
        <f t="shared" si="113"/>
        <v>45917.625</v>
      </c>
      <c r="B758" s="11">
        <f>Weekly!$E$3</f>
        <v>45917</v>
      </c>
      <c r="C758" s="12">
        <v>0.625</v>
      </c>
      <c r="D758" s="13" t="str">
        <f>Weekly!E184</f>
        <v>행복무지개
&lt;32</v>
      </c>
      <c r="E758" s="13" t="str">
        <f t="shared" si="114"/>
        <v>행복무지개</v>
      </c>
      <c r="F758" s="13">
        <f t="shared" si="117"/>
        <v>32</v>
      </c>
      <c r="G758" s="13" t="str">
        <f t="shared" si="115"/>
        <v/>
      </c>
      <c r="H758" s="13" t="str">
        <f t="shared" si="116"/>
        <v/>
      </c>
      <c r="I758" s="14" t="str">
        <f t="array" ref="I758">IF(getRGB1(Weekly!E184)="FFFF00","초방","재방")</f>
        <v>재방</v>
      </c>
    </row>
    <row r="759" spans="1:9" ht="11.25" customHeight="1" x14ac:dyDescent="0.3">
      <c r="A759" s="10" t="str">
        <f t="shared" si="113"/>
        <v/>
      </c>
      <c r="B759" s="11">
        <f>Weekly!$E$3</f>
        <v>45917</v>
      </c>
      <c r="C759" s="12">
        <v>0.62847222222222199</v>
      </c>
      <c r="D759" s="13">
        <f>Weekly!E185</f>
        <v>0</v>
      </c>
      <c r="E759" s="13" t="str">
        <f t="shared" si="114"/>
        <v/>
      </c>
      <c r="F759" s="13" t="str">
        <f t="shared" si="117"/>
        <v/>
      </c>
      <c r="G759" s="13" t="str">
        <f t="shared" si="115"/>
        <v/>
      </c>
      <c r="H759" s="13" t="str">
        <f t="shared" si="116"/>
        <v/>
      </c>
      <c r="I759" s="14" t="str">
        <f t="array" ref="I759">IF(getRGB1(Weekly!E185)="FFFF00","초방","재방")</f>
        <v>재방</v>
      </c>
    </row>
    <row r="760" spans="1:9" ht="11.25" customHeight="1" x14ac:dyDescent="0.3">
      <c r="A760" s="10" t="str">
        <f t="shared" si="113"/>
        <v/>
      </c>
      <c r="B760" s="11">
        <f>Weekly!$E$3</f>
        <v>45917</v>
      </c>
      <c r="C760" s="12">
        <v>0.63194444444444398</v>
      </c>
      <c r="D760" s="13">
        <f>Weekly!E186</f>
        <v>0</v>
      </c>
      <c r="E760" s="13" t="str">
        <f t="shared" si="114"/>
        <v/>
      </c>
      <c r="F760" s="13" t="str">
        <f t="shared" si="117"/>
        <v/>
      </c>
      <c r="G760" s="13" t="str">
        <f t="shared" si="115"/>
        <v/>
      </c>
      <c r="H760" s="13" t="str">
        <f t="shared" si="116"/>
        <v/>
      </c>
      <c r="I760" s="14" t="str">
        <f t="array" ref="I760">IF(getRGB1(Weekly!E186)="FFFF00","초방","재방")</f>
        <v>재방</v>
      </c>
    </row>
    <row r="761" spans="1:9" ht="11.25" customHeight="1" x14ac:dyDescent="0.3">
      <c r="A761" s="10" t="str">
        <f t="shared" si="113"/>
        <v/>
      </c>
      <c r="B761" s="11">
        <f>Weekly!$E$3</f>
        <v>45917</v>
      </c>
      <c r="C761" s="12">
        <v>0.63541666666666696</v>
      </c>
      <c r="D761" s="13">
        <f>Weekly!E187</f>
        <v>0</v>
      </c>
      <c r="E761" s="13" t="str">
        <f t="shared" si="114"/>
        <v/>
      </c>
      <c r="F761" s="13" t="str">
        <f t="shared" si="117"/>
        <v/>
      </c>
      <c r="G761" s="13" t="str">
        <f t="shared" si="115"/>
        <v/>
      </c>
      <c r="H761" s="13" t="str">
        <f t="shared" si="116"/>
        <v/>
      </c>
      <c r="I761" s="14" t="str">
        <f t="array" ref="I761">IF(getRGB1(Weekly!E187)="FFFF00","초방","재방")</f>
        <v>재방</v>
      </c>
    </row>
    <row r="762" spans="1:9" ht="11.25" customHeight="1" x14ac:dyDescent="0.3">
      <c r="A762" s="10" t="str">
        <f t="shared" si="113"/>
        <v/>
      </c>
      <c r="B762" s="11">
        <f>Weekly!$E$3</f>
        <v>45917</v>
      </c>
      <c r="C762" s="12">
        <v>0.63888888888888895</v>
      </c>
      <c r="D762" s="13">
        <f>Weekly!E188</f>
        <v>0</v>
      </c>
      <c r="E762" s="13" t="str">
        <f t="shared" si="114"/>
        <v/>
      </c>
      <c r="F762" s="13" t="str">
        <f t="shared" si="117"/>
        <v/>
      </c>
      <c r="G762" s="13" t="str">
        <f t="shared" si="115"/>
        <v/>
      </c>
      <c r="H762" s="13" t="str">
        <f t="shared" si="116"/>
        <v/>
      </c>
      <c r="I762" s="14" t="str">
        <f t="array" ref="I762">IF(getRGB1(Weekly!E188)="FFFF00","초방","재방")</f>
        <v>재방</v>
      </c>
    </row>
    <row r="763" spans="1:9" ht="11.25" customHeight="1" x14ac:dyDescent="0.3">
      <c r="A763" s="10" t="str">
        <f t="shared" si="113"/>
        <v/>
      </c>
      <c r="B763" s="11">
        <f>Weekly!$E$3</f>
        <v>45917</v>
      </c>
      <c r="C763" s="12">
        <v>0.64236111111111105</v>
      </c>
      <c r="D763" s="13">
        <f>Weekly!E189</f>
        <v>0</v>
      </c>
      <c r="E763" s="13" t="str">
        <f t="shared" si="114"/>
        <v/>
      </c>
      <c r="F763" s="13" t="str">
        <f t="shared" si="117"/>
        <v/>
      </c>
      <c r="G763" s="13" t="str">
        <f t="shared" si="115"/>
        <v/>
      </c>
      <c r="H763" s="13" t="str">
        <f t="shared" si="116"/>
        <v/>
      </c>
      <c r="I763" s="14" t="str">
        <f t="array" ref="I763">IF(getRGB1(Weekly!E189)="FFFF00","초방","재방")</f>
        <v>재방</v>
      </c>
    </row>
    <row r="764" spans="1:9" ht="11.25" customHeight="1" x14ac:dyDescent="0.3">
      <c r="A764" s="10" t="str">
        <f t="shared" si="113"/>
        <v/>
      </c>
      <c r="B764" s="11">
        <f>Weekly!$E$3</f>
        <v>45917</v>
      </c>
      <c r="C764" s="12">
        <v>0.64583333333333304</v>
      </c>
      <c r="D764" s="13">
        <f>Weekly!E190</f>
        <v>0</v>
      </c>
      <c r="E764" s="13" t="str">
        <f t="shared" si="114"/>
        <v/>
      </c>
      <c r="F764" s="13" t="str">
        <f t="shared" si="117"/>
        <v/>
      </c>
      <c r="G764" s="13" t="str">
        <f t="shared" si="115"/>
        <v/>
      </c>
      <c r="H764" s="13" t="str">
        <f t="shared" si="116"/>
        <v/>
      </c>
      <c r="I764" s="14" t="str">
        <f t="array" ref="I764">IF(getRGB1(Weekly!E190)="FFFF00","초방","재방")</f>
        <v>재방</v>
      </c>
    </row>
    <row r="765" spans="1:9" ht="11.25" customHeight="1" x14ac:dyDescent="0.3">
      <c r="A765" s="10" t="str">
        <f t="shared" si="113"/>
        <v/>
      </c>
      <c r="B765" s="11">
        <f>Weekly!$E$3</f>
        <v>45917</v>
      </c>
      <c r="C765" s="12">
        <v>0.64930555555555503</v>
      </c>
      <c r="D765" s="13">
        <f>Weekly!E191</f>
        <v>0</v>
      </c>
      <c r="E765" s="13" t="str">
        <f t="shared" si="114"/>
        <v/>
      </c>
      <c r="F765" s="13" t="str">
        <f t="shared" si="117"/>
        <v/>
      </c>
      <c r="G765" s="13" t="str">
        <f t="shared" si="115"/>
        <v/>
      </c>
      <c r="H765" s="13" t="str">
        <f t="shared" si="116"/>
        <v/>
      </c>
      <c r="I765" s="14" t="str">
        <f t="array" ref="I765">IF(getRGB1(Weekly!E191)="FFFF00","초방","재방")</f>
        <v>재방</v>
      </c>
    </row>
    <row r="766" spans="1:9" ht="11.25" customHeight="1" x14ac:dyDescent="0.3">
      <c r="A766" s="10" t="str">
        <f t="shared" si="113"/>
        <v/>
      </c>
      <c r="B766" s="11">
        <f>Weekly!$E$3</f>
        <v>45917</v>
      </c>
      <c r="C766" s="12">
        <v>0.65277777777777801</v>
      </c>
      <c r="D766" s="13">
        <f>Weekly!E192</f>
        <v>0</v>
      </c>
      <c r="E766" s="13" t="str">
        <f t="shared" si="114"/>
        <v/>
      </c>
      <c r="F766" s="13" t="str">
        <f t="shared" si="117"/>
        <v/>
      </c>
      <c r="G766" s="13" t="str">
        <f t="shared" si="115"/>
        <v/>
      </c>
      <c r="H766" s="13" t="str">
        <f t="shared" si="116"/>
        <v/>
      </c>
      <c r="I766" s="14" t="str">
        <f t="array" ref="I766">IF(getRGB1(Weekly!E192)="FFFF00","초방","재방")</f>
        <v>재방</v>
      </c>
    </row>
    <row r="767" spans="1:9" ht="11.25" customHeight="1" x14ac:dyDescent="0.3">
      <c r="A767" s="10" t="str">
        <f t="shared" si="113"/>
        <v/>
      </c>
      <c r="B767" s="11">
        <f>Weekly!$E$3</f>
        <v>45917</v>
      </c>
      <c r="C767" s="12">
        <v>0.65625</v>
      </c>
      <c r="D767" s="13">
        <f>Weekly!E193</f>
        <v>0</v>
      </c>
      <c r="E767" s="13" t="str">
        <f t="shared" si="114"/>
        <v/>
      </c>
      <c r="F767" s="13" t="str">
        <f t="shared" si="117"/>
        <v/>
      </c>
      <c r="G767" s="13" t="str">
        <f t="shared" si="115"/>
        <v/>
      </c>
      <c r="H767" s="13" t="str">
        <f t="shared" si="116"/>
        <v/>
      </c>
      <c r="I767" s="14" t="str">
        <f t="array" ref="I767">IF(getRGB1(Weekly!E193)="FFFF00","초방","재방")</f>
        <v>재방</v>
      </c>
    </row>
    <row r="768" spans="1:9" ht="11.25" customHeight="1" x14ac:dyDescent="0.3">
      <c r="A768" s="10" t="str">
        <f t="shared" si="113"/>
        <v/>
      </c>
      <c r="B768" s="11">
        <f>Weekly!$E$3</f>
        <v>45917</v>
      </c>
      <c r="C768" s="12">
        <v>0.65972222222222199</v>
      </c>
      <c r="D768" s="13">
        <f>Weekly!E194</f>
        <v>0</v>
      </c>
      <c r="E768" s="13" t="str">
        <f t="shared" si="114"/>
        <v/>
      </c>
      <c r="F768" s="13" t="str">
        <f t="shared" si="117"/>
        <v/>
      </c>
      <c r="G768" s="13" t="str">
        <f t="shared" si="115"/>
        <v/>
      </c>
      <c r="H768" s="13" t="str">
        <f t="shared" si="116"/>
        <v/>
      </c>
      <c r="I768" s="14" t="str">
        <f t="array" ref="I768">IF(getRGB1(Weekly!E194)="FFFF00","초방","재방")</f>
        <v>재방</v>
      </c>
    </row>
    <row r="769" spans="1:9" ht="11.25" customHeight="1" x14ac:dyDescent="0.3">
      <c r="A769" s="10" t="str">
        <f t="shared" si="113"/>
        <v/>
      </c>
      <c r="B769" s="11">
        <f>Weekly!$E$3</f>
        <v>45917</v>
      </c>
      <c r="C769" s="12">
        <v>0.66319444444444398</v>
      </c>
      <c r="D769" s="13">
        <f>Weekly!E195</f>
        <v>0</v>
      </c>
      <c r="E769" s="13" t="str">
        <f t="shared" si="114"/>
        <v/>
      </c>
      <c r="F769" s="13" t="str">
        <f t="shared" si="117"/>
        <v/>
      </c>
      <c r="G769" s="13" t="str">
        <f t="shared" si="115"/>
        <v/>
      </c>
      <c r="H769" s="13" t="str">
        <f t="shared" si="116"/>
        <v/>
      </c>
      <c r="I769" s="14" t="str">
        <f t="array" ref="I769">IF(getRGB1(Weekly!E195)="FFFF00","초방","재방")</f>
        <v>재방</v>
      </c>
    </row>
    <row r="770" spans="1:9" ht="11.25" customHeight="1" x14ac:dyDescent="0.3">
      <c r="A770" s="10">
        <f t="shared" ref="A770:A833" si="118">IF(D770&lt;&gt;0,B770+C770,"")</f>
        <v>45917.666666666664</v>
      </c>
      <c r="B770" s="11">
        <f>Weekly!$E$3</f>
        <v>45917</v>
      </c>
      <c r="C770" s="12">
        <v>0.66666666666666696</v>
      </c>
      <c r="D770" s="13" t="str">
        <f>Weekly!E196</f>
        <v xml:space="preserve"> NEWS4
&lt;64</v>
      </c>
      <c r="E770" s="13" t="str">
        <f t="shared" ref="E770:E833" si="119">IFERROR(SUBSTITUTE(SUBSTITUTE(TRIM(LEFT(D770,FIND("&lt;",D770)-1)),CHAR(10),""),"⑮ ",""),"")</f>
        <v>NEWS4</v>
      </c>
      <c r="F770" s="13">
        <f t="shared" si="117"/>
        <v>64</v>
      </c>
      <c r="G770" s="13" t="str">
        <f t="shared" ref="G770:G833" si="120">IFERROR(MID(D770,FIND("&gt;",D770)+1,10),"")</f>
        <v/>
      </c>
      <c r="H770" s="13" t="str">
        <f t="shared" ref="H770:H833" si="121">IFERROR(VLOOKUP(LEFT(D770,2),$W$1:$X$6,2,0),"")</f>
        <v/>
      </c>
      <c r="I770" s="14" t="str">
        <f t="array" ref="I770">IF(getRGB1(Weekly!E196)="FFFF00","초방","재방")</f>
        <v>초방</v>
      </c>
    </row>
    <row r="771" spans="1:9" ht="11.25" customHeight="1" x14ac:dyDescent="0.3">
      <c r="A771" s="10" t="str">
        <f t="shared" si="118"/>
        <v/>
      </c>
      <c r="B771" s="11">
        <f>Weekly!$E$3</f>
        <v>45917</v>
      </c>
      <c r="C771" s="12">
        <v>0.67013888888888895</v>
      </c>
      <c r="D771" s="13">
        <f>Weekly!E197</f>
        <v>0</v>
      </c>
      <c r="E771" s="13" t="str">
        <f t="shared" si="119"/>
        <v/>
      </c>
      <c r="F771" s="13" t="str">
        <f t="shared" ref="F771:F834" si="122">IFERROR((MID(D771,FIND("&lt;",D771)+1,4))*1,"")</f>
        <v/>
      </c>
      <c r="G771" s="13" t="str">
        <f t="shared" si="120"/>
        <v/>
      </c>
      <c r="H771" s="13" t="str">
        <f t="shared" si="121"/>
        <v/>
      </c>
      <c r="I771" s="14" t="str">
        <f t="array" ref="I771">IF(getRGB1(Weekly!E197)="FFFF00","초방","재방")</f>
        <v>초방</v>
      </c>
    </row>
    <row r="772" spans="1:9" ht="11.25" customHeight="1" x14ac:dyDescent="0.3">
      <c r="A772" s="10" t="str">
        <f t="shared" si="118"/>
        <v/>
      </c>
      <c r="B772" s="11">
        <f>Weekly!$E$3</f>
        <v>45917</v>
      </c>
      <c r="C772" s="12">
        <v>0.67361111111111105</v>
      </c>
      <c r="D772" s="13">
        <f>Weekly!E198</f>
        <v>0</v>
      </c>
      <c r="E772" s="13" t="str">
        <f t="shared" si="119"/>
        <v/>
      </c>
      <c r="F772" s="13" t="str">
        <f t="shared" si="122"/>
        <v/>
      </c>
      <c r="G772" s="13" t="str">
        <f t="shared" si="120"/>
        <v/>
      </c>
      <c r="H772" s="13" t="str">
        <f t="shared" si="121"/>
        <v/>
      </c>
      <c r="I772" s="14" t="str">
        <f t="array" ref="I772">IF(getRGB1(Weekly!E198)="FFFF00","초방","재방")</f>
        <v>초방</v>
      </c>
    </row>
    <row r="773" spans="1:9" ht="11.25" customHeight="1" x14ac:dyDescent="0.3">
      <c r="A773" s="10" t="str">
        <f t="shared" si="118"/>
        <v/>
      </c>
      <c r="B773" s="11">
        <f>Weekly!$E$3</f>
        <v>45917</v>
      </c>
      <c r="C773" s="12">
        <v>0.67708333333333304</v>
      </c>
      <c r="D773" s="13">
        <f>Weekly!E199</f>
        <v>0</v>
      </c>
      <c r="E773" s="13" t="str">
        <f t="shared" si="119"/>
        <v/>
      </c>
      <c r="F773" s="13" t="str">
        <f t="shared" si="122"/>
        <v/>
      </c>
      <c r="G773" s="13" t="str">
        <f t="shared" si="120"/>
        <v/>
      </c>
      <c r="H773" s="13" t="str">
        <f t="shared" si="121"/>
        <v/>
      </c>
      <c r="I773" s="14" t="str">
        <f t="array" ref="I773">IF(getRGB1(Weekly!E199)="FFFF00","초방","재방")</f>
        <v>초방</v>
      </c>
    </row>
    <row r="774" spans="1:9" ht="11.25" customHeight="1" x14ac:dyDescent="0.3">
      <c r="A774" s="10" t="str">
        <f t="shared" si="118"/>
        <v/>
      </c>
      <c r="B774" s="11">
        <f>Weekly!$E$3</f>
        <v>45917</v>
      </c>
      <c r="C774" s="12">
        <v>0.68055555555555503</v>
      </c>
      <c r="D774" s="13">
        <f>Weekly!E200</f>
        <v>0</v>
      </c>
      <c r="E774" s="13" t="str">
        <f t="shared" si="119"/>
        <v/>
      </c>
      <c r="F774" s="13" t="str">
        <f t="shared" si="122"/>
        <v/>
      </c>
      <c r="G774" s="13" t="str">
        <f t="shared" si="120"/>
        <v/>
      </c>
      <c r="H774" s="13" t="str">
        <f t="shared" si="121"/>
        <v/>
      </c>
      <c r="I774" s="14" t="str">
        <f t="array" ref="I774">IF(getRGB1(Weekly!E200)="FFFF00","초방","재방")</f>
        <v>초방</v>
      </c>
    </row>
    <row r="775" spans="1:9" ht="11.25" customHeight="1" x14ac:dyDescent="0.3">
      <c r="A775" s="10" t="str">
        <f t="shared" si="118"/>
        <v/>
      </c>
      <c r="B775" s="11">
        <f>Weekly!$E$3</f>
        <v>45917</v>
      </c>
      <c r="C775" s="12">
        <v>0.68402777777777801</v>
      </c>
      <c r="D775" s="13">
        <f>Weekly!E201</f>
        <v>0</v>
      </c>
      <c r="E775" s="13" t="str">
        <f t="shared" si="119"/>
        <v/>
      </c>
      <c r="F775" s="13" t="str">
        <f t="shared" si="122"/>
        <v/>
      </c>
      <c r="G775" s="13" t="str">
        <f t="shared" si="120"/>
        <v/>
      </c>
      <c r="H775" s="13" t="str">
        <f t="shared" si="121"/>
        <v/>
      </c>
      <c r="I775" s="14" t="str">
        <f t="array" ref="I775">IF(getRGB1(Weekly!E201)="FFFF00","초방","재방")</f>
        <v>초방</v>
      </c>
    </row>
    <row r="776" spans="1:9" ht="11.25" customHeight="1" x14ac:dyDescent="0.3">
      <c r="A776" s="10">
        <f t="shared" si="118"/>
        <v>45917.6875</v>
      </c>
      <c r="B776" s="11">
        <f>Weekly!$E$3</f>
        <v>45917</v>
      </c>
      <c r="C776" s="12">
        <v>0.6875</v>
      </c>
      <c r="D776" s="13" t="str">
        <f>Weekly!E202</f>
        <v>호남, 호남人
&lt;133</v>
      </c>
      <c r="E776" s="13" t="str">
        <f t="shared" si="119"/>
        <v>호남, 호남人</v>
      </c>
      <c r="F776" s="13">
        <f t="shared" si="122"/>
        <v>133</v>
      </c>
      <c r="G776" s="13" t="str">
        <f t="shared" si="120"/>
        <v/>
      </c>
      <c r="H776" s="13" t="str">
        <f t="shared" si="121"/>
        <v/>
      </c>
      <c r="I776" s="14" t="str">
        <f t="array" ref="I776">IF(getRGB1(Weekly!E202)="FFFF00","초방","재방")</f>
        <v>초방</v>
      </c>
    </row>
    <row r="777" spans="1:9" ht="11.25" customHeight="1" x14ac:dyDescent="0.3">
      <c r="A777" s="10" t="str">
        <f t="shared" si="118"/>
        <v/>
      </c>
      <c r="B777" s="11">
        <f>Weekly!$E$3</f>
        <v>45917</v>
      </c>
      <c r="C777" s="12">
        <v>0.69097222222222199</v>
      </c>
      <c r="D777" s="13">
        <f>Weekly!E203</f>
        <v>0</v>
      </c>
      <c r="E777" s="13" t="str">
        <f t="shared" si="119"/>
        <v/>
      </c>
      <c r="F777" s="13" t="str">
        <f t="shared" si="122"/>
        <v/>
      </c>
      <c r="G777" s="13" t="str">
        <f t="shared" si="120"/>
        <v/>
      </c>
      <c r="H777" s="13" t="str">
        <f t="shared" si="121"/>
        <v/>
      </c>
      <c r="I777" s="14" t="str">
        <f t="array" ref="I777">IF(getRGB1(Weekly!E203)="FFFF00","초방","재방")</f>
        <v>초방</v>
      </c>
    </row>
    <row r="778" spans="1:9" ht="11.25" customHeight="1" x14ac:dyDescent="0.3">
      <c r="A778" s="10" t="str">
        <f t="shared" si="118"/>
        <v/>
      </c>
      <c r="B778" s="11">
        <f>Weekly!$E$3</f>
        <v>45917</v>
      </c>
      <c r="C778" s="12">
        <v>0.69444444444444398</v>
      </c>
      <c r="D778" s="13">
        <f>Weekly!E204</f>
        <v>0</v>
      </c>
      <c r="E778" s="13" t="str">
        <f t="shared" si="119"/>
        <v/>
      </c>
      <c r="F778" s="13" t="str">
        <f t="shared" si="122"/>
        <v/>
      </c>
      <c r="G778" s="13" t="str">
        <f t="shared" si="120"/>
        <v/>
      </c>
      <c r="H778" s="13" t="str">
        <f t="shared" si="121"/>
        <v/>
      </c>
      <c r="I778" s="14" t="str">
        <f t="array" ref="I778">IF(getRGB1(Weekly!E204)="FFFF00","초방","재방")</f>
        <v>초방</v>
      </c>
    </row>
    <row r="779" spans="1:9" ht="11.25" customHeight="1" x14ac:dyDescent="0.3">
      <c r="A779" s="10" t="str">
        <f t="shared" si="118"/>
        <v/>
      </c>
      <c r="B779" s="11">
        <f>Weekly!$E$3</f>
        <v>45917</v>
      </c>
      <c r="C779" s="12">
        <v>0.69791666666666696</v>
      </c>
      <c r="D779" s="13">
        <f>Weekly!E205</f>
        <v>0</v>
      </c>
      <c r="E779" s="13" t="str">
        <f t="shared" si="119"/>
        <v/>
      </c>
      <c r="F779" s="13" t="str">
        <f t="shared" si="122"/>
        <v/>
      </c>
      <c r="G779" s="13" t="str">
        <f t="shared" si="120"/>
        <v/>
      </c>
      <c r="H779" s="13" t="str">
        <f t="shared" si="121"/>
        <v/>
      </c>
      <c r="I779" s="14" t="str">
        <f t="array" ref="I779">IF(getRGB1(Weekly!E205)="FFFF00","초방","재방")</f>
        <v>초방</v>
      </c>
    </row>
    <row r="780" spans="1:9" ht="11.25" customHeight="1" x14ac:dyDescent="0.3">
      <c r="A780" s="10" t="str">
        <f t="shared" si="118"/>
        <v/>
      </c>
      <c r="B780" s="11">
        <f>Weekly!$E$3</f>
        <v>45917</v>
      </c>
      <c r="C780" s="12">
        <v>0.70138888888888895</v>
      </c>
      <c r="D780" s="13">
        <f>Weekly!E206</f>
        <v>0</v>
      </c>
      <c r="E780" s="13" t="str">
        <f t="shared" si="119"/>
        <v/>
      </c>
      <c r="F780" s="13" t="str">
        <f t="shared" si="122"/>
        <v/>
      </c>
      <c r="G780" s="13" t="str">
        <f t="shared" si="120"/>
        <v/>
      </c>
      <c r="H780" s="13" t="str">
        <f t="shared" si="121"/>
        <v/>
      </c>
      <c r="I780" s="14" t="str">
        <f t="array" ref="I780">IF(getRGB1(Weekly!E206)="FFFF00","초방","재방")</f>
        <v>초방</v>
      </c>
    </row>
    <row r="781" spans="1:9" ht="11.25" customHeight="1" x14ac:dyDescent="0.3">
      <c r="A781" s="10" t="str">
        <f t="shared" si="118"/>
        <v/>
      </c>
      <c r="B781" s="11">
        <f>Weekly!$E$3</f>
        <v>45917</v>
      </c>
      <c r="C781" s="12">
        <v>0.70486111111111105</v>
      </c>
      <c r="D781" s="13">
        <f>Weekly!E207</f>
        <v>0</v>
      </c>
      <c r="E781" s="13" t="str">
        <f t="shared" si="119"/>
        <v/>
      </c>
      <c r="F781" s="13" t="str">
        <f t="shared" si="122"/>
        <v/>
      </c>
      <c r="G781" s="13" t="str">
        <f t="shared" si="120"/>
        <v/>
      </c>
      <c r="H781" s="13" t="str">
        <f t="shared" si="121"/>
        <v/>
      </c>
      <c r="I781" s="14" t="str">
        <f t="array" ref="I781">IF(getRGB1(Weekly!E207)="FFFF00","초방","재방")</f>
        <v>초방</v>
      </c>
    </row>
    <row r="782" spans="1:9" ht="11.25" customHeight="1" x14ac:dyDescent="0.3">
      <c r="A782" s="10">
        <f t="shared" si="118"/>
        <v>45917.708333333336</v>
      </c>
      <c r="B782" s="11">
        <f>Weekly!$E$3</f>
        <v>45917</v>
      </c>
      <c r="C782" s="12">
        <v>0.70833333333333304</v>
      </c>
      <c r="D782" s="13" t="str">
        <f>Weekly!E208</f>
        <v>특집 2026 지방선거_경기도의회 생생중계_상임위
&lt;16</v>
      </c>
      <c r="E782" s="13" t="str">
        <f t="shared" si="119"/>
        <v>특집 2026 지방선거_경기도의회 생생중계_상임위</v>
      </c>
      <c r="F782" s="13">
        <f t="shared" si="122"/>
        <v>16</v>
      </c>
      <c r="G782" s="13" t="str">
        <f t="shared" si="120"/>
        <v/>
      </c>
      <c r="H782" s="13" t="str">
        <f t="shared" si="121"/>
        <v/>
      </c>
      <c r="I782" s="14" t="str">
        <f t="array" ref="I782">IF(getRGB1(Weekly!E208)="FFFF00","초방","재방")</f>
        <v>초방</v>
      </c>
    </row>
    <row r="783" spans="1:9" ht="11.25" customHeight="1" x14ac:dyDescent="0.3">
      <c r="A783" s="10" t="str">
        <f t="shared" si="118"/>
        <v/>
      </c>
      <c r="B783" s="11">
        <f>Weekly!$E$3</f>
        <v>45917</v>
      </c>
      <c r="C783" s="12">
        <v>0.71180555555555503</v>
      </c>
      <c r="D783" s="13">
        <f>Weekly!E209</f>
        <v>0</v>
      </c>
      <c r="E783" s="13" t="str">
        <f t="shared" si="119"/>
        <v/>
      </c>
      <c r="F783" s="13" t="str">
        <f t="shared" si="122"/>
        <v/>
      </c>
      <c r="G783" s="13" t="str">
        <f t="shared" si="120"/>
        <v/>
      </c>
      <c r="H783" s="13" t="str">
        <f t="shared" si="121"/>
        <v/>
      </c>
      <c r="I783" s="14" t="str">
        <f t="array" ref="I783">IF(getRGB1(Weekly!E209)="FFFF00","초방","재방")</f>
        <v>초방</v>
      </c>
    </row>
    <row r="784" spans="1:9" ht="11.25" customHeight="1" x14ac:dyDescent="0.3">
      <c r="A784" s="10" t="str">
        <f t="shared" si="118"/>
        <v/>
      </c>
      <c r="B784" s="11">
        <f>Weekly!$E$3</f>
        <v>45917</v>
      </c>
      <c r="C784" s="12">
        <v>0.71527777777777801</v>
      </c>
      <c r="D784" s="13">
        <f>Weekly!E210</f>
        <v>0</v>
      </c>
      <c r="E784" s="13" t="str">
        <f t="shared" si="119"/>
        <v/>
      </c>
      <c r="F784" s="13" t="str">
        <f t="shared" si="122"/>
        <v/>
      </c>
      <c r="G784" s="13" t="str">
        <f t="shared" si="120"/>
        <v/>
      </c>
      <c r="H784" s="13" t="str">
        <f t="shared" si="121"/>
        <v/>
      </c>
      <c r="I784" s="14" t="str">
        <f t="array" ref="I784">IF(getRGB1(Weekly!E210)="FFFF00","초방","재방")</f>
        <v>초방</v>
      </c>
    </row>
    <row r="785" spans="1:9" ht="11.25" customHeight="1" x14ac:dyDescent="0.3">
      <c r="A785" s="10" t="str">
        <f t="shared" si="118"/>
        <v/>
      </c>
      <c r="B785" s="11">
        <f>Weekly!$E$3</f>
        <v>45917</v>
      </c>
      <c r="C785" s="12">
        <v>0.71875</v>
      </c>
      <c r="D785" s="13">
        <f>Weekly!E211</f>
        <v>0</v>
      </c>
      <c r="E785" s="13" t="str">
        <f t="shared" si="119"/>
        <v/>
      </c>
      <c r="F785" s="13" t="str">
        <f t="shared" si="122"/>
        <v/>
      </c>
      <c r="G785" s="13" t="str">
        <f t="shared" si="120"/>
        <v/>
      </c>
      <c r="H785" s="13" t="str">
        <f t="shared" si="121"/>
        <v/>
      </c>
      <c r="I785" s="14" t="str">
        <f t="array" ref="I785">IF(getRGB1(Weekly!E211)="FFFF00","초방","재방")</f>
        <v>초방</v>
      </c>
    </row>
    <row r="786" spans="1:9" ht="11.25" customHeight="1" x14ac:dyDescent="0.3">
      <c r="A786" s="10" t="str">
        <f t="shared" si="118"/>
        <v/>
      </c>
      <c r="B786" s="11">
        <f>Weekly!$E$3</f>
        <v>45917</v>
      </c>
      <c r="C786" s="12">
        <v>0.72222222222222199</v>
      </c>
      <c r="D786" s="13">
        <f>Weekly!E212</f>
        <v>0</v>
      </c>
      <c r="E786" s="13" t="str">
        <f t="shared" si="119"/>
        <v/>
      </c>
      <c r="F786" s="13" t="str">
        <f t="shared" si="122"/>
        <v/>
      </c>
      <c r="G786" s="13" t="str">
        <f t="shared" si="120"/>
        <v/>
      </c>
      <c r="H786" s="13" t="str">
        <f t="shared" si="121"/>
        <v/>
      </c>
      <c r="I786" s="14" t="str">
        <f t="array" ref="I786">IF(getRGB1(Weekly!E212)="FFFF00","초방","재방")</f>
        <v>초방</v>
      </c>
    </row>
    <row r="787" spans="1:9" ht="11.25" customHeight="1" x14ac:dyDescent="0.3">
      <c r="A787" s="10" t="str">
        <f t="shared" si="118"/>
        <v/>
      </c>
      <c r="B787" s="11">
        <f>Weekly!$E$3</f>
        <v>45917</v>
      </c>
      <c r="C787" s="12">
        <v>0.72569444444444398</v>
      </c>
      <c r="D787" s="13">
        <f>Weekly!E213</f>
        <v>0</v>
      </c>
      <c r="E787" s="13" t="str">
        <f t="shared" si="119"/>
        <v/>
      </c>
      <c r="F787" s="13" t="str">
        <f t="shared" si="122"/>
        <v/>
      </c>
      <c r="G787" s="13" t="str">
        <f t="shared" si="120"/>
        <v/>
      </c>
      <c r="H787" s="13" t="str">
        <f t="shared" si="121"/>
        <v/>
      </c>
      <c r="I787" s="14" t="str">
        <f t="array" ref="I787">IF(getRGB1(Weekly!E213)="FFFF00","초방","재방")</f>
        <v>초방</v>
      </c>
    </row>
    <row r="788" spans="1:9" ht="11.25" customHeight="1" x14ac:dyDescent="0.3">
      <c r="A788" s="10" t="str">
        <f t="shared" si="118"/>
        <v/>
      </c>
      <c r="B788" s="11">
        <f>Weekly!$E$3</f>
        <v>45917</v>
      </c>
      <c r="C788" s="12">
        <v>0.72916666666666696</v>
      </c>
      <c r="D788" s="13">
        <f>Weekly!E214</f>
        <v>0</v>
      </c>
      <c r="E788" s="13" t="str">
        <f t="shared" si="119"/>
        <v/>
      </c>
      <c r="F788" s="13" t="str">
        <f t="shared" si="122"/>
        <v/>
      </c>
      <c r="G788" s="13" t="str">
        <f t="shared" si="120"/>
        <v/>
      </c>
      <c r="H788" s="13" t="str">
        <f t="shared" si="121"/>
        <v/>
      </c>
      <c r="I788" s="14" t="str">
        <f t="array" ref="I788">IF(getRGB1(Weekly!E214)="FFFF00","초방","재방")</f>
        <v>초방</v>
      </c>
    </row>
    <row r="789" spans="1:9" ht="11.25" customHeight="1" x14ac:dyDescent="0.3">
      <c r="A789" s="10" t="str">
        <f t="shared" si="118"/>
        <v/>
      </c>
      <c r="B789" s="11">
        <f>Weekly!$E$3</f>
        <v>45917</v>
      </c>
      <c r="C789" s="12">
        <v>0.73263888888888895</v>
      </c>
      <c r="D789" s="13">
        <f>Weekly!E215</f>
        <v>0</v>
      </c>
      <c r="E789" s="13" t="str">
        <f t="shared" si="119"/>
        <v/>
      </c>
      <c r="F789" s="13" t="str">
        <f t="shared" si="122"/>
        <v/>
      </c>
      <c r="G789" s="13" t="str">
        <f t="shared" si="120"/>
        <v/>
      </c>
      <c r="H789" s="13" t="str">
        <f t="shared" si="121"/>
        <v/>
      </c>
      <c r="I789" s="14" t="str">
        <f t="array" ref="I789">IF(getRGB1(Weekly!E215)="FFFF00","초방","재방")</f>
        <v>초방</v>
      </c>
    </row>
    <row r="790" spans="1:9" ht="11.25" customHeight="1" x14ac:dyDescent="0.3">
      <c r="A790" s="10" t="str">
        <f t="shared" si="118"/>
        <v/>
      </c>
      <c r="B790" s="11">
        <f>Weekly!$E$3</f>
        <v>45917</v>
      </c>
      <c r="C790" s="12">
        <v>0.73611111111111105</v>
      </c>
      <c r="D790" s="13">
        <f>Weekly!E216</f>
        <v>0</v>
      </c>
      <c r="E790" s="13" t="str">
        <f t="shared" si="119"/>
        <v/>
      </c>
      <c r="F790" s="13" t="str">
        <f t="shared" si="122"/>
        <v/>
      </c>
      <c r="G790" s="13" t="str">
        <f t="shared" si="120"/>
        <v/>
      </c>
      <c r="H790" s="13" t="str">
        <f t="shared" si="121"/>
        <v/>
      </c>
      <c r="I790" s="14" t="str">
        <f t="array" ref="I790">IF(getRGB1(Weekly!E216)="FFFF00","초방","재방")</f>
        <v>초방</v>
      </c>
    </row>
    <row r="791" spans="1:9" ht="11.25" customHeight="1" x14ac:dyDescent="0.3">
      <c r="A791" s="10" t="str">
        <f t="shared" si="118"/>
        <v/>
      </c>
      <c r="B791" s="11">
        <f>Weekly!$E$3</f>
        <v>45917</v>
      </c>
      <c r="C791" s="12">
        <v>0.73958333333333304</v>
      </c>
      <c r="D791" s="13">
        <f>Weekly!E217</f>
        <v>0</v>
      </c>
      <c r="E791" s="13" t="str">
        <f t="shared" si="119"/>
        <v/>
      </c>
      <c r="F791" s="13" t="str">
        <f t="shared" si="122"/>
        <v/>
      </c>
      <c r="G791" s="13" t="str">
        <f t="shared" si="120"/>
        <v/>
      </c>
      <c r="H791" s="13" t="str">
        <f t="shared" si="121"/>
        <v/>
      </c>
      <c r="I791" s="14" t="str">
        <f t="array" ref="I791">IF(getRGB1(Weekly!E217)="FFFF00","초방","재방")</f>
        <v>초방</v>
      </c>
    </row>
    <row r="792" spans="1:9" ht="11.25" customHeight="1" x14ac:dyDescent="0.3">
      <c r="A792" s="10" t="str">
        <f t="shared" si="118"/>
        <v/>
      </c>
      <c r="B792" s="11">
        <f>Weekly!$E$3</f>
        <v>45917</v>
      </c>
      <c r="C792" s="12">
        <v>0.74305555555555503</v>
      </c>
      <c r="D792" s="13">
        <f>Weekly!E218</f>
        <v>0</v>
      </c>
      <c r="E792" s="13" t="str">
        <f t="shared" si="119"/>
        <v/>
      </c>
      <c r="F792" s="13" t="str">
        <f t="shared" si="122"/>
        <v/>
      </c>
      <c r="G792" s="13" t="str">
        <f t="shared" si="120"/>
        <v/>
      </c>
      <c r="H792" s="13" t="str">
        <f t="shared" si="121"/>
        <v/>
      </c>
      <c r="I792" s="14" t="str">
        <f t="array" ref="I792">IF(getRGB1(Weekly!E218)="FFFF00","초방","재방")</f>
        <v>초방</v>
      </c>
    </row>
    <row r="793" spans="1:9" ht="11.25" customHeight="1" x14ac:dyDescent="0.3">
      <c r="A793" s="10" t="str">
        <f t="shared" si="118"/>
        <v/>
      </c>
      <c r="B793" s="11">
        <f>Weekly!$E$3</f>
        <v>45917</v>
      </c>
      <c r="C793" s="12">
        <v>0.74652777777777801</v>
      </c>
      <c r="D793" s="13">
        <f>Weekly!E219</f>
        <v>0</v>
      </c>
      <c r="E793" s="13" t="str">
        <f t="shared" si="119"/>
        <v/>
      </c>
      <c r="F793" s="13" t="str">
        <f t="shared" si="122"/>
        <v/>
      </c>
      <c r="G793" s="13" t="str">
        <f t="shared" si="120"/>
        <v/>
      </c>
      <c r="H793" s="13" t="str">
        <f t="shared" si="121"/>
        <v/>
      </c>
      <c r="I793" s="14" t="str">
        <f t="array" ref="I793">IF(getRGB1(Weekly!E219)="FFFF00","초방","재방")</f>
        <v>초방</v>
      </c>
    </row>
    <row r="794" spans="1:9" ht="11.25" customHeight="1" x14ac:dyDescent="0.3">
      <c r="A794" s="10">
        <f t="shared" si="118"/>
        <v>45917.75</v>
      </c>
      <c r="B794" s="11">
        <f>Weekly!$E$3</f>
        <v>45917</v>
      </c>
      <c r="C794" s="12">
        <v>0.75</v>
      </c>
      <c r="D794" s="13" t="str">
        <f>Weekly!E220</f>
        <v>눈에 띄는 그녀들 시즌5
&lt;07</v>
      </c>
      <c r="E794" s="13" t="str">
        <f t="shared" si="119"/>
        <v>눈에 띄는 그녀들 시즌5</v>
      </c>
      <c r="F794" s="13">
        <f t="shared" si="122"/>
        <v>7</v>
      </c>
      <c r="G794" s="13" t="str">
        <f t="shared" si="120"/>
        <v/>
      </c>
      <c r="H794" s="13" t="str">
        <f t="shared" si="121"/>
        <v/>
      </c>
      <c r="I794" s="14" t="str">
        <f t="array" ref="I794">IF(getRGB1(Weekly!E220)="FFFF00","초방","재방")</f>
        <v>초방</v>
      </c>
    </row>
    <row r="795" spans="1:9" ht="11.25" customHeight="1" x14ac:dyDescent="0.3">
      <c r="A795" s="10" t="str">
        <f t="shared" si="118"/>
        <v/>
      </c>
      <c r="B795" s="11">
        <f>Weekly!$E$3</f>
        <v>45917</v>
      </c>
      <c r="C795" s="12">
        <v>0.75347222222222199</v>
      </c>
      <c r="D795" s="13">
        <f>Weekly!E221</f>
        <v>0</v>
      </c>
      <c r="E795" s="13" t="str">
        <f t="shared" si="119"/>
        <v/>
      </c>
      <c r="F795" s="13" t="str">
        <f t="shared" si="122"/>
        <v/>
      </c>
      <c r="G795" s="13" t="str">
        <f t="shared" si="120"/>
        <v/>
      </c>
      <c r="H795" s="13" t="str">
        <f t="shared" si="121"/>
        <v/>
      </c>
      <c r="I795" s="14" t="str">
        <f t="array" ref="I795">IF(getRGB1(Weekly!E221)="FFFF00","초방","재방")</f>
        <v>초방</v>
      </c>
    </row>
    <row r="796" spans="1:9" ht="11.25" customHeight="1" x14ac:dyDescent="0.3">
      <c r="A796" s="10" t="str">
        <f t="shared" si="118"/>
        <v/>
      </c>
      <c r="B796" s="11">
        <f>Weekly!$E$3</f>
        <v>45917</v>
      </c>
      <c r="C796" s="12">
        <v>0.75694444444444398</v>
      </c>
      <c r="D796" s="13">
        <f>Weekly!E222</f>
        <v>0</v>
      </c>
      <c r="E796" s="13" t="str">
        <f t="shared" si="119"/>
        <v/>
      </c>
      <c r="F796" s="13" t="str">
        <f t="shared" si="122"/>
        <v/>
      </c>
      <c r="G796" s="13" t="str">
        <f t="shared" si="120"/>
        <v/>
      </c>
      <c r="H796" s="13" t="str">
        <f t="shared" si="121"/>
        <v/>
      </c>
      <c r="I796" s="14" t="str">
        <f t="array" ref="I796">IF(getRGB1(Weekly!E222)="FFFF00","초방","재방")</f>
        <v>초방</v>
      </c>
    </row>
    <row r="797" spans="1:9" ht="11.25" customHeight="1" x14ac:dyDescent="0.3">
      <c r="A797" s="10" t="str">
        <f t="shared" si="118"/>
        <v/>
      </c>
      <c r="B797" s="11">
        <f>Weekly!$E$3</f>
        <v>45917</v>
      </c>
      <c r="C797" s="12">
        <v>0.76041666666666696</v>
      </c>
      <c r="D797" s="13">
        <f>Weekly!E223</f>
        <v>0</v>
      </c>
      <c r="E797" s="13" t="str">
        <f t="shared" si="119"/>
        <v/>
      </c>
      <c r="F797" s="13" t="str">
        <f t="shared" si="122"/>
        <v/>
      </c>
      <c r="G797" s="13" t="str">
        <f t="shared" si="120"/>
        <v/>
      </c>
      <c r="H797" s="13" t="str">
        <f t="shared" si="121"/>
        <v/>
      </c>
      <c r="I797" s="14" t="str">
        <f t="array" ref="I797">IF(getRGB1(Weekly!E223)="FFFF00","초방","재방")</f>
        <v>초방</v>
      </c>
    </row>
    <row r="798" spans="1:9" ht="11.25" customHeight="1" x14ac:dyDescent="0.3">
      <c r="A798" s="10" t="str">
        <f t="shared" si="118"/>
        <v/>
      </c>
      <c r="B798" s="11">
        <f>Weekly!$E$3</f>
        <v>45917</v>
      </c>
      <c r="C798" s="12">
        <v>0.76388888888888895</v>
      </c>
      <c r="D798" s="13">
        <f>Weekly!E224</f>
        <v>0</v>
      </c>
      <c r="E798" s="13" t="str">
        <f t="shared" si="119"/>
        <v/>
      </c>
      <c r="F798" s="13" t="str">
        <f t="shared" si="122"/>
        <v/>
      </c>
      <c r="G798" s="13" t="str">
        <f t="shared" si="120"/>
        <v/>
      </c>
      <c r="H798" s="13" t="str">
        <f t="shared" si="121"/>
        <v/>
      </c>
      <c r="I798" s="14" t="str">
        <f t="array" ref="I798">IF(getRGB1(Weekly!E224)="FFFF00","초방","재방")</f>
        <v>초방</v>
      </c>
    </row>
    <row r="799" spans="1:9" ht="11.25" customHeight="1" x14ac:dyDescent="0.3">
      <c r="A799" s="10" t="str">
        <f t="shared" si="118"/>
        <v/>
      </c>
      <c r="B799" s="11">
        <f>Weekly!$E$3</f>
        <v>45917</v>
      </c>
      <c r="C799" s="12">
        <v>0.76736111111111105</v>
      </c>
      <c r="D799" s="13">
        <f>Weekly!E225</f>
        <v>0</v>
      </c>
      <c r="E799" s="13" t="str">
        <f t="shared" si="119"/>
        <v/>
      </c>
      <c r="F799" s="13" t="str">
        <f t="shared" si="122"/>
        <v/>
      </c>
      <c r="G799" s="13" t="str">
        <f t="shared" si="120"/>
        <v/>
      </c>
      <c r="H799" s="13" t="str">
        <f t="shared" si="121"/>
        <v/>
      </c>
      <c r="I799" s="14" t="str">
        <f t="array" ref="I799">IF(getRGB1(Weekly!E225)="FFFF00","초방","재방")</f>
        <v>초방</v>
      </c>
    </row>
    <row r="800" spans="1:9" ht="11.25" customHeight="1" x14ac:dyDescent="0.3">
      <c r="A800" s="10">
        <f t="shared" si="118"/>
        <v>45917.770833333336</v>
      </c>
      <c r="B800" s="11">
        <f>Weekly!$E$3</f>
        <v>45917</v>
      </c>
      <c r="C800" s="12">
        <v>0.77083333333333304</v>
      </c>
      <c r="D800" s="13" t="str">
        <f>Weekly!E226</f>
        <v>낭만살롱
&lt;07</v>
      </c>
      <c r="E800" s="13" t="str">
        <f t="shared" si="119"/>
        <v>낭만살롱</v>
      </c>
      <c r="F800" s="13">
        <f t="shared" si="122"/>
        <v>7</v>
      </c>
      <c r="G800" s="13" t="str">
        <f t="shared" si="120"/>
        <v/>
      </c>
      <c r="H800" s="13" t="str">
        <f t="shared" si="121"/>
        <v/>
      </c>
      <c r="I800" s="14" t="str">
        <f t="array" ref="I800">IF(getRGB1(Weekly!E226)="FFFF00","초방","재방")</f>
        <v>재방</v>
      </c>
    </row>
    <row r="801" spans="1:9" ht="11.25" customHeight="1" x14ac:dyDescent="0.3">
      <c r="A801" s="10" t="str">
        <f t="shared" si="118"/>
        <v/>
      </c>
      <c r="B801" s="11">
        <f>Weekly!$E$3</f>
        <v>45917</v>
      </c>
      <c r="C801" s="12">
        <v>0.77430555555555503</v>
      </c>
      <c r="D801" s="13">
        <f>Weekly!E227</f>
        <v>0</v>
      </c>
      <c r="E801" s="13" t="str">
        <f t="shared" si="119"/>
        <v/>
      </c>
      <c r="F801" s="13" t="str">
        <f t="shared" si="122"/>
        <v/>
      </c>
      <c r="G801" s="13" t="str">
        <f t="shared" si="120"/>
        <v/>
      </c>
      <c r="H801" s="13" t="str">
        <f t="shared" si="121"/>
        <v/>
      </c>
      <c r="I801" s="14" t="str">
        <f t="array" ref="I801">IF(getRGB1(Weekly!E227)="FFFF00","초방","재방")</f>
        <v>재방</v>
      </c>
    </row>
    <row r="802" spans="1:9" ht="11.25" customHeight="1" x14ac:dyDescent="0.3">
      <c r="A802" s="10" t="str">
        <f t="shared" si="118"/>
        <v/>
      </c>
      <c r="B802" s="11">
        <f>Weekly!$E$3</f>
        <v>45917</v>
      </c>
      <c r="C802" s="12">
        <v>0.77777777777777801</v>
      </c>
      <c r="D802" s="13">
        <f>Weekly!E228</f>
        <v>0</v>
      </c>
      <c r="E802" s="13" t="str">
        <f t="shared" si="119"/>
        <v/>
      </c>
      <c r="F802" s="13" t="str">
        <f t="shared" si="122"/>
        <v/>
      </c>
      <c r="G802" s="13" t="str">
        <f t="shared" si="120"/>
        <v/>
      </c>
      <c r="H802" s="13" t="str">
        <f t="shared" si="121"/>
        <v/>
      </c>
      <c r="I802" s="14" t="str">
        <f t="array" ref="I802">IF(getRGB1(Weekly!E228)="FFFF00","초방","재방")</f>
        <v>재방</v>
      </c>
    </row>
    <row r="803" spans="1:9" ht="11.25" customHeight="1" x14ac:dyDescent="0.3">
      <c r="A803" s="10" t="str">
        <f t="shared" si="118"/>
        <v/>
      </c>
      <c r="B803" s="11">
        <f>Weekly!$E$3</f>
        <v>45917</v>
      </c>
      <c r="C803" s="12">
        <v>0.78125</v>
      </c>
      <c r="D803" s="13">
        <f>Weekly!E229</f>
        <v>0</v>
      </c>
      <c r="E803" s="13" t="str">
        <f t="shared" si="119"/>
        <v/>
      </c>
      <c r="F803" s="13" t="str">
        <f t="shared" si="122"/>
        <v/>
      </c>
      <c r="G803" s="13" t="str">
        <f t="shared" si="120"/>
        <v/>
      </c>
      <c r="H803" s="13" t="str">
        <f t="shared" si="121"/>
        <v/>
      </c>
      <c r="I803" s="14" t="str">
        <f t="array" ref="I803">IF(getRGB1(Weekly!E229)="FFFF00","초방","재방")</f>
        <v>재방</v>
      </c>
    </row>
    <row r="804" spans="1:9" ht="11.25" customHeight="1" x14ac:dyDescent="0.3">
      <c r="A804" s="10" t="str">
        <f t="shared" si="118"/>
        <v/>
      </c>
      <c r="B804" s="11">
        <f>Weekly!$E$3</f>
        <v>45917</v>
      </c>
      <c r="C804" s="12">
        <v>0.78472222222222199</v>
      </c>
      <c r="D804" s="13">
        <f>Weekly!E230</f>
        <v>0</v>
      </c>
      <c r="E804" s="13" t="str">
        <f t="shared" si="119"/>
        <v/>
      </c>
      <c r="F804" s="13" t="str">
        <f t="shared" si="122"/>
        <v/>
      </c>
      <c r="G804" s="13" t="str">
        <f t="shared" si="120"/>
        <v/>
      </c>
      <c r="H804" s="13" t="str">
        <f t="shared" si="121"/>
        <v/>
      </c>
      <c r="I804" s="14" t="str">
        <f t="array" ref="I804">IF(getRGB1(Weekly!E230)="FFFF00","초방","재방")</f>
        <v>재방</v>
      </c>
    </row>
    <row r="805" spans="1:9" ht="11.25" customHeight="1" x14ac:dyDescent="0.3">
      <c r="A805" s="10" t="str">
        <f t="shared" si="118"/>
        <v/>
      </c>
      <c r="B805" s="11">
        <f>Weekly!$E$3</f>
        <v>45917</v>
      </c>
      <c r="C805" s="12">
        <v>0.78819444444444398</v>
      </c>
      <c r="D805" s="13">
        <f>Weekly!E231</f>
        <v>0</v>
      </c>
      <c r="E805" s="13" t="str">
        <f t="shared" si="119"/>
        <v/>
      </c>
      <c r="F805" s="13" t="str">
        <f t="shared" si="122"/>
        <v/>
      </c>
      <c r="G805" s="13" t="str">
        <f t="shared" si="120"/>
        <v/>
      </c>
      <c r="H805" s="13" t="str">
        <f t="shared" si="121"/>
        <v/>
      </c>
      <c r="I805" s="14" t="str">
        <f t="array" ref="I805">IF(getRGB1(Weekly!E231)="FFFF00","초방","재방")</f>
        <v>재방</v>
      </c>
    </row>
    <row r="806" spans="1:9" ht="11.25" customHeight="1" x14ac:dyDescent="0.3">
      <c r="A806" s="10">
        <f t="shared" si="118"/>
        <v>45917.791666666664</v>
      </c>
      <c r="B806" s="11">
        <f>Weekly!$E$3</f>
        <v>45917</v>
      </c>
      <c r="C806" s="12">
        <v>0.79166666666666696</v>
      </c>
      <c r="D806" s="13" t="str">
        <f>Weekly!E232</f>
        <v>뉴스와이드
&lt;434</v>
      </c>
      <c r="E806" s="13" t="str">
        <f t="shared" si="119"/>
        <v>뉴스와이드</v>
      </c>
      <c r="F806" s="13">
        <f t="shared" si="122"/>
        <v>434</v>
      </c>
      <c r="G806" s="13" t="str">
        <f t="shared" si="120"/>
        <v/>
      </c>
      <c r="H806" s="13" t="str">
        <f t="shared" si="121"/>
        <v/>
      </c>
      <c r="I806" s="14" t="str">
        <f t="array" ref="I806">IF(getRGB1(Weekly!E232)="FFFF00","초방","재방")</f>
        <v>초방</v>
      </c>
    </row>
    <row r="807" spans="1:9" ht="11.25" customHeight="1" x14ac:dyDescent="0.3">
      <c r="A807" s="10" t="str">
        <f t="shared" si="118"/>
        <v/>
      </c>
      <c r="B807" s="11">
        <f>Weekly!$E$3</f>
        <v>45917</v>
      </c>
      <c r="C807" s="12">
        <v>0.79513888888888895</v>
      </c>
      <c r="D807" s="13">
        <f>Weekly!E233</f>
        <v>0</v>
      </c>
      <c r="E807" s="13" t="str">
        <f t="shared" si="119"/>
        <v/>
      </c>
      <c r="F807" s="13" t="str">
        <f t="shared" si="122"/>
        <v/>
      </c>
      <c r="G807" s="13" t="str">
        <f t="shared" si="120"/>
        <v/>
      </c>
      <c r="H807" s="13" t="str">
        <f t="shared" si="121"/>
        <v/>
      </c>
      <c r="I807" s="14" t="str">
        <f t="array" ref="I807">IF(getRGB1(Weekly!E233)="FFFF00","초방","재방")</f>
        <v>초방</v>
      </c>
    </row>
    <row r="808" spans="1:9" ht="11.25" customHeight="1" x14ac:dyDescent="0.3">
      <c r="A808" s="10" t="str">
        <f t="shared" si="118"/>
        <v/>
      </c>
      <c r="B808" s="11">
        <f>Weekly!$E$3</f>
        <v>45917</v>
      </c>
      <c r="C808" s="12">
        <v>0.79861111111111105</v>
      </c>
      <c r="D808" s="13">
        <f>Weekly!E234</f>
        <v>0</v>
      </c>
      <c r="E808" s="13" t="str">
        <f t="shared" si="119"/>
        <v/>
      </c>
      <c r="F808" s="13" t="str">
        <f t="shared" si="122"/>
        <v/>
      </c>
      <c r="G808" s="13" t="str">
        <f t="shared" si="120"/>
        <v/>
      </c>
      <c r="H808" s="13" t="str">
        <f t="shared" si="121"/>
        <v/>
      </c>
      <c r="I808" s="14" t="str">
        <f t="array" ref="I808">IF(getRGB1(Weekly!E234)="FFFF00","초방","재방")</f>
        <v>초방</v>
      </c>
    </row>
    <row r="809" spans="1:9" ht="11.25" customHeight="1" x14ac:dyDescent="0.3">
      <c r="A809" s="10" t="str">
        <f t="shared" si="118"/>
        <v/>
      </c>
      <c r="B809" s="11">
        <f>Weekly!$E$3</f>
        <v>45917</v>
      </c>
      <c r="C809" s="12">
        <v>0.80208333333333304</v>
      </c>
      <c r="D809" s="13">
        <f>Weekly!E235</f>
        <v>0</v>
      </c>
      <c r="E809" s="13" t="str">
        <f t="shared" si="119"/>
        <v/>
      </c>
      <c r="F809" s="13" t="str">
        <f t="shared" si="122"/>
        <v/>
      </c>
      <c r="G809" s="13" t="str">
        <f t="shared" si="120"/>
        <v/>
      </c>
      <c r="H809" s="13" t="str">
        <f t="shared" si="121"/>
        <v/>
      </c>
      <c r="I809" s="14" t="str">
        <f t="array" ref="I809">IF(getRGB1(Weekly!E235)="FFFF00","초방","재방")</f>
        <v>초방</v>
      </c>
    </row>
    <row r="810" spans="1:9" ht="11.25" customHeight="1" x14ac:dyDescent="0.3">
      <c r="A810" s="10" t="str">
        <f t="shared" si="118"/>
        <v/>
      </c>
      <c r="B810" s="11">
        <f>Weekly!$E$3</f>
        <v>45917</v>
      </c>
      <c r="C810" s="12">
        <v>0.80555555555555503</v>
      </c>
      <c r="D810" s="13">
        <f>Weekly!E236</f>
        <v>0</v>
      </c>
      <c r="E810" s="13" t="str">
        <f t="shared" si="119"/>
        <v/>
      </c>
      <c r="F810" s="13" t="str">
        <f t="shared" si="122"/>
        <v/>
      </c>
      <c r="G810" s="13" t="str">
        <f t="shared" si="120"/>
        <v/>
      </c>
      <c r="H810" s="13" t="str">
        <f t="shared" si="121"/>
        <v/>
      </c>
      <c r="I810" s="14" t="str">
        <f t="array" ref="I810">IF(getRGB1(Weekly!E236)="FFFF00","초방","재방")</f>
        <v>초방</v>
      </c>
    </row>
    <row r="811" spans="1:9" ht="11.25" customHeight="1" x14ac:dyDescent="0.3">
      <c r="A811" s="10" t="str">
        <f t="shared" si="118"/>
        <v/>
      </c>
      <c r="B811" s="11">
        <f>Weekly!$E$3</f>
        <v>45917</v>
      </c>
      <c r="C811" s="12">
        <v>0.80902777777777801</v>
      </c>
      <c r="D811" s="13">
        <f>Weekly!E237</f>
        <v>0</v>
      </c>
      <c r="E811" s="13" t="str">
        <f t="shared" si="119"/>
        <v/>
      </c>
      <c r="F811" s="13" t="str">
        <f t="shared" si="122"/>
        <v/>
      </c>
      <c r="G811" s="13" t="str">
        <f t="shared" si="120"/>
        <v/>
      </c>
      <c r="H811" s="13" t="str">
        <f t="shared" si="121"/>
        <v/>
      </c>
      <c r="I811" s="14" t="str">
        <f t="array" ref="I811">IF(getRGB1(Weekly!E237)="FFFF00","초방","재방")</f>
        <v>초방</v>
      </c>
    </row>
    <row r="812" spans="1:9" ht="11.25" customHeight="1" x14ac:dyDescent="0.3">
      <c r="A812" s="10" t="str">
        <f t="shared" si="118"/>
        <v/>
      </c>
      <c r="B812" s="11">
        <f>Weekly!$E$3</f>
        <v>45917</v>
      </c>
      <c r="C812" s="12">
        <v>0.8125</v>
      </c>
      <c r="D812" s="13">
        <f>Weekly!E238</f>
        <v>0</v>
      </c>
      <c r="E812" s="13" t="str">
        <f t="shared" si="119"/>
        <v/>
      </c>
      <c r="F812" s="13" t="str">
        <f t="shared" si="122"/>
        <v/>
      </c>
      <c r="G812" s="13" t="str">
        <f t="shared" si="120"/>
        <v/>
      </c>
      <c r="H812" s="13" t="str">
        <f t="shared" si="121"/>
        <v/>
      </c>
      <c r="I812" s="14" t="str">
        <f t="array" ref="I812">IF(getRGB1(Weekly!E238)="FFFF00","초방","재방")</f>
        <v>초방</v>
      </c>
    </row>
    <row r="813" spans="1:9" ht="11.25" customHeight="1" x14ac:dyDescent="0.3">
      <c r="A813" s="10" t="str">
        <f t="shared" si="118"/>
        <v/>
      </c>
      <c r="B813" s="11">
        <f>Weekly!$E$3</f>
        <v>45917</v>
      </c>
      <c r="C813" s="12">
        <v>0.81597222222222199</v>
      </c>
      <c r="D813" s="13">
        <f>Weekly!E239</f>
        <v>0</v>
      </c>
      <c r="E813" s="13" t="str">
        <f t="shared" si="119"/>
        <v/>
      </c>
      <c r="F813" s="13" t="str">
        <f t="shared" si="122"/>
        <v/>
      </c>
      <c r="G813" s="13" t="str">
        <f t="shared" si="120"/>
        <v/>
      </c>
      <c r="H813" s="13" t="str">
        <f t="shared" si="121"/>
        <v/>
      </c>
      <c r="I813" s="14" t="str">
        <f t="array" ref="I813">IF(getRGB1(Weekly!E239)="FFFF00","초방","재방")</f>
        <v>초방</v>
      </c>
    </row>
    <row r="814" spans="1:9" ht="11.25" customHeight="1" x14ac:dyDescent="0.3">
      <c r="A814" s="10" t="str">
        <f t="shared" si="118"/>
        <v/>
      </c>
      <c r="B814" s="11">
        <f>Weekly!$E$3</f>
        <v>45917</v>
      </c>
      <c r="C814" s="12">
        <v>0.81944444444444398</v>
      </c>
      <c r="D814" s="13">
        <f>Weekly!E240</f>
        <v>0</v>
      </c>
      <c r="E814" s="13" t="str">
        <f t="shared" si="119"/>
        <v/>
      </c>
      <c r="F814" s="13" t="str">
        <f t="shared" si="122"/>
        <v/>
      </c>
      <c r="G814" s="13" t="str">
        <f t="shared" si="120"/>
        <v/>
      </c>
      <c r="H814" s="13" t="str">
        <f t="shared" si="121"/>
        <v/>
      </c>
      <c r="I814" s="14" t="str">
        <f t="array" ref="I814">IF(getRGB1(Weekly!E240)="FFFF00","초방","재방")</f>
        <v>초방</v>
      </c>
    </row>
    <row r="815" spans="1:9" ht="11.25" customHeight="1" x14ac:dyDescent="0.3">
      <c r="A815" s="10" t="str">
        <f t="shared" si="118"/>
        <v/>
      </c>
      <c r="B815" s="11">
        <f>Weekly!$E$3</f>
        <v>45917</v>
      </c>
      <c r="C815" s="12">
        <v>0.82291666666666696</v>
      </c>
      <c r="D815" s="13">
        <f>Weekly!E241</f>
        <v>0</v>
      </c>
      <c r="E815" s="13" t="str">
        <f t="shared" si="119"/>
        <v/>
      </c>
      <c r="F815" s="13" t="str">
        <f t="shared" si="122"/>
        <v/>
      </c>
      <c r="G815" s="13" t="str">
        <f t="shared" si="120"/>
        <v/>
      </c>
      <c r="H815" s="13" t="str">
        <f t="shared" si="121"/>
        <v/>
      </c>
      <c r="I815" s="14" t="str">
        <f t="array" ref="I815">IF(getRGB1(Weekly!E241)="FFFF00","초방","재방")</f>
        <v>초방</v>
      </c>
    </row>
    <row r="816" spans="1:9" ht="11.25" customHeight="1" x14ac:dyDescent="0.3">
      <c r="A816" s="10" t="str">
        <f t="shared" si="118"/>
        <v/>
      </c>
      <c r="B816" s="11">
        <f>Weekly!$E$3</f>
        <v>45917</v>
      </c>
      <c r="C816" s="12">
        <v>0.82638888888888895</v>
      </c>
      <c r="D816" s="13">
        <f>Weekly!E242</f>
        <v>0</v>
      </c>
      <c r="E816" s="13" t="str">
        <f t="shared" si="119"/>
        <v/>
      </c>
      <c r="F816" s="13" t="str">
        <f t="shared" si="122"/>
        <v/>
      </c>
      <c r="G816" s="13" t="str">
        <f t="shared" si="120"/>
        <v/>
      </c>
      <c r="H816" s="13" t="str">
        <f t="shared" si="121"/>
        <v/>
      </c>
      <c r="I816" s="14" t="str">
        <f t="array" ref="I816">IF(getRGB1(Weekly!E242)="FFFF00","초방","재방")</f>
        <v>초방</v>
      </c>
    </row>
    <row r="817" spans="1:9" ht="11.25" customHeight="1" x14ac:dyDescent="0.3">
      <c r="A817" s="10" t="str">
        <f t="shared" si="118"/>
        <v/>
      </c>
      <c r="B817" s="11">
        <f>Weekly!$E$3</f>
        <v>45917</v>
      </c>
      <c r="C817" s="12">
        <v>0.82986111111111105</v>
      </c>
      <c r="D817" s="13">
        <f>Weekly!E243</f>
        <v>0</v>
      </c>
      <c r="E817" s="13" t="str">
        <f t="shared" si="119"/>
        <v/>
      </c>
      <c r="F817" s="13" t="str">
        <f t="shared" si="122"/>
        <v/>
      </c>
      <c r="G817" s="13" t="str">
        <f t="shared" si="120"/>
        <v/>
      </c>
      <c r="H817" s="13" t="str">
        <f t="shared" si="121"/>
        <v/>
      </c>
      <c r="I817" s="14" t="str">
        <f t="array" ref="I817">IF(getRGB1(Weekly!E243)="FFFF00","초방","재방")</f>
        <v>초방</v>
      </c>
    </row>
    <row r="818" spans="1:9" ht="11.25" customHeight="1" x14ac:dyDescent="0.3">
      <c r="A818" s="10">
        <f t="shared" si="118"/>
        <v>45917.833333333336</v>
      </c>
      <c r="B818" s="11">
        <f>Weekly!$E$3</f>
        <v>45917</v>
      </c>
      <c r="C818" s="12">
        <v>0.83333333333333304</v>
      </c>
      <c r="D818" s="13" t="str">
        <f>Weekly!E244</f>
        <v xml:space="preserve"> NEWSON
&lt;66</v>
      </c>
      <c r="E818" s="13" t="str">
        <f t="shared" si="119"/>
        <v>NEWSON</v>
      </c>
      <c r="F818" s="13">
        <f t="shared" si="122"/>
        <v>66</v>
      </c>
      <c r="G818" s="13" t="str">
        <f t="shared" si="120"/>
        <v/>
      </c>
      <c r="H818" s="13" t="str">
        <f t="shared" si="121"/>
        <v/>
      </c>
      <c r="I818" s="14" t="str">
        <f t="array" ref="I818">IF(getRGB1(Weekly!E244)="FFFF00","초방","재방")</f>
        <v>재방</v>
      </c>
    </row>
    <row r="819" spans="1:9" ht="11.25" customHeight="1" x14ac:dyDescent="0.3">
      <c r="A819" s="10" t="str">
        <f t="shared" si="118"/>
        <v/>
      </c>
      <c r="B819" s="11">
        <f>Weekly!$E$3</f>
        <v>45917</v>
      </c>
      <c r="C819" s="12">
        <v>0.83680555555555503</v>
      </c>
      <c r="D819" s="13">
        <f>Weekly!E245</f>
        <v>0</v>
      </c>
      <c r="E819" s="13" t="str">
        <f t="shared" si="119"/>
        <v/>
      </c>
      <c r="F819" s="13" t="str">
        <f t="shared" si="122"/>
        <v/>
      </c>
      <c r="G819" s="13" t="str">
        <f t="shared" si="120"/>
        <v/>
      </c>
      <c r="H819" s="13" t="str">
        <f t="shared" si="121"/>
        <v/>
      </c>
      <c r="I819" s="14" t="str">
        <f t="array" ref="I819">IF(getRGB1(Weekly!E245)="FFFF00","초방","재방")</f>
        <v>재방</v>
      </c>
    </row>
    <row r="820" spans="1:9" ht="11.25" customHeight="1" x14ac:dyDescent="0.3">
      <c r="A820" s="10" t="str">
        <f t="shared" si="118"/>
        <v/>
      </c>
      <c r="B820" s="11">
        <f>Weekly!$E$3</f>
        <v>45917</v>
      </c>
      <c r="C820" s="12">
        <v>0.84027777777777801</v>
      </c>
      <c r="D820" s="13">
        <f>Weekly!E246</f>
        <v>0</v>
      </c>
      <c r="E820" s="13" t="str">
        <f t="shared" si="119"/>
        <v/>
      </c>
      <c r="F820" s="13" t="str">
        <f t="shared" si="122"/>
        <v/>
      </c>
      <c r="G820" s="13" t="str">
        <f t="shared" si="120"/>
        <v/>
      </c>
      <c r="H820" s="13" t="str">
        <f t="shared" si="121"/>
        <v/>
      </c>
      <c r="I820" s="14" t="str">
        <f t="array" ref="I820">IF(getRGB1(Weekly!E246)="FFFF00","초방","재방")</f>
        <v>재방</v>
      </c>
    </row>
    <row r="821" spans="1:9" ht="11.25" customHeight="1" x14ac:dyDescent="0.3">
      <c r="A821" s="10" t="str">
        <f t="shared" si="118"/>
        <v/>
      </c>
      <c r="B821" s="11">
        <f>Weekly!$E$3</f>
        <v>45917</v>
      </c>
      <c r="C821" s="12">
        <v>0.84375</v>
      </c>
      <c r="D821" s="13">
        <f>Weekly!E247</f>
        <v>0</v>
      </c>
      <c r="E821" s="13" t="str">
        <f t="shared" si="119"/>
        <v/>
      </c>
      <c r="F821" s="13" t="str">
        <f t="shared" si="122"/>
        <v/>
      </c>
      <c r="G821" s="13" t="str">
        <f t="shared" si="120"/>
        <v/>
      </c>
      <c r="H821" s="13" t="str">
        <f t="shared" si="121"/>
        <v/>
      </c>
      <c r="I821" s="14" t="str">
        <f t="array" ref="I821">IF(getRGB1(Weekly!E247)="FFFF00","초방","재방")</f>
        <v>재방</v>
      </c>
    </row>
    <row r="822" spans="1:9" ht="11.25" customHeight="1" x14ac:dyDescent="0.3">
      <c r="A822" s="10" t="str">
        <f t="shared" si="118"/>
        <v/>
      </c>
      <c r="B822" s="11">
        <f>Weekly!$E$3</f>
        <v>45917</v>
      </c>
      <c r="C822" s="12">
        <v>0.84722222222222199</v>
      </c>
      <c r="D822" s="13">
        <f>Weekly!E248</f>
        <v>0</v>
      </c>
      <c r="E822" s="13" t="str">
        <f t="shared" si="119"/>
        <v/>
      </c>
      <c r="F822" s="13" t="str">
        <f t="shared" si="122"/>
        <v/>
      </c>
      <c r="G822" s="13" t="str">
        <f t="shared" si="120"/>
        <v/>
      </c>
      <c r="H822" s="13" t="str">
        <f t="shared" si="121"/>
        <v/>
      </c>
      <c r="I822" s="14" t="str">
        <f t="array" ref="I822">IF(getRGB1(Weekly!E248)="FFFF00","초방","재방")</f>
        <v>재방</v>
      </c>
    </row>
    <row r="823" spans="1:9" ht="11.25" customHeight="1" x14ac:dyDescent="0.3">
      <c r="A823" s="10" t="str">
        <f t="shared" si="118"/>
        <v/>
      </c>
      <c r="B823" s="11">
        <f>Weekly!$E$3</f>
        <v>45917</v>
      </c>
      <c r="C823" s="12">
        <v>0.85069444444444398</v>
      </c>
      <c r="D823" s="13">
        <f>Weekly!E249</f>
        <v>0</v>
      </c>
      <c r="E823" s="13" t="str">
        <f t="shared" si="119"/>
        <v/>
      </c>
      <c r="F823" s="13" t="str">
        <f t="shared" si="122"/>
        <v/>
      </c>
      <c r="G823" s="13" t="str">
        <f t="shared" si="120"/>
        <v/>
      </c>
      <c r="H823" s="13" t="str">
        <f t="shared" si="121"/>
        <v/>
      </c>
      <c r="I823" s="14" t="str">
        <f t="array" ref="I823">IF(getRGB1(Weekly!E249)="FFFF00","초방","재방")</f>
        <v>재방</v>
      </c>
    </row>
    <row r="824" spans="1:9" ht="11.25" customHeight="1" x14ac:dyDescent="0.3">
      <c r="A824" s="10">
        <f t="shared" si="118"/>
        <v>45917.854166666664</v>
      </c>
      <c r="B824" s="11">
        <f>Weekly!$E$3</f>
        <v>45917</v>
      </c>
      <c r="C824" s="12">
        <v>0.85416666666666696</v>
      </c>
      <c r="D824" s="13" t="str">
        <f>Weekly!E250</f>
        <v>우리동네 너튜브
&lt;06</v>
      </c>
      <c r="E824" s="13" t="str">
        <f t="shared" si="119"/>
        <v>우리동네 너튜브</v>
      </c>
      <c r="F824" s="13">
        <f t="shared" si="122"/>
        <v>6</v>
      </c>
      <c r="G824" s="13" t="str">
        <f t="shared" si="120"/>
        <v/>
      </c>
      <c r="H824" s="13" t="str">
        <f t="shared" si="121"/>
        <v/>
      </c>
      <c r="I824" s="14" t="str">
        <f t="array" ref="I824">IF(getRGB1(Weekly!E250)="FFFF00","초방","재방")</f>
        <v>재방</v>
      </c>
    </row>
    <row r="825" spans="1:9" ht="11.25" customHeight="1" x14ac:dyDescent="0.3">
      <c r="A825" s="10" t="str">
        <f t="shared" si="118"/>
        <v/>
      </c>
      <c r="B825" s="11">
        <f>Weekly!$E$3</f>
        <v>45917</v>
      </c>
      <c r="C825" s="12">
        <v>0.85763888888888895</v>
      </c>
      <c r="D825" s="13">
        <f>Weekly!E251</f>
        <v>0</v>
      </c>
      <c r="E825" s="13" t="str">
        <f t="shared" si="119"/>
        <v/>
      </c>
      <c r="F825" s="13" t="str">
        <f t="shared" si="122"/>
        <v/>
      </c>
      <c r="G825" s="13" t="str">
        <f t="shared" si="120"/>
        <v/>
      </c>
      <c r="H825" s="13" t="str">
        <f t="shared" si="121"/>
        <v/>
      </c>
      <c r="I825" s="14" t="str">
        <f t="array" ref="I825">IF(getRGB1(Weekly!E251)="FFFF00","초방","재방")</f>
        <v>재방</v>
      </c>
    </row>
    <row r="826" spans="1:9" ht="11.25" customHeight="1" x14ac:dyDescent="0.3">
      <c r="A826" s="10" t="str">
        <f t="shared" si="118"/>
        <v/>
      </c>
      <c r="B826" s="11">
        <f>Weekly!$E$3</f>
        <v>45917</v>
      </c>
      <c r="C826" s="12">
        <v>0.86111111111111105</v>
      </c>
      <c r="D826" s="13">
        <f>Weekly!E252</f>
        <v>0</v>
      </c>
      <c r="E826" s="13" t="str">
        <f t="shared" si="119"/>
        <v/>
      </c>
      <c r="F826" s="13" t="str">
        <f t="shared" si="122"/>
        <v/>
      </c>
      <c r="G826" s="13" t="str">
        <f t="shared" si="120"/>
        <v/>
      </c>
      <c r="H826" s="13" t="str">
        <f t="shared" si="121"/>
        <v/>
      </c>
      <c r="I826" s="14" t="str">
        <f t="array" ref="I826">IF(getRGB1(Weekly!E252)="FFFF00","초방","재방")</f>
        <v>재방</v>
      </c>
    </row>
    <row r="827" spans="1:9" ht="11.25" customHeight="1" x14ac:dyDescent="0.3">
      <c r="A827" s="10" t="str">
        <f t="shared" si="118"/>
        <v/>
      </c>
      <c r="B827" s="11">
        <f>Weekly!$E$3</f>
        <v>45917</v>
      </c>
      <c r="C827" s="12">
        <v>0.86458333333333304</v>
      </c>
      <c r="D827" s="13">
        <f>Weekly!E253</f>
        <v>0</v>
      </c>
      <c r="E827" s="13" t="str">
        <f t="shared" si="119"/>
        <v/>
      </c>
      <c r="F827" s="13" t="str">
        <f t="shared" si="122"/>
        <v/>
      </c>
      <c r="G827" s="13" t="str">
        <f t="shared" si="120"/>
        <v/>
      </c>
      <c r="H827" s="13" t="str">
        <f t="shared" si="121"/>
        <v/>
      </c>
      <c r="I827" s="14" t="str">
        <f t="array" ref="I827">IF(getRGB1(Weekly!E253)="FFFF00","초방","재방")</f>
        <v>재방</v>
      </c>
    </row>
    <row r="828" spans="1:9" ht="11.25" customHeight="1" x14ac:dyDescent="0.3">
      <c r="A828" s="10" t="str">
        <f t="shared" si="118"/>
        <v/>
      </c>
      <c r="B828" s="11">
        <f>Weekly!$E$3</f>
        <v>45917</v>
      </c>
      <c r="C828" s="12">
        <v>0.86805555555555503</v>
      </c>
      <c r="D828" s="13">
        <f>Weekly!E254</f>
        <v>0</v>
      </c>
      <c r="E828" s="13" t="str">
        <f t="shared" si="119"/>
        <v/>
      </c>
      <c r="F828" s="13" t="str">
        <f t="shared" si="122"/>
        <v/>
      </c>
      <c r="G828" s="13" t="str">
        <f t="shared" si="120"/>
        <v/>
      </c>
      <c r="H828" s="13" t="str">
        <f t="shared" si="121"/>
        <v/>
      </c>
      <c r="I828" s="14" t="str">
        <f t="array" ref="I828">IF(getRGB1(Weekly!E254)="FFFF00","초방","재방")</f>
        <v>재방</v>
      </c>
    </row>
    <row r="829" spans="1:9" ht="11.25" customHeight="1" x14ac:dyDescent="0.3">
      <c r="A829" s="10" t="str">
        <f t="shared" si="118"/>
        <v/>
      </c>
      <c r="B829" s="11">
        <f>Weekly!$E$3</f>
        <v>45917</v>
      </c>
      <c r="C829" s="12">
        <v>0.87152777777777801</v>
      </c>
      <c r="D829" s="13">
        <f>Weekly!E255</f>
        <v>0</v>
      </c>
      <c r="E829" s="13" t="str">
        <f t="shared" si="119"/>
        <v/>
      </c>
      <c r="F829" s="13" t="str">
        <f t="shared" si="122"/>
        <v/>
      </c>
      <c r="G829" s="13" t="str">
        <f t="shared" si="120"/>
        <v/>
      </c>
      <c r="H829" s="13" t="str">
        <f t="shared" si="121"/>
        <v/>
      </c>
      <c r="I829" s="14" t="str">
        <f t="array" ref="I829">IF(getRGB1(Weekly!E255)="FFFF00","초방","재방")</f>
        <v>재방</v>
      </c>
    </row>
    <row r="830" spans="1:9" ht="11.25" customHeight="1" x14ac:dyDescent="0.3">
      <c r="A830" s="10" t="str">
        <f t="shared" si="118"/>
        <v/>
      </c>
      <c r="B830" s="11">
        <f>Weekly!$E$3</f>
        <v>45917</v>
      </c>
      <c r="C830" s="12">
        <v>0.875</v>
      </c>
      <c r="D830" s="13">
        <f>Weekly!E256</f>
        <v>0</v>
      </c>
      <c r="E830" s="13" t="str">
        <f t="shared" si="119"/>
        <v/>
      </c>
      <c r="F830" s="13" t="str">
        <f t="shared" si="122"/>
        <v/>
      </c>
      <c r="G830" s="13" t="str">
        <f t="shared" si="120"/>
        <v/>
      </c>
      <c r="H830" s="13" t="str">
        <f t="shared" si="121"/>
        <v/>
      </c>
      <c r="I830" s="14" t="str">
        <f t="array" ref="I830">IF(getRGB1(Weekly!E256)="FFFF00","초방","재방")</f>
        <v>재방</v>
      </c>
    </row>
    <row r="831" spans="1:9" ht="11.25" customHeight="1" x14ac:dyDescent="0.3">
      <c r="A831" s="10" t="str">
        <f t="shared" si="118"/>
        <v/>
      </c>
      <c r="B831" s="11">
        <f>Weekly!$E$3</f>
        <v>45917</v>
      </c>
      <c r="C831" s="12">
        <v>0.87847222222222199</v>
      </c>
      <c r="D831" s="13">
        <f>Weekly!E257</f>
        <v>0</v>
      </c>
      <c r="E831" s="13" t="str">
        <f t="shared" si="119"/>
        <v/>
      </c>
      <c r="F831" s="13" t="str">
        <f t="shared" si="122"/>
        <v/>
      </c>
      <c r="G831" s="13" t="str">
        <f t="shared" si="120"/>
        <v/>
      </c>
      <c r="H831" s="13" t="str">
        <f t="shared" si="121"/>
        <v/>
      </c>
      <c r="I831" s="14" t="str">
        <f t="array" ref="I831">IF(getRGB1(Weekly!E257)="FFFF00","초방","재방")</f>
        <v>재방</v>
      </c>
    </row>
    <row r="832" spans="1:9" ht="11.25" customHeight="1" x14ac:dyDescent="0.3">
      <c r="A832" s="10" t="str">
        <f t="shared" si="118"/>
        <v/>
      </c>
      <c r="B832" s="11">
        <f>Weekly!$E$3</f>
        <v>45917</v>
      </c>
      <c r="C832" s="12">
        <v>0.88194444444444398</v>
      </c>
      <c r="D832" s="13">
        <f>Weekly!E258</f>
        <v>0</v>
      </c>
      <c r="E832" s="13" t="str">
        <f t="shared" si="119"/>
        <v/>
      </c>
      <c r="F832" s="13" t="str">
        <f t="shared" si="122"/>
        <v/>
      </c>
      <c r="G832" s="13" t="str">
        <f t="shared" si="120"/>
        <v/>
      </c>
      <c r="H832" s="13" t="str">
        <f t="shared" si="121"/>
        <v/>
      </c>
      <c r="I832" s="14" t="str">
        <f t="array" ref="I832">IF(getRGB1(Weekly!E258)="FFFF00","초방","재방")</f>
        <v>재방</v>
      </c>
    </row>
    <row r="833" spans="1:9" ht="11.25" customHeight="1" x14ac:dyDescent="0.3">
      <c r="A833" s="10" t="str">
        <f t="shared" si="118"/>
        <v/>
      </c>
      <c r="B833" s="11">
        <f>Weekly!$E$3</f>
        <v>45917</v>
      </c>
      <c r="C833" s="12">
        <v>0.88541666666666696</v>
      </c>
      <c r="D833" s="13">
        <f>Weekly!E259</f>
        <v>0</v>
      </c>
      <c r="E833" s="13" t="str">
        <f t="shared" si="119"/>
        <v/>
      </c>
      <c r="F833" s="13" t="str">
        <f t="shared" si="122"/>
        <v/>
      </c>
      <c r="G833" s="13" t="str">
        <f t="shared" si="120"/>
        <v/>
      </c>
      <c r="H833" s="13" t="str">
        <f t="shared" si="121"/>
        <v/>
      </c>
      <c r="I833" s="14" t="str">
        <f t="array" ref="I833">IF(getRGB1(Weekly!E259)="FFFF00","초방","재방")</f>
        <v>재방</v>
      </c>
    </row>
    <row r="834" spans="1:9" ht="11.25" customHeight="1" x14ac:dyDescent="0.3">
      <c r="A834" s="10">
        <f t="shared" ref="A834:A897" si="123">IF(D834&lt;&gt;0,B834+C834,"")</f>
        <v>45917.888888888891</v>
      </c>
      <c r="B834" s="11">
        <f>Weekly!$E$3</f>
        <v>45917</v>
      </c>
      <c r="C834" s="12">
        <v>0.88888888888888895</v>
      </c>
      <c r="D834" s="13" t="str">
        <f>Weekly!E260</f>
        <v>낭만살롱
&lt;03</v>
      </c>
      <c r="E834" s="13" t="str">
        <f t="shared" ref="E834:E897" si="124">IFERROR(SUBSTITUTE(SUBSTITUTE(TRIM(LEFT(D834,FIND("&lt;",D834)-1)),CHAR(10),""),"⑮ ",""),"")</f>
        <v>낭만살롱</v>
      </c>
      <c r="F834" s="13">
        <f t="shared" si="122"/>
        <v>3</v>
      </c>
      <c r="G834" s="13" t="str">
        <f t="shared" ref="G834:G897" si="125">IFERROR(MID(D834,FIND("&gt;",D834)+1,10),"")</f>
        <v/>
      </c>
      <c r="H834" s="13" t="str">
        <f t="shared" ref="H834:H897" si="126">IFERROR(VLOOKUP(LEFT(D834,2),$W$1:$X$6,2,0),"")</f>
        <v/>
      </c>
      <c r="I834" s="14" t="str">
        <f t="array" ref="I834">IF(getRGB1(Weekly!E260)="FFFF00","초방","재방")</f>
        <v>재방</v>
      </c>
    </row>
    <row r="835" spans="1:9" ht="11.25" customHeight="1" x14ac:dyDescent="0.3">
      <c r="A835" s="10" t="str">
        <f t="shared" si="123"/>
        <v/>
      </c>
      <c r="B835" s="11">
        <f>Weekly!$E$3</f>
        <v>45917</v>
      </c>
      <c r="C835" s="12">
        <v>0.89236111111111105</v>
      </c>
      <c r="D835" s="13">
        <f>Weekly!E261</f>
        <v>0</v>
      </c>
      <c r="E835" s="13" t="str">
        <f t="shared" si="124"/>
        <v/>
      </c>
      <c r="F835" s="13" t="str">
        <f t="shared" ref="F835:F898" si="127">IFERROR((MID(D835,FIND("&lt;",D835)+1,4))*1,"")</f>
        <v/>
      </c>
      <c r="G835" s="13" t="str">
        <f t="shared" si="125"/>
        <v/>
      </c>
      <c r="H835" s="13" t="str">
        <f t="shared" si="126"/>
        <v/>
      </c>
      <c r="I835" s="14" t="str">
        <f t="array" ref="I835">IF(getRGB1(Weekly!E261)="FFFF00","초방","재방")</f>
        <v>재방</v>
      </c>
    </row>
    <row r="836" spans="1:9" ht="11.25" customHeight="1" x14ac:dyDescent="0.3">
      <c r="A836" s="10" t="str">
        <f t="shared" si="123"/>
        <v/>
      </c>
      <c r="B836" s="11">
        <f>Weekly!$E$3</f>
        <v>45917</v>
      </c>
      <c r="C836" s="12">
        <v>0.89583333333333304</v>
      </c>
      <c r="D836" s="13">
        <f>Weekly!E262</f>
        <v>0</v>
      </c>
      <c r="E836" s="13" t="str">
        <f t="shared" si="124"/>
        <v/>
      </c>
      <c r="F836" s="13" t="str">
        <f t="shared" si="127"/>
        <v/>
      </c>
      <c r="G836" s="13" t="str">
        <f t="shared" si="125"/>
        <v/>
      </c>
      <c r="H836" s="13" t="str">
        <f t="shared" si="126"/>
        <v/>
      </c>
      <c r="I836" s="14" t="str">
        <f t="array" ref="I836">IF(getRGB1(Weekly!E262)="FFFF00","초방","재방")</f>
        <v>재방</v>
      </c>
    </row>
    <row r="837" spans="1:9" ht="11.25" customHeight="1" x14ac:dyDescent="0.3">
      <c r="A837" s="10" t="str">
        <f t="shared" si="123"/>
        <v/>
      </c>
      <c r="B837" s="11">
        <f>Weekly!$E$3</f>
        <v>45917</v>
      </c>
      <c r="C837" s="12">
        <v>0.89930555555555503</v>
      </c>
      <c r="D837" s="13">
        <f>Weekly!E263</f>
        <v>0</v>
      </c>
      <c r="E837" s="13" t="str">
        <f t="shared" si="124"/>
        <v/>
      </c>
      <c r="F837" s="13" t="str">
        <f t="shared" si="127"/>
        <v/>
      </c>
      <c r="G837" s="13" t="str">
        <f t="shared" si="125"/>
        <v/>
      </c>
      <c r="H837" s="13" t="str">
        <f t="shared" si="126"/>
        <v/>
      </c>
      <c r="I837" s="14" t="str">
        <f t="array" ref="I837">IF(getRGB1(Weekly!E263)="FFFF00","초방","재방")</f>
        <v>재방</v>
      </c>
    </row>
    <row r="838" spans="1:9" ht="11.25" customHeight="1" x14ac:dyDescent="0.3">
      <c r="A838" s="10" t="str">
        <f t="shared" si="123"/>
        <v/>
      </c>
      <c r="B838" s="11">
        <f>Weekly!$E$3</f>
        <v>45917</v>
      </c>
      <c r="C838" s="12">
        <v>0.90277777777777801</v>
      </c>
      <c r="D838" s="13">
        <f>Weekly!E264</f>
        <v>0</v>
      </c>
      <c r="E838" s="13" t="str">
        <f t="shared" si="124"/>
        <v/>
      </c>
      <c r="F838" s="13" t="str">
        <f t="shared" si="127"/>
        <v/>
      </c>
      <c r="G838" s="13" t="str">
        <f t="shared" si="125"/>
        <v/>
      </c>
      <c r="H838" s="13" t="str">
        <f t="shared" si="126"/>
        <v/>
      </c>
      <c r="I838" s="14" t="str">
        <f t="array" ref="I838">IF(getRGB1(Weekly!E264)="FFFF00","초방","재방")</f>
        <v>재방</v>
      </c>
    </row>
    <row r="839" spans="1:9" ht="11.25" customHeight="1" x14ac:dyDescent="0.3">
      <c r="A839" s="10" t="str">
        <f t="shared" si="123"/>
        <v/>
      </c>
      <c r="B839" s="11">
        <f>Weekly!$E$3</f>
        <v>45917</v>
      </c>
      <c r="C839" s="12">
        <v>0.90625</v>
      </c>
      <c r="D839" s="13">
        <f>Weekly!E265</f>
        <v>0</v>
      </c>
      <c r="E839" s="13" t="str">
        <f t="shared" si="124"/>
        <v/>
      </c>
      <c r="F839" s="13" t="str">
        <f t="shared" si="127"/>
        <v/>
      </c>
      <c r="G839" s="13" t="str">
        <f t="shared" si="125"/>
        <v/>
      </c>
      <c r="H839" s="13" t="str">
        <f t="shared" si="126"/>
        <v/>
      </c>
      <c r="I839" s="14" t="str">
        <f t="array" ref="I839">IF(getRGB1(Weekly!E265)="FFFF00","초방","재방")</f>
        <v>재방</v>
      </c>
    </row>
    <row r="840" spans="1:9" ht="11.25" customHeight="1" x14ac:dyDescent="0.3">
      <c r="A840" s="10" t="str">
        <f t="shared" si="123"/>
        <v/>
      </c>
      <c r="B840" s="11">
        <f>Weekly!$E$3</f>
        <v>45917</v>
      </c>
      <c r="C840" s="12">
        <v>0.90972222222222199</v>
      </c>
      <c r="D840" s="13">
        <f>Weekly!E266</f>
        <v>0</v>
      </c>
      <c r="E840" s="13" t="str">
        <f t="shared" si="124"/>
        <v/>
      </c>
      <c r="F840" s="13" t="str">
        <f t="shared" si="127"/>
        <v/>
      </c>
      <c r="G840" s="13" t="str">
        <f t="shared" si="125"/>
        <v/>
      </c>
      <c r="H840" s="13" t="str">
        <f t="shared" si="126"/>
        <v/>
      </c>
      <c r="I840" s="14" t="str">
        <f t="array" ref="I840">IF(getRGB1(Weekly!E266)="FFFF00","초방","재방")</f>
        <v>재방</v>
      </c>
    </row>
    <row r="841" spans="1:9" ht="11.25" customHeight="1" x14ac:dyDescent="0.3">
      <c r="A841" s="10" t="str">
        <f t="shared" si="123"/>
        <v/>
      </c>
      <c r="B841" s="11">
        <f>Weekly!$E$3</f>
        <v>45917</v>
      </c>
      <c r="C841" s="12">
        <v>0.91319444444444398</v>
      </c>
      <c r="D841" s="13">
        <f>Weekly!E267</f>
        <v>0</v>
      </c>
      <c r="E841" s="13" t="str">
        <f t="shared" si="124"/>
        <v/>
      </c>
      <c r="F841" s="13" t="str">
        <f t="shared" si="127"/>
        <v/>
      </c>
      <c r="G841" s="13" t="str">
        <f t="shared" si="125"/>
        <v/>
      </c>
      <c r="H841" s="13" t="str">
        <f t="shared" si="126"/>
        <v/>
      </c>
      <c r="I841" s="14" t="str">
        <f t="array" ref="I841">IF(getRGB1(Weekly!E267)="FFFF00","초방","재방")</f>
        <v>재방</v>
      </c>
    </row>
    <row r="842" spans="1:9" ht="11.25" customHeight="1" x14ac:dyDescent="0.3">
      <c r="A842" s="10">
        <f t="shared" si="123"/>
        <v>45917.916666666664</v>
      </c>
      <c r="B842" s="11">
        <f>Weekly!$E$3</f>
        <v>45917</v>
      </c>
      <c r="C842" s="12">
        <v>0.91666666666666696</v>
      </c>
      <c r="D842" s="13" t="str">
        <f>Weekly!E268</f>
        <v>특집 2026 지방선거_서울특별시의회 생생중계_본회의
&lt;17</v>
      </c>
      <c r="E842" s="13" t="str">
        <f t="shared" si="124"/>
        <v>특집 2026 지방선거_서울특별시의회 생생중계_본회의</v>
      </c>
      <c r="F842" s="13">
        <f t="shared" si="127"/>
        <v>17</v>
      </c>
      <c r="G842" s="13" t="str">
        <f t="shared" si="125"/>
        <v/>
      </c>
      <c r="H842" s="13" t="str">
        <f t="shared" si="126"/>
        <v/>
      </c>
      <c r="I842" s="14" t="str">
        <f t="array" ref="I842">IF(getRGB1(Weekly!E268)="FFFF00","초방","재방")</f>
        <v>재방</v>
      </c>
    </row>
    <row r="843" spans="1:9" ht="11.25" customHeight="1" x14ac:dyDescent="0.3">
      <c r="A843" s="10" t="str">
        <f t="shared" si="123"/>
        <v/>
      </c>
      <c r="B843" s="11">
        <f>Weekly!$E$3</f>
        <v>45917</v>
      </c>
      <c r="C843" s="12">
        <v>0.92013888888888895</v>
      </c>
      <c r="D843" s="13">
        <f>Weekly!E269</f>
        <v>0</v>
      </c>
      <c r="E843" s="13" t="str">
        <f t="shared" si="124"/>
        <v/>
      </c>
      <c r="F843" s="13" t="str">
        <f t="shared" si="127"/>
        <v/>
      </c>
      <c r="G843" s="13" t="str">
        <f t="shared" si="125"/>
        <v/>
      </c>
      <c r="H843" s="13" t="str">
        <f t="shared" si="126"/>
        <v/>
      </c>
      <c r="I843" s="14" t="str">
        <f t="array" ref="I843">IF(getRGB1(Weekly!E269)="FFFF00","초방","재방")</f>
        <v>재방</v>
      </c>
    </row>
    <row r="844" spans="1:9" ht="11.25" customHeight="1" x14ac:dyDescent="0.3">
      <c r="A844" s="10" t="str">
        <f t="shared" si="123"/>
        <v/>
      </c>
      <c r="B844" s="11">
        <f>Weekly!$E$3</f>
        <v>45917</v>
      </c>
      <c r="C844" s="12">
        <v>0.92361111111111105</v>
      </c>
      <c r="D844" s="13">
        <f>Weekly!E270</f>
        <v>0</v>
      </c>
      <c r="E844" s="13" t="str">
        <f t="shared" si="124"/>
        <v/>
      </c>
      <c r="F844" s="13" t="str">
        <f t="shared" si="127"/>
        <v/>
      </c>
      <c r="G844" s="13" t="str">
        <f t="shared" si="125"/>
        <v/>
      </c>
      <c r="H844" s="13" t="str">
        <f t="shared" si="126"/>
        <v/>
      </c>
      <c r="I844" s="14" t="str">
        <f t="array" ref="I844">IF(getRGB1(Weekly!E270)="FFFF00","초방","재방")</f>
        <v>재방</v>
      </c>
    </row>
    <row r="845" spans="1:9" ht="11.25" customHeight="1" x14ac:dyDescent="0.3">
      <c r="A845" s="10" t="str">
        <f t="shared" si="123"/>
        <v/>
      </c>
      <c r="B845" s="11">
        <f>Weekly!$E$3</f>
        <v>45917</v>
      </c>
      <c r="C845" s="12">
        <v>0.92708333333333304</v>
      </c>
      <c r="D845" s="13">
        <f>Weekly!E271</f>
        <v>0</v>
      </c>
      <c r="E845" s="13" t="str">
        <f t="shared" si="124"/>
        <v/>
      </c>
      <c r="F845" s="13" t="str">
        <f t="shared" si="127"/>
        <v/>
      </c>
      <c r="G845" s="13" t="str">
        <f t="shared" si="125"/>
        <v/>
      </c>
      <c r="H845" s="13" t="str">
        <f t="shared" si="126"/>
        <v/>
      </c>
      <c r="I845" s="14" t="str">
        <f t="array" ref="I845">IF(getRGB1(Weekly!E271)="FFFF00","초방","재방")</f>
        <v>재방</v>
      </c>
    </row>
    <row r="846" spans="1:9" ht="11.25" customHeight="1" x14ac:dyDescent="0.3">
      <c r="A846" s="10" t="str">
        <f t="shared" si="123"/>
        <v/>
      </c>
      <c r="B846" s="11">
        <f>Weekly!$E$3</f>
        <v>45917</v>
      </c>
      <c r="C846" s="12">
        <v>0.93055555555555503</v>
      </c>
      <c r="D846" s="13">
        <f>Weekly!E272</f>
        <v>0</v>
      </c>
      <c r="E846" s="13" t="str">
        <f t="shared" si="124"/>
        <v/>
      </c>
      <c r="F846" s="13" t="str">
        <f t="shared" si="127"/>
        <v/>
      </c>
      <c r="G846" s="13" t="str">
        <f t="shared" si="125"/>
        <v/>
      </c>
      <c r="H846" s="13" t="str">
        <f t="shared" si="126"/>
        <v/>
      </c>
      <c r="I846" s="14" t="str">
        <f t="array" ref="I846">IF(getRGB1(Weekly!E272)="FFFF00","초방","재방")</f>
        <v>재방</v>
      </c>
    </row>
    <row r="847" spans="1:9" ht="11.25" customHeight="1" x14ac:dyDescent="0.3">
      <c r="A847" s="10" t="str">
        <f t="shared" si="123"/>
        <v/>
      </c>
      <c r="B847" s="11">
        <f>Weekly!$E$3</f>
        <v>45917</v>
      </c>
      <c r="C847" s="12">
        <v>0.93402777777777801</v>
      </c>
      <c r="D847" s="13">
        <f>Weekly!E273</f>
        <v>0</v>
      </c>
      <c r="E847" s="13" t="str">
        <f t="shared" si="124"/>
        <v/>
      </c>
      <c r="F847" s="13" t="str">
        <f t="shared" si="127"/>
        <v/>
      </c>
      <c r="G847" s="13" t="str">
        <f t="shared" si="125"/>
        <v/>
      </c>
      <c r="H847" s="13" t="str">
        <f t="shared" si="126"/>
        <v/>
      </c>
      <c r="I847" s="14" t="str">
        <f t="array" ref="I847">IF(getRGB1(Weekly!E273)="FFFF00","초방","재방")</f>
        <v>재방</v>
      </c>
    </row>
    <row r="848" spans="1:9" ht="11.25" customHeight="1" x14ac:dyDescent="0.3">
      <c r="A848" s="10" t="str">
        <f t="shared" si="123"/>
        <v/>
      </c>
      <c r="B848" s="11">
        <f>Weekly!$E$3</f>
        <v>45917</v>
      </c>
      <c r="C848" s="12">
        <v>0.9375</v>
      </c>
      <c r="D848" s="13">
        <f>Weekly!E274</f>
        <v>0</v>
      </c>
      <c r="E848" s="13" t="str">
        <f t="shared" si="124"/>
        <v/>
      </c>
      <c r="F848" s="13" t="str">
        <f t="shared" si="127"/>
        <v/>
      </c>
      <c r="G848" s="13" t="str">
        <f t="shared" si="125"/>
        <v/>
      </c>
      <c r="H848" s="13" t="str">
        <f t="shared" si="126"/>
        <v/>
      </c>
      <c r="I848" s="14" t="str">
        <f t="array" ref="I848">IF(getRGB1(Weekly!E274)="FFFF00","초방","재방")</f>
        <v>재방</v>
      </c>
    </row>
    <row r="849" spans="1:9" ht="11.25" customHeight="1" x14ac:dyDescent="0.3">
      <c r="A849" s="10" t="str">
        <f t="shared" si="123"/>
        <v/>
      </c>
      <c r="B849" s="11">
        <f>Weekly!$E$3</f>
        <v>45917</v>
      </c>
      <c r="C849" s="12">
        <v>0.94097222222222199</v>
      </c>
      <c r="D849" s="13">
        <f>Weekly!E275</f>
        <v>0</v>
      </c>
      <c r="E849" s="13" t="str">
        <f t="shared" si="124"/>
        <v/>
      </c>
      <c r="F849" s="13" t="str">
        <f t="shared" si="127"/>
        <v/>
      </c>
      <c r="G849" s="13" t="str">
        <f t="shared" si="125"/>
        <v/>
      </c>
      <c r="H849" s="13" t="str">
        <f t="shared" si="126"/>
        <v/>
      </c>
      <c r="I849" s="14" t="str">
        <f t="array" ref="I849">IF(getRGB1(Weekly!E275)="FFFF00","초방","재방")</f>
        <v>재방</v>
      </c>
    </row>
    <row r="850" spans="1:9" ht="11.25" customHeight="1" x14ac:dyDescent="0.3">
      <c r="A850" s="10" t="str">
        <f t="shared" si="123"/>
        <v/>
      </c>
      <c r="B850" s="11">
        <f>Weekly!$E$3</f>
        <v>45917</v>
      </c>
      <c r="C850" s="12">
        <v>0.94444444444444398</v>
      </c>
      <c r="D850" s="13">
        <f>Weekly!E276</f>
        <v>0</v>
      </c>
      <c r="E850" s="13" t="str">
        <f t="shared" si="124"/>
        <v/>
      </c>
      <c r="F850" s="13" t="str">
        <f t="shared" si="127"/>
        <v/>
      </c>
      <c r="G850" s="13" t="str">
        <f t="shared" si="125"/>
        <v/>
      </c>
      <c r="H850" s="13" t="str">
        <f t="shared" si="126"/>
        <v/>
      </c>
      <c r="I850" s="14" t="str">
        <f t="array" ref="I850">IF(getRGB1(Weekly!E276)="FFFF00","초방","재방")</f>
        <v>재방</v>
      </c>
    </row>
    <row r="851" spans="1:9" ht="11.25" customHeight="1" x14ac:dyDescent="0.3">
      <c r="A851" s="10" t="str">
        <f t="shared" si="123"/>
        <v/>
      </c>
      <c r="B851" s="11">
        <f>Weekly!$E$3</f>
        <v>45917</v>
      </c>
      <c r="C851" s="12">
        <v>0.94791666666666696</v>
      </c>
      <c r="D851" s="13">
        <f>Weekly!E277</f>
        <v>0</v>
      </c>
      <c r="E851" s="13" t="str">
        <f t="shared" si="124"/>
        <v/>
      </c>
      <c r="F851" s="13" t="str">
        <f t="shared" si="127"/>
        <v/>
      </c>
      <c r="G851" s="13" t="str">
        <f t="shared" si="125"/>
        <v/>
      </c>
      <c r="H851" s="13" t="str">
        <f t="shared" si="126"/>
        <v/>
      </c>
      <c r="I851" s="14" t="str">
        <f t="array" ref="I851">IF(getRGB1(Weekly!E277)="FFFF00","초방","재방")</f>
        <v>재방</v>
      </c>
    </row>
    <row r="852" spans="1:9" ht="11.25" customHeight="1" x14ac:dyDescent="0.3">
      <c r="A852" s="10" t="str">
        <f t="shared" si="123"/>
        <v/>
      </c>
      <c r="B852" s="11">
        <f>Weekly!$E$3</f>
        <v>45917</v>
      </c>
      <c r="C852" s="12">
        <v>0.95138888888888895</v>
      </c>
      <c r="D852" s="13">
        <f>Weekly!E278</f>
        <v>0</v>
      </c>
      <c r="E852" s="13" t="str">
        <f t="shared" si="124"/>
        <v/>
      </c>
      <c r="F852" s="13" t="str">
        <f t="shared" si="127"/>
        <v/>
      </c>
      <c r="G852" s="13" t="str">
        <f t="shared" si="125"/>
        <v/>
      </c>
      <c r="H852" s="13" t="str">
        <f t="shared" si="126"/>
        <v/>
      </c>
      <c r="I852" s="14" t="str">
        <f t="array" ref="I852">IF(getRGB1(Weekly!E278)="FFFF00","초방","재방")</f>
        <v>재방</v>
      </c>
    </row>
    <row r="853" spans="1:9" ht="11.25" customHeight="1" x14ac:dyDescent="0.3">
      <c r="A853" s="10" t="str">
        <f t="shared" si="123"/>
        <v/>
      </c>
      <c r="B853" s="11">
        <f>Weekly!$E$3</f>
        <v>45917</v>
      </c>
      <c r="C853" s="12">
        <v>0.95486111111111105</v>
      </c>
      <c r="D853" s="13">
        <f>Weekly!E279</f>
        <v>0</v>
      </c>
      <c r="E853" s="13" t="str">
        <f t="shared" si="124"/>
        <v/>
      </c>
      <c r="F853" s="13" t="str">
        <f t="shared" si="127"/>
        <v/>
      </c>
      <c r="G853" s="13" t="str">
        <f t="shared" si="125"/>
        <v/>
      </c>
      <c r="H853" s="13" t="str">
        <f t="shared" si="126"/>
        <v/>
      </c>
      <c r="I853" s="14" t="str">
        <f t="array" ref="I853">IF(getRGB1(Weekly!E279)="FFFF00","초방","재방")</f>
        <v>재방</v>
      </c>
    </row>
    <row r="854" spans="1:9" ht="11.25" customHeight="1" x14ac:dyDescent="0.3">
      <c r="A854" s="10">
        <f t="shared" si="123"/>
        <v>45917.958333333336</v>
      </c>
      <c r="B854" s="11">
        <f>Weekly!$E$3</f>
        <v>45917</v>
      </c>
      <c r="C854" s="12">
        <v>0.95833333333333304</v>
      </c>
      <c r="D854" s="13" t="str">
        <f>Weekly!E280</f>
        <v>특집 2026 지방선거_서울특별시의회 생생중계_상임위
&lt;17</v>
      </c>
      <c r="E854" s="13" t="str">
        <f t="shared" si="124"/>
        <v>특집 2026 지방선거_서울특별시의회 생생중계_상임위</v>
      </c>
      <c r="F854" s="13">
        <f t="shared" si="127"/>
        <v>17</v>
      </c>
      <c r="G854" s="13" t="str">
        <f t="shared" si="125"/>
        <v/>
      </c>
      <c r="H854" s="13" t="str">
        <f t="shared" si="126"/>
        <v/>
      </c>
      <c r="I854" s="14" t="str">
        <f t="array" ref="I854">IF(getRGB1(Weekly!E280)="FFFF00","초방","재방")</f>
        <v>재방</v>
      </c>
    </row>
    <row r="855" spans="1:9" ht="11.25" customHeight="1" x14ac:dyDescent="0.3">
      <c r="A855" s="10" t="str">
        <f t="shared" si="123"/>
        <v/>
      </c>
      <c r="B855" s="11">
        <f>Weekly!$E$3</f>
        <v>45917</v>
      </c>
      <c r="C855" s="12">
        <v>0.96180555555555503</v>
      </c>
      <c r="D855" s="13">
        <f>Weekly!E281</f>
        <v>0</v>
      </c>
      <c r="E855" s="13" t="str">
        <f t="shared" si="124"/>
        <v/>
      </c>
      <c r="F855" s="13" t="str">
        <f t="shared" si="127"/>
        <v/>
      </c>
      <c r="G855" s="13" t="str">
        <f t="shared" si="125"/>
        <v/>
      </c>
      <c r="H855" s="13" t="str">
        <f t="shared" si="126"/>
        <v/>
      </c>
      <c r="I855" s="14" t="str">
        <f t="array" ref="I855">IF(getRGB1(Weekly!E281)="FFFF00","초방","재방")</f>
        <v>재방</v>
      </c>
    </row>
    <row r="856" spans="1:9" ht="11.25" customHeight="1" x14ac:dyDescent="0.3">
      <c r="A856" s="10" t="str">
        <f t="shared" si="123"/>
        <v/>
      </c>
      <c r="B856" s="11">
        <f>Weekly!$E$3</f>
        <v>45917</v>
      </c>
      <c r="C856" s="12">
        <v>0.96527777777777801</v>
      </c>
      <c r="D856" s="13">
        <f>Weekly!E282</f>
        <v>0</v>
      </c>
      <c r="E856" s="13" t="str">
        <f t="shared" si="124"/>
        <v/>
      </c>
      <c r="F856" s="13" t="str">
        <f t="shared" si="127"/>
        <v/>
      </c>
      <c r="G856" s="13" t="str">
        <f t="shared" si="125"/>
        <v/>
      </c>
      <c r="H856" s="13" t="str">
        <f t="shared" si="126"/>
        <v/>
      </c>
      <c r="I856" s="14" t="str">
        <f t="array" ref="I856">IF(getRGB1(Weekly!E282)="FFFF00","초방","재방")</f>
        <v>재방</v>
      </c>
    </row>
    <row r="857" spans="1:9" ht="11.25" customHeight="1" x14ac:dyDescent="0.3">
      <c r="A857" s="10" t="str">
        <f t="shared" si="123"/>
        <v/>
      </c>
      <c r="B857" s="11">
        <f>Weekly!$E$3</f>
        <v>45917</v>
      </c>
      <c r="C857" s="12">
        <v>0.96875</v>
      </c>
      <c r="D857" s="13">
        <f>Weekly!E283</f>
        <v>0</v>
      </c>
      <c r="E857" s="13" t="str">
        <f t="shared" si="124"/>
        <v/>
      </c>
      <c r="F857" s="13" t="str">
        <f t="shared" si="127"/>
        <v/>
      </c>
      <c r="G857" s="13" t="str">
        <f t="shared" si="125"/>
        <v/>
      </c>
      <c r="H857" s="13" t="str">
        <f t="shared" si="126"/>
        <v/>
      </c>
      <c r="I857" s="14" t="str">
        <f t="array" ref="I857">IF(getRGB1(Weekly!E283)="FFFF00","초방","재방")</f>
        <v>재방</v>
      </c>
    </row>
    <row r="858" spans="1:9" ht="11.25" customHeight="1" x14ac:dyDescent="0.3">
      <c r="A858" s="10" t="str">
        <f t="shared" si="123"/>
        <v/>
      </c>
      <c r="B858" s="11">
        <f>Weekly!$E$3</f>
        <v>45917</v>
      </c>
      <c r="C858" s="12">
        <v>0.97222222222222199</v>
      </c>
      <c r="D858" s="13">
        <f>Weekly!E284</f>
        <v>0</v>
      </c>
      <c r="E858" s="13" t="str">
        <f t="shared" si="124"/>
        <v/>
      </c>
      <c r="F858" s="13" t="str">
        <f t="shared" si="127"/>
        <v/>
      </c>
      <c r="G858" s="13" t="str">
        <f t="shared" si="125"/>
        <v/>
      </c>
      <c r="H858" s="13" t="str">
        <f t="shared" si="126"/>
        <v/>
      </c>
      <c r="I858" s="14" t="str">
        <f t="array" ref="I858">IF(getRGB1(Weekly!E284)="FFFF00","초방","재방")</f>
        <v>재방</v>
      </c>
    </row>
    <row r="859" spans="1:9" ht="11.25" customHeight="1" x14ac:dyDescent="0.3">
      <c r="A859" s="10" t="str">
        <f t="shared" si="123"/>
        <v/>
      </c>
      <c r="B859" s="11">
        <f>Weekly!$E$3</f>
        <v>45917</v>
      </c>
      <c r="C859" s="12">
        <v>0.97569444444444398</v>
      </c>
      <c r="D859" s="13">
        <f>Weekly!E285</f>
        <v>0</v>
      </c>
      <c r="E859" s="13" t="str">
        <f t="shared" si="124"/>
        <v/>
      </c>
      <c r="F859" s="13" t="str">
        <f t="shared" si="127"/>
        <v/>
      </c>
      <c r="G859" s="13" t="str">
        <f t="shared" si="125"/>
        <v/>
      </c>
      <c r="H859" s="13" t="str">
        <f t="shared" si="126"/>
        <v/>
      </c>
      <c r="I859" s="14" t="str">
        <f t="array" ref="I859">IF(getRGB1(Weekly!E285)="FFFF00","초방","재방")</f>
        <v>재방</v>
      </c>
    </row>
    <row r="860" spans="1:9" ht="11.25" customHeight="1" x14ac:dyDescent="0.3">
      <c r="A860" s="10" t="str">
        <f t="shared" si="123"/>
        <v/>
      </c>
      <c r="B860" s="11">
        <f>Weekly!$E$3</f>
        <v>45917</v>
      </c>
      <c r="C860" s="12">
        <v>0.97916666666666696</v>
      </c>
      <c r="D860" s="13">
        <f>Weekly!E286</f>
        <v>0</v>
      </c>
      <c r="E860" s="13" t="str">
        <f t="shared" si="124"/>
        <v/>
      </c>
      <c r="F860" s="13" t="str">
        <f t="shared" si="127"/>
        <v/>
      </c>
      <c r="G860" s="13" t="str">
        <f t="shared" si="125"/>
        <v/>
      </c>
      <c r="H860" s="13" t="str">
        <f t="shared" si="126"/>
        <v/>
      </c>
      <c r="I860" s="14" t="str">
        <f t="array" ref="I860">IF(getRGB1(Weekly!E286)="FFFF00","초방","재방")</f>
        <v>재방</v>
      </c>
    </row>
    <row r="861" spans="1:9" ht="11.25" customHeight="1" x14ac:dyDescent="0.3">
      <c r="A861" s="10" t="str">
        <f t="shared" si="123"/>
        <v/>
      </c>
      <c r="B861" s="11">
        <f>Weekly!$E$3</f>
        <v>45917</v>
      </c>
      <c r="C861" s="12">
        <v>0.98263888888888895</v>
      </c>
      <c r="D861" s="13">
        <f>Weekly!E287</f>
        <v>0</v>
      </c>
      <c r="E861" s="13" t="str">
        <f t="shared" si="124"/>
        <v/>
      </c>
      <c r="F861" s="13" t="str">
        <f t="shared" si="127"/>
        <v/>
      </c>
      <c r="G861" s="13" t="str">
        <f t="shared" si="125"/>
        <v/>
      </c>
      <c r="H861" s="13" t="str">
        <f t="shared" si="126"/>
        <v/>
      </c>
      <c r="I861" s="14" t="str">
        <f t="array" ref="I861">IF(getRGB1(Weekly!E287)="FFFF00","초방","재방")</f>
        <v>재방</v>
      </c>
    </row>
    <row r="862" spans="1:9" ht="11.25" customHeight="1" x14ac:dyDescent="0.3">
      <c r="A862" s="10" t="str">
        <f t="shared" si="123"/>
        <v/>
      </c>
      <c r="B862" s="11">
        <f>Weekly!$E$3</f>
        <v>45917</v>
      </c>
      <c r="C862" s="12">
        <v>0.98611111111111105</v>
      </c>
      <c r="D862" s="13">
        <f>Weekly!E288</f>
        <v>0</v>
      </c>
      <c r="E862" s="13" t="str">
        <f t="shared" si="124"/>
        <v/>
      </c>
      <c r="F862" s="13" t="str">
        <f t="shared" si="127"/>
        <v/>
      </c>
      <c r="G862" s="13" t="str">
        <f t="shared" si="125"/>
        <v/>
      </c>
      <c r="H862" s="13" t="str">
        <f t="shared" si="126"/>
        <v/>
      </c>
      <c r="I862" s="14" t="str">
        <f t="array" ref="I862">IF(getRGB1(Weekly!E288)="FFFF00","초방","재방")</f>
        <v>재방</v>
      </c>
    </row>
    <row r="863" spans="1:9" ht="11.25" customHeight="1" x14ac:dyDescent="0.3">
      <c r="A863" s="10" t="str">
        <f t="shared" si="123"/>
        <v/>
      </c>
      <c r="B863" s="11">
        <f>Weekly!$E$3</f>
        <v>45917</v>
      </c>
      <c r="C863" s="12">
        <v>0.98958333333333304</v>
      </c>
      <c r="D863" s="13">
        <f>Weekly!E289</f>
        <v>0</v>
      </c>
      <c r="E863" s="13" t="str">
        <f t="shared" si="124"/>
        <v/>
      </c>
      <c r="F863" s="13" t="str">
        <f t="shared" si="127"/>
        <v/>
      </c>
      <c r="G863" s="13" t="str">
        <f t="shared" si="125"/>
        <v/>
      </c>
      <c r="H863" s="13" t="str">
        <f t="shared" si="126"/>
        <v/>
      </c>
      <c r="I863" s="14" t="str">
        <f t="array" ref="I863">IF(getRGB1(Weekly!E289)="FFFF00","초방","재방")</f>
        <v>재방</v>
      </c>
    </row>
    <row r="864" spans="1:9" ht="11.25" customHeight="1" x14ac:dyDescent="0.3">
      <c r="A864" s="10" t="str">
        <f t="shared" si="123"/>
        <v/>
      </c>
      <c r="B864" s="11">
        <f>Weekly!$E$3</f>
        <v>45917</v>
      </c>
      <c r="C864" s="12">
        <v>0.99305555555555503</v>
      </c>
      <c r="D864" s="13">
        <f>Weekly!E290</f>
        <v>0</v>
      </c>
      <c r="E864" s="13" t="str">
        <f t="shared" si="124"/>
        <v/>
      </c>
      <c r="F864" s="13" t="str">
        <f t="shared" si="127"/>
        <v/>
      </c>
      <c r="G864" s="13" t="str">
        <f t="shared" si="125"/>
        <v/>
      </c>
      <c r="H864" s="13" t="str">
        <f t="shared" si="126"/>
        <v/>
      </c>
      <c r="I864" s="14" t="str">
        <f t="array" ref="I864">IF(getRGB1(Weekly!E290)="FFFF00","초방","재방")</f>
        <v>재방</v>
      </c>
    </row>
    <row r="865" spans="1:9" ht="11.25" customHeight="1" x14ac:dyDescent="0.3">
      <c r="A865" s="10" t="str">
        <f t="shared" si="123"/>
        <v/>
      </c>
      <c r="B865" s="11">
        <f>Weekly!$E$3</f>
        <v>45917</v>
      </c>
      <c r="C865" s="12">
        <v>0.99652777777777801</v>
      </c>
      <c r="D865" s="13">
        <f>Weekly!E291</f>
        <v>0</v>
      </c>
      <c r="E865" s="13" t="str">
        <f t="shared" si="124"/>
        <v/>
      </c>
      <c r="F865" s="13" t="str">
        <f t="shared" si="127"/>
        <v/>
      </c>
      <c r="G865" s="13" t="str">
        <f t="shared" si="125"/>
        <v/>
      </c>
      <c r="H865" s="13" t="str">
        <f t="shared" si="126"/>
        <v/>
      </c>
      <c r="I865" s="14" t="str">
        <f t="array" ref="I865">IF(getRGB1(Weekly!E291)="FFFF00","초방","재방")</f>
        <v>재방</v>
      </c>
    </row>
    <row r="866" spans="1:9" ht="11.25" customHeight="1" x14ac:dyDescent="0.3">
      <c r="A866" s="10">
        <f t="shared" si="123"/>
        <v>45918</v>
      </c>
      <c r="B866" s="11">
        <f>Weekly!$F$3</f>
        <v>45918</v>
      </c>
      <c r="C866" s="12">
        <v>0</v>
      </c>
      <c r="D866" s="13" t="str">
        <f>Weekly!F4</f>
        <v>특집 2026 지방선거_경기도의회 생생중계_본회의
&lt;16</v>
      </c>
      <c r="E866" s="13" t="str">
        <f t="shared" si="124"/>
        <v>특집 2026 지방선거_경기도의회 생생중계_본회의</v>
      </c>
      <c r="F866" s="13">
        <f t="shared" si="127"/>
        <v>16</v>
      </c>
      <c r="G866" s="13" t="str">
        <f t="shared" si="125"/>
        <v/>
      </c>
      <c r="H866" s="13" t="str">
        <f t="shared" si="126"/>
        <v/>
      </c>
      <c r="I866" s="14" t="e">
        <f t="array" aca="1" ref="I866" ca="1">IF(getRGB1(Weekly!F4)="FFFF00","초방","재방")</f>
        <v>#NAME?</v>
      </c>
    </row>
    <row r="867" spans="1:9" ht="11.25" customHeight="1" x14ac:dyDescent="0.3">
      <c r="A867" s="10" t="str">
        <f t="shared" si="123"/>
        <v/>
      </c>
      <c r="B867" s="11">
        <f>Weekly!$F$3</f>
        <v>45918</v>
      </c>
      <c r="C867" s="12">
        <v>3.472222222222222E-3</v>
      </c>
      <c r="D867" s="13">
        <f>Weekly!F5</f>
        <v>0</v>
      </c>
      <c r="E867" s="13" t="str">
        <f t="shared" si="124"/>
        <v/>
      </c>
      <c r="F867" s="13" t="str">
        <f t="shared" si="127"/>
        <v/>
      </c>
      <c r="G867" s="13" t="str">
        <f t="shared" si="125"/>
        <v/>
      </c>
      <c r="H867" s="13" t="str">
        <f t="shared" si="126"/>
        <v/>
      </c>
      <c r="I867" s="14" t="e">
        <f t="array" aca="1" ref="I867" ca="1">IF(getRGB1(Weekly!F5)="FFFF00","초방","재방")</f>
        <v>#NAME?</v>
      </c>
    </row>
    <row r="868" spans="1:9" ht="11.25" customHeight="1" x14ac:dyDescent="0.3">
      <c r="A868" s="10" t="str">
        <f t="shared" si="123"/>
        <v/>
      </c>
      <c r="B868" s="11">
        <f>Weekly!$F$3</f>
        <v>45918</v>
      </c>
      <c r="C868" s="12">
        <v>6.9444444444444397E-3</v>
      </c>
      <c r="D868" s="13">
        <f>Weekly!F6</f>
        <v>0</v>
      </c>
      <c r="E868" s="13" t="str">
        <f t="shared" si="124"/>
        <v/>
      </c>
      <c r="F868" s="13" t="str">
        <f t="shared" si="127"/>
        <v/>
      </c>
      <c r="G868" s="13" t="str">
        <f t="shared" si="125"/>
        <v/>
      </c>
      <c r="H868" s="13" t="str">
        <f t="shared" si="126"/>
        <v/>
      </c>
      <c r="I868" s="14" t="e">
        <f t="array" aca="1" ref="I868" ca="1">IF(getRGB1(Weekly!F6)="FFFF00","초방","재방")</f>
        <v>#NAME?</v>
      </c>
    </row>
    <row r="869" spans="1:9" ht="11.25" customHeight="1" x14ac:dyDescent="0.3">
      <c r="A869" s="10" t="str">
        <f t="shared" si="123"/>
        <v/>
      </c>
      <c r="B869" s="11">
        <f>Weekly!$F$3</f>
        <v>45918</v>
      </c>
      <c r="C869" s="12">
        <v>1.0416666666666701E-2</v>
      </c>
      <c r="D869" s="13">
        <f>Weekly!F7</f>
        <v>0</v>
      </c>
      <c r="E869" s="13" t="str">
        <f t="shared" si="124"/>
        <v/>
      </c>
      <c r="F869" s="13" t="str">
        <f t="shared" si="127"/>
        <v/>
      </c>
      <c r="G869" s="13" t="str">
        <f t="shared" si="125"/>
        <v/>
      </c>
      <c r="H869" s="13" t="str">
        <f t="shared" si="126"/>
        <v/>
      </c>
      <c r="I869" s="14" t="e">
        <f t="array" aca="1" ref="I869" ca="1">IF(getRGB1(Weekly!F7)="FFFF00","초방","재방")</f>
        <v>#NAME?</v>
      </c>
    </row>
    <row r="870" spans="1:9" ht="11.25" customHeight="1" x14ac:dyDescent="0.3">
      <c r="A870" s="10" t="str">
        <f t="shared" si="123"/>
        <v/>
      </c>
      <c r="B870" s="11">
        <f>Weekly!$F$3</f>
        <v>45918</v>
      </c>
      <c r="C870" s="12">
        <v>1.38888888888889E-2</v>
      </c>
      <c r="D870" s="13">
        <f>Weekly!F8</f>
        <v>0</v>
      </c>
      <c r="E870" s="13" t="str">
        <f t="shared" si="124"/>
        <v/>
      </c>
      <c r="F870" s="13" t="str">
        <f t="shared" si="127"/>
        <v/>
      </c>
      <c r="G870" s="13" t="str">
        <f t="shared" si="125"/>
        <v/>
      </c>
      <c r="H870" s="13" t="str">
        <f t="shared" si="126"/>
        <v/>
      </c>
      <c r="I870" s="14" t="e">
        <f t="array" aca="1" ref="I870" ca="1">IF(getRGB1(Weekly!F8)="FFFF00","초방","재방")</f>
        <v>#NAME?</v>
      </c>
    </row>
    <row r="871" spans="1:9" ht="11.25" customHeight="1" x14ac:dyDescent="0.3">
      <c r="A871" s="10" t="str">
        <f t="shared" si="123"/>
        <v/>
      </c>
      <c r="B871" s="11">
        <f>Weekly!$F$3</f>
        <v>45918</v>
      </c>
      <c r="C871" s="12">
        <v>1.7361111111111101E-2</v>
      </c>
      <c r="D871" s="13">
        <f>Weekly!F9</f>
        <v>0</v>
      </c>
      <c r="E871" s="13" t="str">
        <f t="shared" si="124"/>
        <v/>
      </c>
      <c r="F871" s="13" t="str">
        <f t="shared" si="127"/>
        <v/>
      </c>
      <c r="G871" s="13" t="str">
        <f t="shared" si="125"/>
        <v/>
      </c>
      <c r="H871" s="13" t="str">
        <f t="shared" si="126"/>
        <v/>
      </c>
      <c r="I871" s="14" t="e">
        <f t="array" aca="1" ref="I871" ca="1">IF(getRGB1(Weekly!F9)="FFFF00","초방","재방")</f>
        <v>#NAME?</v>
      </c>
    </row>
    <row r="872" spans="1:9" ht="11.25" customHeight="1" x14ac:dyDescent="0.3">
      <c r="A872" s="10" t="str">
        <f t="shared" si="123"/>
        <v/>
      </c>
      <c r="B872" s="11">
        <f>Weekly!$F$3</f>
        <v>45918</v>
      </c>
      <c r="C872" s="12">
        <v>2.0833333333333301E-2</v>
      </c>
      <c r="D872" s="13">
        <f>Weekly!F10</f>
        <v>0</v>
      </c>
      <c r="E872" s="13" t="str">
        <f t="shared" si="124"/>
        <v/>
      </c>
      <c r="F872" s="13" t="str">
        <f t="shared" si="127"/>
        <v/>
      </c>
      <c r="G872" s="13" t="str">
        <f t="shared" si="125"/>
        <v/>
      </c>
      <c r="H872" s="13" t="str">
        <f t="shared" si="126"/>
        <v/>
      </c>
      <c r="I872" s="14" t="e">
        <f t="array" aca="1" ref="I872" ca="1">IF(getRGB1(Weekly!F10)="FFFF00","초방","재방")</f>
        <v>#NAME?</v>
      </c>
    </row>
    <row r="873" spans="1:9" ht="11.25" customHeight="1" x14ac:dyDescent="0.3">
      <c r="A873" s="10" t="str">
        <f t="shared" si="123"/>
        <v/>
      </c>
      <c r="B873" s="11">
        <f>Weekly!$F$3</f>
        <v>45918</v>
      </c>
      <c r="C873" s="12">
        <v>2.4305555555555601E-2</v>
      </c>
      <c r="D873" s="13">
        <f>Weekly!F11</f>
        <v>0</v>
      </c>
      <c r="E873" s="13" t="str">
        <f t="shared" si="124"/>
        <v/>
      </c>
      <c r="F873" s="13" t="str">
        <f t="shared" si="127"/>
        <v/>
      </c>
      <c r="G873" s="13" t="str">
        <f t="shared" si="125"/>
        <v/>
      </c>
      <c r="H873" s="13" t="str">
        <f t="shared" si="126"/>
        <v/>
      </c>
      <c r="I873" s="14" t="e">
        <f t="array" aca="1" ref="I873" ca="1">IF(getRGB1(Weekly!F11)="FFFF00","초방","재방")</f>
        <v>#NAME?</v>
      </c>
    </row>
    <row r="874" spans="1:9" ht="11.25" customHeight="1" x14ac:dyDescent="0.3">
      <c r="A874" s="10" t="str">
        <f t="shared" si="123"/>
        <v/>
      </c>
      <c r="B874" s="11">
        <f>Weekly!$F$3</f>
        <v>45918</v>
      </c>
      <c r="C874" s="12">
        <v>2.7777777777777801E-2</v>
      </c>
      <c r="D874" s="13">
        <f>Weekly!F12</f>
        <v>0</v>
      </c>
      <c r="E874" s="13" t="str">
        <f t="shared" si="124"/>
        <v/>
      </c>
      <c r="F874" s="13" t="str">
        <f t="shared" si="127"/>
        <v/>
      </c>
      <c r="G874" s="13" t="str">
        <f t="shared" si="125"/>
        <v/>
      </c>
      <c r="H874" s="13" t="str">
        <f t="shared" si="126"/>
        <v/>
      </c>
      <c r="I874" s="14" t="e">
        <f t="array" aca="1" ref="I874" ca="1">IF(getRGB1(Weekly!F12)="FFFF00","초방","재방")</f>
        <v>#NAME?</v>
      </c>
    </row>
    <row r="875" spans="1:9" ht="11.25" customHeight="1" x14ac:dyDescent="0.3">
      <c r="A875" s="10" t="str">
        <f t="shared" si="123"/>
        <v/>
      </c>
      <c r="B875" s="11">
        <f>Weekly!$F$3</f>
        <v>45918</v>
      </c>
      <c r="C875" s="12">
        <v>3.125E-2</v>
      </c>
      <c r="D875" s="13">
        <f>Weekly!F13</f>
        <v>0</v>
      </c>
      <c r="E875" s="13" t="str">
        <f t="shared" si="124"/>
        <v/>
      </c>
      <c r="F875" s="13" t="str">
        <f t="shared" si="127"/>
        <v/>
      </c>
      <c r="G875" s="13" t="str">
        <f t="shared" si="125"/>
        <v/>
      </c>
      <c r="H875" s="13" t="str">
        <f t="shared" si="126"/>
        <v/>
      </c>
      <c r="I875" s="14" t="e">
        <f t="array" aca="1" ref="I875" ca="1">IF(getRGB1(Weekly!F13)="FFFF00","초방","재방")</f>
        <v>#NAME?</v>
      </c>
    </row>
    <row r="876" spans="1:9" ht="11.25" customHeight="1" x14ac:dyDescent="0.3">
      <c r="A876" s="10" t="str">
        <f t="shared" si="123"/>
        <v/>
      </c>
      <c r="B876" s="11">
        <f>Weekly!$F$3</f>
        <v>45918</v>
      </c>
      <c r="C876" s="12">
        <v>3.4722222222222203E-2</v>
      </c>
      <c r="D876" s="13">
        <f>Weekly!F14</f>
        <v>0</v>
      </c>
      <c r="E876" s="13" t="str">
        <f t="shared" si="124"/>
        <v/>
      </c>
      <c r="F876" s="13" t="str">
        <f t="shared" si="127"/>
        <v/>
      </c>
      <c r="G876" s="13" t="str">
        <f t="shared" si="125"/>
        <v/>
      </c>
      <c r="H876" s="13" t="str">
        <f t="shared" si="126"/>
        <v/>
      </c>
      <c r="I876" s="14" t="e">
        <f t="array" aca="1" ref="I876" ca="1">IF(getRGB1(Weekly!F14)="FFFF00","초방","재방")</f>
        <v>#NAME?</v>
      </c>
    </row>
    <row r="877" spans="1:9" ht="11.25" customHeight="1" x14ac:dyDescent="0.3">
      <c r="A877" s="10" t="str">
        <f t="shared" si="123"/>
        <v/>
      </c>
      <c r="B877" s="11">
        <f>Weekly!$F$3</f>
        <v>45918</v>
      </c>
      <c r="C877" s="12">
        <v>3.8194444444444399E-2</v>
      </c>
      <c r="D877" s="13">
        <f>Weekly!F15</f>
        <v>0</v>
      </c>
      <c r="E877" s="13" t="str">
        <f t="shared" si="124"/>
        <v/>
      </c>
      <c r="F877" s="13" t="str">
        <f t="shared" si="127"/>
        <v/>
      </c>
      <c r="G877" s="13" t="str">
        <f t="shared" si="125"/>
        <v/>
      </c>
      <c r="H877" s="13" t="str">
        <f t="shared" si="126"/>
        <v/>
      </c>
      <c r="I877" s="14" t="e">
        <f t="array" aca="1" ref="I877" ca="1">IF(getRGB1(Weekly!F15)="FFFF00","초방","재방")</f>
        <v>#NAME?</v>
      </c>
    </row>
    <row r="878" spans="1:9" ht="11.25" customHeight="1" x14ac:dyDescent="0.3">
      <c r="A878" s="10">
        <f t="shared" si="123"/>
        <v>45918.041666666664</v>
      </c>
      <c r="B878" s="11">
        <f>Weekly!$F$3</f>
        <v>45918</v>
      </c>
      <c r="C878" s="12">
        <v>4.1666666666666699E-2</v>
      </c>
      <c r="D878" s="13" t="str">
        <f>Weekly!F16</f>
        <v>특집 2026 지방선거_경기도의회 생생중계_상임위
&lt;16</v>
      </c>
      <c r="E878" s="13" t="str">
        <f t="shared" si="124"/>
        <v>특집 2026 지방선거_경기도의회 생생중계_상임위</v>
      </c>
      <c r="F878" s="13">
        <f t="shared" si="127"/>
        <v>16</v>
      </c>
      <c r="G878" s="13" t="str">
        <f t="shared" si="125"/>
        <v/>
      </c>
      <c r="H878" s="13" t="str">
        <f t="shared" si="126"/>
        <v/>
      </c>
      <c r="I878" s="14" t="e">
        <f t="array" aca="1" ref="I878" ca="1">IF(getRGB1(Weekly!F16)="FFFF00","초방","재방")</f>
        <v>#NAME?</v>
      </c>
    </row>
    <row r="879" spans="1:9" ht="11.25" customHeight="1" x14ac:dyDescent="0.3">
      <c r="A879" s="10" t="str">
        <f t="shared" si="123"/>
        <v/>
      </c>
      <c r="B879" s="11">
        <f>Weekly!$F$3</f>
        <v>45918</v>
      </c>
      <c r="C879" s="12">
        <v>4.5138888888888902E-2</v>
      </c>
      <c r="D879" s="13">
        <f>Weekly!F17</f>
        <v>0</v>
      </c>
      <c r="E879" s="13" t="str">
        <f t="shared" si="124"/>
        <v/>
      </c>
      <c r="F879" s="13" t="str">
        <f t="shared" si="127"/>
        <v/>
      </c>
      <c r="G879" s="13" t="str">
        <f t="shared" si="125"/>
        <v/>
      </c>
      <c r="H879" s="13" t="str">
        <f t="shared" si="126"/>
        <v/>
      </c>
      <c r="I879" s="14" t="e">
        <f t="array" aca="1" ref="I879" ca="1">IF(getRGB1(Weekly!F17)="FFFF00","초방","재방")</f>
        <v>#NAME?</v>
      </c>
    </row>
    <row r="880" spans="1:9" ht="11.25" customHeight="1" x14ac:dyDescent="0.3">
      <c r="A880" s="10" t="str">
        <f t="shared" si="123"/>
        <v/>
      </c>
      <c r="B880" s="11">
        <f>Weekly!$F$3</f>
        <v>45918</v>
      </c>
      <c r="C880" s="12">
        <v>4.8611111111111098E-2</v>
      </c>
      <c r="D880" s="13">
        <f>Weekly!F18</f>
        <v>0</v>
      </c>
      <c r="E880" s="13" t="str">
        <f t="shared" si="124"/>
        <v/>
      </c>
      <c r="F880" s="13" t="str">
        <f t="shared" si="127"/>
        <v/>
      </c>
      <c r="G880" s="13" t="str">
        <f t="shared" si="125"/>
        <v/>
      </c>
      <c r="H880" s="13" t="str">
        <f t="shared" si="126"/>
        <v/>
      </c>
      <c r="I880" s="14" t="e">
        <f t="array" aca="1" ref="I880" ca="1">IF(getRGB1(Weekly!F18)="FFFF00","초방","재방")</f>
        <v>#NAME?</v>
      </c>
    </row>
    <row r="881" spans="1:9" ht="11.25" customHeight="1" x14ac:dyDescent="0.3">
      <c r="A881" s="10" t="str">
        <f t="shared" si="123"/>
        <v/>
      </c>
      <c r="B881" s="11">
        <f>Weekly!$F$3</f>
        <v>45918</v>
      </c>
      <c r="C881" s="12">
        <v>5.2083333333333301E-2</v>
      </c>
      <c r="D881" s="13">
        <f>Weekly!F19</f>
        <v>0</v>
      </c>
      <c r="E881" s="13" t="str">
        <f t="shared" si="124"/>
        <v/>
      </c>
      <c r="F881" s="13" t="str">
        <f t="shared" si="127"/>
        <v/>
      </c>
      <c r="G881" s="13" t="str">
        <f t="shared" si="125"/>
        <v/>
      </c>
      <c r="H881" s="13" t="str">
        <f t="shared" si="126"/>
        <v/>
      </c>
      <c r="I881" s="14" t="e">
        <f t="array" aca="1" ref="I881" ca="1">IF(getRGB1(Weekly!F19)="FFFF00","초방","재방")</f>
        <v>#NAME?</v>
      </c>
    </row>
    <row r="882" spans="1:9" ht="11.25" customHeight="1" x14ac:dyDescent="0.3">
      <c r="A882" s="10" t="str">
        <f t="shared" si="123"/>
        <v/>
      </c>
      <c r="B882" s="11">
        <f>Weekly!$F$3</f>
        <v>45918</v>
      </c>
      <c r="C882" s="12">
        <v>5.5555555555555601E-2</v>
      </c>
      <c r="D882" s="13">
        <f>Weekly!F20</f>
        <v>0</v>
      </c>
      <c r="E882" s="13" t="str">
        <f t="shared" si="124"/>
        <v/>
      </c>
      <c r="F882" s="13" t="str">
        <f t="shared" si="127"/>
        <v/>
      </c>
      <c r="G882" s="13" t="str">
        <f t="shared" si="125"/>
        <v/>
      </c>
      <c r="H882" s="13" t="str">
        <f t="shared" si="126"/>
        <v/>
      </c>
      <c r="I882" s="14" t="e">
        <f t="array" aca="1" ref="I882" ca="1">IF(getRGB1(Weekly!F20)="FFFF00","초방","재방")</f>
        <v>#NAME?</v>
      </c>
    </row>
    <row r="883" spans="1:9" ht="11.25" customHeight="1" x14ac:dyDescent="0.3">
      <c r="A883" s="10" t="str">
        <f t="shared" si="123"/>
        <v/>
      </c>
      <c r="B883" s="11">
        <f>Weekly!$F$3</f>
        <v>45918</v>
      </c>
      <c r="C883" s="12">
        <v>5.9027777777777797E-2</v>
      </c>
      <c r="D883" s="13">
        <f>Weekly!F21</f>
        <v>0</v>
      </c>
      <c r="E883" s="13" t="str">
        <f t="shared" si="124"/>
        <v/>
      </c>
      <c r="F883" s="13" t="str">
        <f t="shared" si="127"/>
        <v/>
      </c>
      <c r="G883" s="13" t="str">
        <f t="shared" si="125"/>
        <v/>
      </c>
      <c r="H883" s="13" t="str">
        <f t="shared" si="126"/>
        <v/>
      </c>
      <c r="I883" s="14" t="e">
        <f t="array" aca="1" ref="I883" ca="1">IF(getRGB1(Weekly!F21)="FFFF00","초방","재방")</f>
        <v>#NAME?</v>
      </c>
    </row>
    <row r="884" spans="1:9" ht="11.25" customHeight="1" x14ac:dyDescent="0.3">
      <c r="A884" s="10" t="str">
        <f t="shared" si="123"/>
        <v/>
      </c>
      <c r="B884" s="11">
        <f>Weekly!$F$3</f>
        <v>45918</v>
      </c>
      <c r="C884" s="12">
        <v>6.25E-2</v>
      </c>
      <c r="D884" s="13">
        <f>Weekly!F22</f>
        <v>0</v>
      </c>
      <c r="E884" s="13" t="str">
        <f t="shared" si="124"/>
        <v/>
      </c>
      <c r="F884" s="13" t="str">
        <f t="shared" si="127"/>
        <v/>
      </c>
      <c r="G884" s="13" t="str">
        <f t="shared" si="125"/>
        <v/>
      </c>
      <c r="H884" s="13" t="str">
        <f t="shared" si="126"/>
        <v/>
      </c>
      <c r="I884" s="14" t="e">
        <f t="array" aca="1" ref="I884" ca="1">IF(getRGB1(Weekly!F22)="FFFF00","초방","재방")</f>
        <v>#NAME?</v>
      </c>
    </row>
    <row r="885" spans="1:9" ht="11.25" customHeight="1" x14ac:dyDescent="0.3">
      <c r="A885" s="10" t="str">
        <f t="shared" si="123"/>
        <v/>
      </c>
      <c r="B885" s="11">
        <f>Weekly!$F$3</f>
        <v>45918</v>
      </c>
      <c r="C885" s="12">
        <v>6.5972222222222196E-2</v>
      </c>
      <c r="D885" s="13">
        <f>Weekly!F23</f>
        <v>0</v>
      </c>
      <c r="E885" s="13" t="str">
        <f t="shared" si="124"/>
        <v/>
      </c>
      <c r="F885" s="13" t="str">
        <f t="shared" si="127"/>
        <v/>
      </c>
      <c r="G885" s="13" t="str">
        <f t="shared" si="125"/>
        <v/>
      </c>
      <c r="H885" s="13" t="str">
        <f t="shared" si="126"/>
        <v/>
      </c>
      <c r="I885" s="14" t="e">
        <f t="array" aca="1" ref="I885" ca="1">IF(getRGB1(Weekly!F23)="FFFF00","초방","재방")</f>
        <v>#NAME?</v>
      </c>
    </row>
    <row r="886" spans="1:9" ht="11.25" customHeight="1" x14ac:dyDescent="0.3">
      <c r="A886" s="10" t="str">
        <f t="shared" si="123"/>
        <v/>
      </c>
      <c r="B886" s="11">
        <f>Weekly!$F$3</f>
        <v>45918</v>
      </c>
      <c r="C886" s="12">
        <v>6.9444444444444406E-2</v>
      </c>
      <c r="D886" s="13">
        <f>Weekly!F24</f>
        <v>0</v>
      </c>
      <c r="E886" s="13" t="str">
        <f t="shared" si="124"/>
        <v/>
      </c>
      <c r="F886" s="13" t="str">
        <f t="shared" si="127"/>
        <v/>
      </c>
      <c r="G886" s="13" t="str">
        <f t="shared" si="125"/>
        <v/>
      </c>
      <c r="H886" s="13" t="str">
        <f t="shared" si="126"/>
        <v/>
      </c>
      <c r="I886" s="14" t="e">
        <f t="array" aca="1" ref="I886" ca="1">IF(getRGB1(Weekly!F24)="FFFF00","초방","재방")</f>
        <v>#NAME?</v>
      </c>
    </row>
    <row r="887" spans="1:9" ht="11.25" customHeight="1" x14ac:dyDescent="0.3">
      <c r="A887" s="10" t="str">
        <f t="shared" si="123"/>
        <v/>
      </c>
      <c r="B887" s="11">
        <f>Weekly!$F$3</f>
        <v>45918</v>
      </c>
      <c r="C887" s="12">
        <v>7.2916666666666699E-2</v>
      </c>
      <c r="D887" s="13">
        <f>Weekly!F25</f>
        <v>0</v>
      </c>
      <c r="E887" s="13" t="str">
        <f t="shared" si="124"/>
        <v/>
      </c>
      <c r="F887" s="13" t="str">
        <f t="shared" si="127"/>
        <v/>
      </c>
      <c r="G887" s="13" t="str">
        <f t="shared" si="125"/>
        <v/>
      </c>
      <c r="H887" s="13" t="str">
        <f t="shared" si="126"/>
        <v/>
      </c>
      <c r="I887" s="14" t="e">
        <f t="array" aca="1" ref="I887" ca="1">IF(getRGB1(Weekly!F25)="FFFF00","초방","재방")</f>
        <v>#NAME?</v>
      </c>
    </row>
    <row r="888" spans="1:9" ht="11.25" customHeight="1" x14ac:dyDescent="0.3">
      <c r="A888" s="10" t="str">
        <f t="shared" si="123"/>
        <v/>
      </c>
      <c r="B888" s="11">
        <f>Weekly!$F$3</f>
        <v>45918</v>
      </c>
      <c r="C888" s="12">
        <v>7.6388888888888895E-2</v>
      </c>
      <c r="D888" s="13">
        <f>Weekly!F26</f>
        <v>0</v>
      </c>
      <c r="E888" s="13" t="str">
        <f t="shared" si="124"/>
        <v/>
      </c>
      <c r="F888" s="13" t="str">
        <f t="shared" si="127"/>
        <v/>
      </c>
      <c r="G888" s="13" t="str">
        <f t="shared" si="125"/>
        <v/>
      </c>
      <c r="H888" s="13" t="str">
        <f t="shared" si="126"/>
        <v/>
      </c>
      <c r="I888" s="14" t="e">
        <f t="array" aca="1" ref="I888" ca="1">IF(getRGB1(Weekly!F26)="FFFF00","초방","재방")</f>
        <v>#NAME?</v>
      </c>
    </row>
    <row r="889" spans="1:9" ht="11.25" customHeight="1" x14ac:dyDescent="0.3">
      <c r="A889" s="10" t="str">
        <f t="shared" si="123"/>
        <v/>
      </c>
      <c r="B889" s="11">
        <f>Weekly!$F$3</f>
        <v>45918</v>
      </c>
      <c r="C889" s="12">
        <v>7.9861111111111105E-2</v>
      </c>
      <c r="D889" s="13">
        <f>Weekly!F27</f>
        <v>0</v>
      </c>
      <c r="E889" s="13" t="str">
        <f t="shared" si="124"/>
        <v/>
      </c>
      <c r="F889" s="13" t="str">
        <f t="shared" si="127"/>
        <v/>
      </c>
      <c r="G889" s="13" t="str">
        <f t="shared" si="125"/>
        <v/>
      </c>
      <c r="H889" s="13" t="str">
        <f t="shared" si="126"/>
        <v/>
      </c>
      <c r="I889" s="14" t="e">
        <f t="array" aca="1" ref="I889" ca="1">IF(getRGB1(Weekly!F27)="FFFF00","초방","재방")</f>
        <v>#NAME?</v>
      </c>
    </row>
    <row r="890" spans="1:9" ht="11.25" customHeight="1" x14ac:dyDescent="0.3">
      <c r="A890" s="10">
        <f t="shared" si="123"/>
        <v>45918.083333333336</v>
      </c>
      <c r="B890" s="11">
        <f>Weekly!$F$3</f>
        <v>45918</v>
      </c>
      <c r="C890" s="12">
        <v>8.3333333333333301E-2</v>
      </c>
      <c r="D890" s="13" t="str">
        <f>Weekly!F28</f>
        <v>휴먼다큐 시장사람들
&lt;18</v>
      </c>
      <c r="E890" s="13" t="str">
        <f t="shared" si="124"/>
        <v>휴먼다큐 시장사람들</v>
      </c>
      <c r="F890" s="13">
        <f t="shared" si="127"/>
        <v>18</v>
      </c>
      <c r="G890" s="13" t="str">
        <f t="shared" si="125"/>
        <v/>
      </c>
      <c r="H890" s="13" t="str">
        <f t="shared" si="126"/>
        <v/>
      </c>
      <c r="I890" s="14" t="str">
        <f t="array" ref="I890">IF(getRGB1(Weekly!F28)="FFFF00","초방","재방")</f>
        <v>재방</v>
      </c>
    </row>
    <row r="891" spans="1:9" ht="11.25" customHeight="1" x14ac:dyDescent="0.3">
      <c r="A891" s="10" t="str">
        <f t="shared" si="123"/>
        <v/>
      </c>
      <c r="B891" s="11">
        <f>Weekly!$F$3</f>
        <v>45918</v>
      </c>
      <c r="C891" s="12">
        <v>8.6805555555555594E-2</v>
      </c>
      <c r="D891" s="13">
        <f>Weekly!F29</f>
        <v>0</v>
      </c>
      <c r="E891" s="13" t="str">
        <f t="shared" si="124"/>
        <v/>
      </c>
      <c r="F891" s="13" t="str">
        <f t="shared" si="127"/>
        <v/>
      </c>
      <c r="G891" s="13" t="str">
        <f t="shared" si="125"/>
        <v/>
      </c>
      <c r="H891" s="13" t="str">
        <f t="shared" si="126"/>
        <v/>
      </c>
      <c r="I891" s="14" t="str">
        <f t="array" ref="I891">IF(getRGB1(Weekly!F29)="FFFF00","초방","재방")</f>
        <v>재방</v>
      </c>
    </row>
    <row r="892" spans="1:9" ht="11.25" customHeight="1" x14ac:dyDescent="0.3">
      <c r="A892" s="10" t="str">
        <f t="shared" si="123"/>
        <v/>
      </c>
      <c r="B892" s="11">
        <f>Weekly!$F$3</f>
        <v>45918</v>
      </c>
      <c r="C892" s="12">
        <v>9.0277777777777804E-2</v>
      </c>
      <c r="D892" s="13">
        <f>Weekly!F30</f>
        <v>0</v>
      </c>
      <c r="E892" s="13" t="str">
        <f t="shared" si="124"/>
        <v/>
      </c>
      <c r="F892" s="13" t="str">
        <f t="shared" si="127"/>
        <v/>
      </c>
      <c r="G892" s="13" t="str">
        <f t="shared" si="125"/>
        <v/>
      </c>
      <c r="H892" s="13" t="str">
        <f t="shared" si="126"/>
        <v/>
      </c>
      <c r="I892" s="14" t="str">
        <f t="array" ref="I892">IF(getRGB1(Weekly!F30)="FFFF00","초방","재방")</f>
        <v>재방</v>
      </c>
    </row>
    <row r="893" spans="1:9" ht="11.25" customHeight="1" x14ac:dyDescent="0.3">
      <c r="A893" s="10" t="str">
        <f t="shared" si="123"/>
        <v/>
      </c>
      <c r="B893" s="11">
        <f>Weekly!$F$3</f>
        <v>45918</v>
      </c>
      <c r="C893" s="12">
        <v>9.375E-2</v>
      </c>
      <c r="D893" s="13">
        <f>Weekly!F31</f>
        <v>0</v>
      </c>
      <c r="E893" s="13" t="str">
        <f t="shared" si="124"/>
        <v/>
      </c>
      <c r="F893" s="13" t="str">
        <f t="shared" si="127"/>
        <v/>
      </c>
      <c r="G893" s="13" t="str">
        <f t="shared" si="125"/>
        <v/>
      </c>
      <c r="H893" s="13" t="str">
        <f t="shared" si="126"/>
        <v/>
      </c>
      <c r="I893" s="14" t="str">
        <f t="array" ref="I893">IF(getRGB1(Weekly!F31)="FFFF00","초방","재방")</f>
        <v>재방</v>
      </c>
    </row>
    <row r="894" spans="1:9" ht="11.25" customHeight="1" x14ac:dyDescent="0.3">
      <c r="A894" s="10" t="str">
        <f t="shared" si="123"/>
        <v/>
      </c>
      <c r="B894" s="11">
        <f>Weekly!$F$3</f>
        <v>45918</v>
      </c>
      <c r="C894" s="12">
        <v>9.7222222222222196E-2</v>
      </c>
      <c r="D894" s="13">
        <f>Weekly!F32</f>
        <v>0</v>
      </c>
      <c r="E894" s="13" t="str">
        <f t="shared" si="124"/>
        <v/>
      </c>
      <c r="F894" s="13" t="str">
        <f t="shared" si="127"/>
        <v/>
      </c>
      <c r="G894" s="13" t="str">
        <f t="shared" si="125"/>
        <v/>
      </c>
      <c r="H894" s="13" t="str">
        <f t="shared" si="126"/>
        <v/>
      </c>
      <c r="I894" s="14" t="str">
        <f t="array" ref="I894">IF(getRGB1(Weekly!F32)="FFFF00","초방","재방")</f>
        <v>재방</v>
      </c>
    </row>
    <row r="895" spans="1:9" ht="11.25" customHeight="1" x14ac:dyDescent="0.3">
      <c r="A895" s="10" t="str">
        <f t="shared" si="123"/>
        <v/>
      </c>
      <c r="B895" s="11">
        <f>Weekly!$F$3</f>
        <v>45918</v>
      </c>
      <c r="C895" s="12">
        <v>0.100694444444444</v>
      </c>
      <c r="D895" s="13">
        <f>Weekly!F33</f>
        <v>0</v>
      </c>
      <c r="E895" s="13" t="str">
        <f t="shared" si="124"/>
        <v/>
      </c>
      <c r="F895" s="13" t="str">
        <f t="shared" si="127"/>
        <v/>
      </c>
      <c r="G895" s="13" t="str">
        <f t="shared" si="125"/>
        <v/>
      </c>
      <c r="H895" s="13" t="str">
        <f t="shared" si="126"/>
        <v/>
      </c>
      <c r="I895" s="14" t="str">
        <f t="array" ref="I895">IF(getRGB1(Weekly!F33)="FFFF00","초방","재방")</f>
        <v>재방</v>
      </c>
    </row>
    <row r="896" spans="1:9" ht="11.25" customHeight="1" x14ac:dyDescent="0.3">
      <c r="A896" s="10" t="str">
        <f t="shared" si="123"/>
        <v/>
      </c>
      <c r="B896" s="11">
        <f>Weekly!$F$3</f>
        <v>45918</v>
      </c>
      <c r="C896" s="12">
        <v>0.104166666666667</v>
      </c>
      <c r="D896" s="13">
        <f>Weekly!F34</f>
        <v>0</v>
      </c>
      <c r="E896" s="13" t="str">
        <f t="shared" si="124"/>
        <v/>
      </c>
      <c r="F896" s="13" t="str">
        <f t="shared" si="127"/>
        <v/>
      </c>
      <c r="G896" s="13" t="str">
        <f t="shared" si="125"/>
        <v/>
      </c>
      <c r="H896" s="13" t="str">
        <f t="shared" si="126"/>
        <v/>
      </c>
      <c r="I896" s="14" t="str">
        <f t="array" ref="I896">IF(getRGB1(Weekly!F34)="FFFF00","초방","재방")</f>
        <v>재방</v>
      </c>
    </row>
    <row r="897" spans="1:9" ht="11.25" customHeight="1" x14ac:dyDescent="0.3">
      <c r="A897" s="10" t="str">
        <f t="shared" si="123"/>
        <v/>
      </c>
      <c r="B897" s="11">
        <f>Weekly!$F$3</f>
        <v>45918</v>
      </c>
      <c r="C897" s="12">
        <v>0.10763888888888901</v>
      </c>
      <c r="D897" s="13">
        <f>Weekly!F35</f>
        <v>0</v>
      </c>
      <c r="E897" s="13" t="str">
        <f t="shared" si="124"/>
        <v/>
      </c>
      <c r="F897" s="13" t="str">
        <f t="shared" si="127"/>
        <v/>
      </c>
      <c r="G897" s="13" t="str">
        <f t="shared" si="125"/>
        <v/>
      </c>
      <c r="H897" s="13" t="str">
        <f t="shared" si="126"/>
        <v/>
      </c>
      <c r="I897" s="14" t="str">
        <f t="array" ref="I897">IF(getRGB1(Weekly!F35)="FFFF00","초방","재방")</f>
        <v>재방</v>
      </c>
    </row>
    <row r="898" spans="1:9" ht="11.25" customHeight="1" x14ac:dyDescent="0.3">
      <c r="A898" s="10">
        <f t="shared" ref="A898:A961" si="128">IF(D898&lt;&gt;0,B898+C898,"")</f>
        <v>45918.111111111109</v>
      </c>
      <c r="B898" s="11">
        <f>Weekly!$F$3</f>
        <v>45918</v>
      </c>
      <c r="C898" s="12">
        <v>0.11111111111111099</v>
      </c>
      <c r="D898" s="13" t="str">
        <f>Weekly!F36</f>
        <v>최선규의 이제는 지방시대 시즌2
&lt;07</v>
      </c>
      <c r="E898" s="13" t="str">
        <f t="shared" ref="E898:E961" si="129">IFERROR(SUBSTITUTE(SUBSTITUTE(TRIM(LEFT(D898,FIND("&lt;",D898)-1)),CHAR(10),""),"⑮ ",""),"")</f>
        <v>최선규의 이제는 지방시대 시즌2</v>
      </c>
      <c r="F898" s="13">
        <f t="shared" si="127"/>
        <v>7</v>
      </c>
      <c r="G898" s="13" t="str">
        <f t="shared" ref="G898:G961" si="130">IFERROR(MID(D898,FIND("&gt;",D898)+1,10),"")</f>
        <v/>
      </c>
      <c r="H898" s="13" t="str">
        <f t="shared" ref="H898:H961" si="131">IFERROR(VLOOKUP(LEFT(D898,2),$W$1:$X$6,2,0),"")</f>
        <v/>
      </c>
      <c r="I898" s="14" t="str">
        <f t="array" ref="I898">IF(getRGB1(Weekly!F36)="FFFF00","초방","재방")</f>
        <v>재방</v>
      </c>
    </row>
    <row r="899" spans="1:9" ht="11.25" customHeight="1" x14ac:dyDescent="0.3">
      <c r="A899" s="10" t="str">
        <f t="shared" si="128"/>
        <v/>
      </c>
      <c r="B899" s="11">
        <f>Weekly!$F$3</f>
        <v>45918</v>
      </c>
      <c r="C899" s="12">
        <v>0.114583333333333</v>
      </c>
      <c r="D899" s="13">
        <f>Weekly!F37</f>
        <v>0</v>
      </c>
      <c r="E899" s="13" t="str">
        <f t="shared" si="129"/>
        <v/>
      </c>
      <c r="F899" s="13" t="str">
        <f t="shared" ref="F899:F962" si="132">IFERROR((MID(D899,FIND("&lt;",D899)+1,4))*1,"")</f>
        <v/>
      </c>
      <c r="G899" s="13" t="str">
        <f t="shared" si="130"/>
        <v/>
      </c>
      <c r="H899" s="13" t="str">
        <f t="shared" si="131"/>
        <v/>
      </c>
      <c r="I899" s="14" t="str">
        <f t="array" ref="I899">IF(getRGB1(Weekly!F37)="FFFF00","초방","재방")</f>
        <v>재방</v>
      </c>
    </row>
    <row r="900" spans="1:9" ht="11.25" customHeight="1" x14ac:dyDescent="0.3">
      <c r="A900" s="10" t="str">
        <f t="shared" si="128"/>
        <v/>
      </c>
      <c r="B900" s="11">
        <f>Weekly!$F$3</f>
        <v>45918</v>
      </c>
      <c r="C900" s="12">
        <v>0.118055555555556</v>
      </c>
      <c r="D900" s="13">
        <f>Weekly!F38</f>
        <v>0</v>
      </c>
      <c r="E900" s="13" t="str">
        <f t="shared" si="129"/>
        <v/>
      </c>
      <c r="F900" s="13" t="str">
        <f t="shared" si="132"/>
        <v/>
      </c>
      <c r="G900" s="13" t="str">
        <f t="shared" si="130"/>
        <v/>
      </c>
      <c r="H900" s="13" t="str">
        <f t="shared" si="131"/>
        <v/>
      </c>
      <c r="I900" s="14" t="str">
        <f t="array" ref="I900">IF(getRGB1(Weekly!F38)="FFFF00","초방","재방")</f>
        <v>재방</v>
      </c>
    </row>
    <row r="901" spans="1:9" ht="11.25" customHeight="1" x14ac:dyDescent="0.3">
      <c r="A901" s="10" t="str">
        <f t="shared" si="128"/>
        <v/>
      </c>
      <c r="B901" s="11">
        <f>Weekly!$F$3</f>
        <v>45918</v>
      </c>
      <c r="C901" s="12">
        <v>0.121527777777778</v>
      </c>
      <c r="D901" s="13">
        <f>Weekly!F39</f>
        <v>0</v>
      </c>
      <c r="E901" s="13" t="str">
        <f t="shared" si="129"/>
        <v/>
      </c>
      <c r="F901" s="13" t="str">
        <f t="shared" si="132"/>
        <v/>
      </c>
      <c r="G901" s="13" t="str">
        <f t="shared" si="130"/>
        <v/>
      </c>
      <c r="H901" s="13" t="str">
        <f t="shared" si="131"/>
        <v/>
      </c>
      <c r="I901" s="14" t="str">
        <f t="array" ref="I901">IF(getRGB1(Weekly!F39)="FFFF00","초방","재방")</f>
        <v>재방</v>
      </c>
    </row>
    <row r="902" spans="1:9" ht="11.25" customHeight="1" x14ac:dyDescent="0.3">
      <c r="A902" s="10" t="str">
        <f t="shared" si="128"/>
        <v/>
      </c>
      <c r="B902" s="11">
        <f>Weekly!$F$3</f>
        <v>45918</v>
      </c>
      <c r="C902" s="12">
        <v>0.125</v>
      </c>
      <c r="D902" s="13">
        <f>Weekly!F40</f>
        <v>0</v>
      </c>
      <c r="E902" s="13" t="str">
        <f t="shared" si="129"/>
        <v/>
      </c>
      <c r="F902" s="13" t="str">
        <f t="shared" si="132"/>
        <v/>
      </c>
      <c r="G902" s="13" t="str">
        <f t="shared" si="130"/>
        <v/>
      </c>
      <c r="H902" s="13" t="str">
        <f t="shared" si="131"/>
        <v/>
      </c>
      <c r="I902" s="14" t="str">
        <f t="array" ref="I902">IF(getRGB1(Weekly!F40)="FFFF00","초방","재방")</f>
        <v>재방</v>
      </c>
    </row>
    <row r="903" spans="1:9" ht="11.25" customHeight="1" x14ac:dyDescent="0.3">
      <c r="A903" s="10" t="str">
        <f t="shared" si="128"/>
        <v/>
      </c>
      <c r="B903" s="11">
        <f>Weekly!$F$3</f>
        <v>45918</v>
      </c>
      <c r="C903" s="12">
        <v>0.12847222222222199</v>
      </c>
      <c r="D903" s="13">
        <f>Weekly!F41</f>
        <v>0</v>
      </c>
      <c r="E903" s="13" t="str">
        <f t="shared" si="129"/>
        <v/>
      </c>
      <c r="F903" s="13" t="str">
        <f t="shared" si="132"/>
        <v/>
      </c>
      <c r="G903" s="13" t="str">
        <f t="shared" si="130"/>
        <v/>
      </c>
      <c r="H903" s="13" t="str">
        <f t="shared" si="131"/>
        <v/>
      </c>
      <c r="I903" s="14" t="str">
        <f t="array" ref="I903">IF(getRGB1(Weekly!F41)="FFFF00","초방","재방")</f>
        <v>재방</v>
      </c>
    </row>
    <row r="904" spans="1:9" ht="11.25" customHeight="1" x14ac:dyDescent="0.3">
      <c r="A904" s="10" t="str">
        <f t="shared" si="128"/>
        <v/>
      </c>
      <c r="B904" s="11">
        <f>Weekly!$F$3</f>
        <v>45918</v>
      </c>
      <c r="C904" s="12">
        <v>0.131944444444444</v>
      </c>
      <c r="D904" s="13">
        <f>Weekly!F42</f>
        <v>0</v>
      </c>
      <c r="E904" s="13" t="str">
        <f t="shared" si="129"/>
        <v/>
      </c>
      <c r="F904" s="13" t="str">
        <f t="shared" si="132"/>
        <v/>
      </c>
      <c r="G904" s="13" t="str">
        <f t="shared" si="130"/>
        <v/>
      </c>
      <c r="H904" s="13" t="str">
        <f t="shared" si="131"/>
        <v/>
      </c>
      <c r="I904" s="14" t="str">
        <f t="array" ref="I904">IF(getRGB1(Weekly!F42)="FFFF00","초방","재방")</f>
        <v>재방</v>
      </c>
    </row>
    <row r="905" spans="1:9" ht="11.25" customHeight="1" x14ac:dyDescent="0.3">
      <c r="A905" s="10" t="str">
        <f t="shared" si="128"/>
        <v/>
      </c>
      <c r="B905" s="11">
        <f>Weekly!$F$3</f>
        <v>45918</v>
      </c>
      <c r="C905" s="12">
        <v>0.13541666666666699</v>
      </c>
      <c r="D905" s="13">
        <f>Weekly!F43</f>
        <v>0</v>
      </c>
      <c r="E905" s="13" t="str">
        <f t="shared" si="129"/>
        <v/>
      </c>
      <c r="F905" s="13" t="str">
        <f t="shared" si="132"/>
        <v/>
      </c>
      <c r="G905" s="13" t="str">
        <f t="shared" si="130"/>
        <v/>
      </c>
      <c r="H905" s="13" t="str">
        <f t="shared" si="131"/>
        <v/>
      </c>
      <c r="I905" s="14" t="str">
        <f t="array" ref="I905">IF(getRGB1(Weekly!F43)="FFFF00","초방","재방")</f>
        <v>재방</v>
      </c>
    </row>
    <row r="906" spans="1:9" ht="11.25" customHeight="1" x14ac:dyDescent="0.3">
      <c r="A906" s="10" t="str">
        <f t="shared" si="128"/>
        <v/>
      </c>
      <c r="B906" s="11">
        <f>Weekly!$F$3</f>
        <v>45918</v>
      </c>
      <c r="C906" s="12">
        <v>0.13888888888888901</v>
      </c>
      <c r="D906" s="13">
        <f>Weekly!F44</f>
        <v>0</v>
      </c>
      <c r="E906" s="13" t="str">
        <f t="shared" si="129"/>
        <v/>
      </c>
      <c r="F906" s="13" t="str">
        <f t="shared" si="132"/>
        <v/>
      </c>
      <c r="G906" s="13" t="str">
        <f t="shared" si="130"/>
        <v/>
      </c>
      <c r="H906" s="13" t="str">
        <f t="shared" si="131"/>
        <v/>
      </c>
      <c r="I906" s="14" t="str">
        <f t="array" ref="I906">IF(getRGB1(Weekly!F44)="FFFF00","초방","재방")</f>
        <v>재방</v>
      </c>
    </row>
    <row r="907" spans="1:9" ht="11.25" customHeight="1" x14ac:dyDescent="0.3">
      <c r="A907" s="10" t="str">
        <f t="shared" si="128"/>
        <v/>
      </c>
      <c r="B907" s="11">
        <f>Weekly!$F$3</f>
        <v>45918</v>
      </c>
      <c r="C907" s="12">
        <v>0.14236111111111099</v>
      </c>
      <c r="D907" s="13">
        <f>Weekly!F45</f>
        <v>0</v>
      </c>
      <c r="E907" s="13" t="str">
        <f t="shared" si="129"/>
        <v/>
      </c>
      <c r="F907" s="13" t="str">
        <f t="shared" si="132"/>
        <v/>
      </c>
      <c r="G907" s="13" t="str">
        <f t="shared" si="130"/>
        <v/>
      </c>
      <c r="H907" s="13" t="str">
        <f t="shared" si="131"/>
        <v/>
      </c>
      <c r="I907" s="14" t="str">
        <f t="array" ref="I907">IF(getRGB1(Weekly!F45)="FFFF00","초방","재방")</f>
        <v>재방</v>
      </c>
    </row>
    <row r="908" spans="1:9" ht="11.25" customHeight="1" x14ac:dyDescent="0.3">
      <c r="A908" s="10" t="str">
        <f t="shared" si="128"/>
        <v/>
      </c>
      <c r="B908" s="11">
        <f>Weekly!$F$3</f>
        <v>45918</v>
      </c>
      <c r="C908" s="12">
        <v>0.14583333333333301</v>
      </c>
      <c r="D908" s="13">
        <f>Weekly!F46</f>
        <v>0</v>
      </c>
      <c r="E908" s="13" t="str">
        <f t="shared" si="129"/>
        <v/>
      </c>
      <c r="F908" s="13" t="str">
        <f t="shared" si="132"/>
        <v/>
      </c>
      <c r="G908" s="13" t="str">
        <f t="shared" si="130"/>
        <v/>
      </c>
      <c r="H908" s="13" t="str">
        <f t="shared" si="131"/>
        <v/>
      </c>
      <c r="I908" s="14" t="str">
        <f t="array" ref="I908">IF(getRGB1(Weekly!F46)="FFFF00","초방","재방")</f>
        <v>재방</v>
      </c>
    </row>
    <row r="909" spans="1:9" ht="11.25" customHeight="1" x14ac:dyDescent="0.3">
      <c r="A909" s="10" t="str">
        <f t="shared" si="128"/>
        <v/>
      </c>
      <c r="B909" s="11">
        <f>Weekly!$F$3</f>
        <v>45918</v>
      </c>
      <c r="C909" s="12">
        <v>0.149305555555556</v>
      </c>
      <c r="D909" s="13">
        <f>Weekly!F47</f>
        <v>0</v>
      </c>
      <c r="E909" s="13" t="str">
        <f t="shared" si="129"/>
        <v/>
      </c>
      <c r="F909" s="13" t="str">
        <f t="shared" si="132"/>
        <v/>
      </c>
      <c r="G909" s="13" t="str">
        <f t="shared" si="130"/>
        <v/>
      </c>
      <c r="H909" s="13" t="str">
        <f t="shared" si="131"/>
        <v/>
      </c>
      <c r="I909" s="14" t="str">
        <f t="array" ref="I909">IF(getRGB1(Weekly!F47)="FFFF00","초방","재방")</f>
        <v>재방</v>
      </c>
    </row>
    <row r="910" spans="1:9" ht="11.25" customHeight="1" x14ac:dyDescent="0.3">
      <c r="A910" s="10">
        <f t="shared" si="128"/>
        <v>45918.152777777781</v>
      </c>
      <c r="B910" s="11">
        <f>Weekly!$F$3</f>
        <v>45918</v>
      </c>
      <c r="C910" s="12">
        <v>0.15277777777777801</v>
      </c>
      <c r="D910" s="13" t="str">
        <f>Weekly!F48</f>
        <v>태군노래자랑
&lt;11</v>
      </c>
      <c r="E910" s="13" t="str">
        <f t="shared" si="129"/>
        <v>태군노래자랑</v>
      </c>
      <c r="F910" s="13">
        <f t="shared" si="132"/>
        <v>11</v>
      </c>
      <c r="G910" s="13" t="str">
        <f t="shared" si="130"/>
        <v/>
      </c>
      <c r="H910" s="13" t="str">
        <f t="shared" si="131"/>
        <v/>
      </c>
      <c r="I910" s="14" t="str">
        <f t="array" ref="I910">IF(getRGB1(Weekly!F48)="FFFF00","초방","재방")</f>
        <v>재방</v>
      </c>
    </row>
    <row r="911" spans="1:9" ht="11.25" customHeight="1" x14ac:dyDescent="0.3">
      <c r="A911" s="10" t="str">
        <f t="shared" si="128"/>
        <v/>
      </c>
      <c r="B911" s="11">
        <f>Weekly!$F$3</f>
        <v>45918</v>
      </c>
      <c r="C911" s="12">
        <v>0.15625</v>
      </c>
      <c r="D911" s="13">
        <f>Weekly!F49</f>
        <v>0</v>
      </c>
      <c r="E911" s="13" t="str">
        <f t="shared" si="129"/>
        <v/>
      </c>
      <c r="F911" s="13" t="str">
        <f t="shared" si="132"/>
        <v/>
      </c>
      <c r="G911" s="13" t="str">
        <f t="shared" si="130"/>
        <v/>
      </c>
      <c r="H911" s="13" t="str">
        <f t="shared" si="131"/>
        <v/>
      </c>
      <c r="I911" s="14" t="str">
        <f t="array" ref="I911">IF(getRGB1(Weekly!F49)="FFFF00","초방","재방")</f>
        <v>재방</v>
      </c>
    </row>
    <row r="912" spans="1:9" ht="11.25" customHeight="1" x14ac:dyDescent="0.3">
      <c r="A912" s="10" t="str">
        <f t="shared" si="128"/>
        <v/>
      </c>
      <c r="B912" s="11">
        <f>Weekly!$F$3</f>
        <v>45918</v>
      </c>
      <c r="C912" s="12">
        <v>0.15972222222222199</v>
      </c>
      <c r="D912" s="13">
        <f>Weekly!F50</f>
        <v>0</v>
      </c>
      <c r="E912" s="13" t="str">
        <f t="shared" si="129"/>
        <v/>
      </c>
      <c r="F912" s="13" t="str">
        <f t="shared" si="132"/>
        <v/>
      </c>
      <c r="G912" s="13" t="str">
        <f t="shared" si="130"/>
        <v/>
      </c>
      <c r="H912" s="13" t="str">
        <f t="shared" si="131"/>
        <v/>
      </c>
      <c r="I912" s="14" t="str">
        <f t="array" ref="I912">IF(getRGB1(Weekly!F50)="FFFF00","초방","재방")</f>
        <v>재방</v>
      </c>
    </row>
    <row r="913" spans="1:9" ht="11.25" customHeight="1" x14ac:dyDescent="0.3">
      <c r="A913" s="10" t="str">
        <f t="shared" si="128"/>
        <v/>
      </c>
      <c r="B913" s="11">
        <f>Weekly!$F$3</f>
        <v>45918</v>
      </c>
      <c r="C913" s="12">
        <v>0.163194444444444</v>
      </c>
      <c r="D913" s="13">
        <f>Weekly!F51</f>
        <v>0</v>
      </c>
      <c r="E913" s="13" t="str">
        <f t="shared" si="129"/>
        <v/>
      </c>
      <c r="F913" s="13" t="str">
        <f t="shared" si="132"/>
        <v/>
      </c>
      <c r="G913" s="13" t="str">
        <f t="shared" si="130"/>
        <v/>
      </c>
      <c r="H913" s="13" t="str">
        <f t="shared" si="131"/>
        <v/>
      </c>
      <c r="I913" s="14" t="str">
        <f t="array" ref="I913">IF(getRGB1(Weekly!F51)="FFFF00","초방","재방")</f>
        <v>재방</v>
      </c>
    </row>
    <row r="914" spans="1:9" ht="11.25" customHeight="1" x14ac:dyDescent="0.3">
      <c r="A914" s="10" t="str">
        <f t="shared" si="128"/>
        <v/>
      </c>
      <c r="B914" s="11">
        <f>Weekly!$F$3</f>
        <v>45918</v>
      </c>
      <c r="C914" s="12">
        <v>0.16666666666666699</v>
      </c>
      <c r="D914" s="13">
        <f>Weekly!F52</f>
        <v>0</v>
      </c>
      <c r="E914" s="13" t="str">
        <f t="shared" si="129"/>
        <v/>
      </c>
      <c r="F914" s="13" t="str">
        <f t="shared" si="132"/>
        <v/>
      </c>
      <c r="G914" s="13" t="str">
        <f t="shared" si="130"/>
        <v/>
      </c>
      <c r="H914" s="13" t="str">
        <f t="shared" si="131"/>
        <v/>
      </c>
      <c r="I914" s="14" t="str">
        <f t="array" ref="I914">IF(getRGB1(Weekly!F52)="FFFF00","초방","재방")</f>
        <v>재방</v>
      </c>
    </row>
    <row r="915" spans="1:9" ht="11.25" customHeight="1" x14ac:dyDescent="0.3">
      <c r="A915" s="10" t="str">
        <f t="shared" si="128"/>
        <v/>
      </c>
      <c r="B915" s="11">
        <f>Weekly!$F$3</f>
        <v>45918</v>
      </c>
      <c r="C915" s="12">
        <v>0.17013888888888901</v>
      </c>
      <c r="D915" s="13">
        <f>Weekly!F53</f>
        <v>0</v>
      </c>
      <c r="E915" s="13" t="str">
        <f t="shared" si="129"/>
        <v/>
      </c>
      <c r="F915" s="13" t="str">
        <f t="shared" si="132"/>
        <v/>
      </c>
      <c r="G915" s="13" t="str">
        <f t="shared" si="130"/>
        <v/>
      </c>
      <c r="H915" s="13" t="str">
        <f t="shared" si="131"/>
        <v/>
      </c>
      <c r="I915" s="14" t="str">
        <f t="array" ref="I915">IF(getRGB1(Weekly!F53)="FFFF00","초방","재방")</f>
        <v>재방</v>
      </c>
    </row>
    <row r="916" spans="1:9" ht="11.25" customHeight="1" x14ac:dyDescent="0.3">
      <c r="A916" s="10" t="str">
        <f t="shared" si="128"/>
        <v/>
      </c>
      <c r="B916" s="11">
        <f>Weekly!$F$3</f>
        <v>45918</v>
      </c>
      <c r="C916" s="12">
        <v>0.17361111111111099</v>
      </c>
      <c r="D916" s="13">
        <f>Weekly!F54</f>
        <v>0</v>
      </c>
      <c r="E916" s="13" t="str">
        <f t="shared" si="129"/>
        <v/>
      </c>
      <c r="F916" s="13" t="str">
        <f t="shared" si="132"/>
        <v/>
      </c>
      <c r="G916" s="13" t="str">
        <f t="shared" si="130"/>
        <v/>
      </c>
      <c r="H916" s="13" t="str">
        <f t="shared" si="131"/>
        <v/>
      </c>
      <c r="I916" s="14" t="str">
        <f t="array" ref="I916">IF(getRGB1(Weekly!F54)="FFFF00","초방","재방")</f>
        <v>재방</v>
      </c>
    </row>
    <row r="917" spans="1:9" ht="11.25" customHeight="1" x14ac:dyDescent="0.3">
      <c r="A917" s="10" t="str">
        <f t="shared" si="128"/>
        <v/>
      </c>
      <c r="B917" s="11">
        <f>Weekly!$F$3</f>
        <v>45918</v>
      </c>
      <c r="C917" s="12">
        <v>0.17708333333333301</v>
      </c>
      <c r="D917" s="13">
        <f>Weekly!F55</f>
        <v>0</v>
      </c>
      <c r="E917" s="13" t="str">
        <f t="shared" si="129"/>
        <v/>
      </c>
      <c r="F917" s="13" t="str">
        <f t="shared" si="132"/>
        <v/>
      </c>
      <c r="G917" s="13" t="str">
        <f t="shared" si="130"/>
        <v/>
      </c>
      <c r="H917" s="13" t="str">
        <f t="shared" si="131"/>
        <v/>
      </c>
      <c r="I917" s="14" t="str">
        <f t="array" ref="I917">IF(getRGB1(Weekly!F55)="FFFF00","초방","재방")</f>
        <v>재방</v>
      </c>
    </row>
    <row r="918" spans="1:9" ht="11.25" customHeight="1" x14ac:dyDescent="0.3">
      <c r="A918" s="10" t="str">
        <f t="shared" si="128"/>
        <v/>
      </c>
      <c r="B918" s="11">
        <f>Weekly!$F$3</f>
        <v>45918</v>
      </c>
      <c r="C918" s="12">
        <v>0.180555555555556</v>
      </c>
      <c r="D918" s="13">
        <f>Weekly!F56</f>
        <v>0</v>
      </c>
      <c r="E918" s="13" t="str">
        <f t="shared" si="129"/>
        <v/>
      </c>
      <c r="F918" s="13" t="str">
        <f t="shared" si="132"/>
        <v/>
      </c>
      <c r="G918" s="13" t="str">
        <f t="shared" si="130"/>
        <v/>
      </c>
      <c r="H918" s="13" t="str">
        <f t="shared" si="131"/>
        <v/>
      </c>
      <c r="I918" s="14" t="str">
        <f t="array" ref="I918">IF(getRGB1(Weekly!F56)="FFFF00","초방","재방")</f>
        <v>재방</v>
      </c>
    </row>
    <row r="919" spans="1:9" ht="11.25" customHeight="1" x14ac:dyDescent="0.3">
      <c r="A919" s="10" t="str">
        <f t="shared" si="128"/>
        <v/>
      </c>
      <c r="B919" s="11">
        <f>Weekly!$F$3</f>
        <v>45918</v>
      </c>
      <c r="C919" s="12">
        <v>0.18402777777777801</v>
      </c>
      <c r="D919" s="13">
        <f>Weekly!F57</f>
        <v>0</v>
      </c>
      <c r="E919" s="13" t="str">
        <f t="shared" si="129"/>
        <v/>
      </c>
      <c r="F919" s="13" t="str">
        <f t="shared" si="132"/>
        <v/>
      </c>
      <c r="G919" s="13" t="str">
        <f t="shared" si="130"/>
        <v/>
      </c>
      <c r="H919" s="13" t="str">
        <f t="shared" si="131"/>
        <v/>
      </c>
      <c r="I919" s="14" t="str">
        <f t="array" ref="I919">IF(getRGB1(Weekly!F57)="FFFF00","초방","재방")</f>
        <v>재방</v>
      </c>
    </row>
    <row r="920" spans="1:9" ht="11.25" customHeight="1" x14ac:dyDescent="0.3">
      <c r="A920" s="10" t="str">
        <f t="shared" si="128"/>
        <v/>
      </c>
      <c r="B920" s="11">
        <f>Weekly!$F$3</f>
        <v>45918</v>
      </c>
      <c r="C920" s="12">
        <v>0.1875</v>
      </c>
      <c r="D920" s="13">
        <f>Weekly!F58</f>
        <v>0</v>
      </c>
      <c r="E920" s="13" t="str">
        <f t="shared" si="129"/>
        <v/>
      </c>
      <c r="F920" s="13" t="str">
        <f t="shared" si="132"/>
        <v/>
      </c>
      <c r="G920" s="13" t="str">
        <f t="shared" si="130"/>
        <v/>
      </c>
      <c r="H920" s="13" t="str">
        <f t="shared" si="131"/>
        <v/>
      </c>
      <c r="I920" s="14" t="str">
        <f t="array" ref="I920">IF(getRGB1(Weekly!F58)="FFFF00","초방","재방")</f>
        <v>재방</v>
      </c>
    </row>
    <row r="921" spans="1:9" ht="11.25" customHeight="1" x14ac:dyDescent="0.3">
      <c r="A921" s="10" t="str">
        <f t="shared" si="128"/>
        <v/>
      </c>
      <c r="B921" s="11">
        <f>Weekly!$F$3</f>
        <v>45918</v>
      </c>
      <c r="C921" s="12">
        <v>0.19097222222222199</v>
      </c>
      <c r="D921" s="13">
        <f>Weekly!F59</f>
        <v>0</v>
      </c>
      <c r="E921" s="13" t="str">
        <f t="shared" si="129"/>
        <v/>
      </c>
      <c r="F921" s="13" t="str">
        <f t="shared" si="132"/>
        <v/>
      </c>
      <c r="G921" s="13" t="str">
        <f t="shared" si="130"/>
        <v/>
      </c>
      <c r="H921" s="13" t="str">
        <f t="shared" si="131"/>
        <v/>
      </c>
      <c r="I921" s="14" t="str">
        <f t="array" ref="I921">IF(getRGB1(Weekly!F59)="FFFF00","초방","재방")</f>
        <v>재방</v>
      </c>
    </row>
    <row r="922" spans="1:9" ht="11.25" customHeight="1" x14ac:dyDescent="0.3">
      <c r="A922" s="10">
        <f t="shared" si="128"/>
        <v>45918.194444444445</v>
      </c>
      <c r="B922" s="11">
        <f>Weekly!$F$3</f>
        <v>45918</v>
      </c>
      <c r="C922" s="12">
        <v>0.194444444444444</v>
      </c>
      <c r="D922" s="13" t="str">
        <f>Weekly!F60</f>
        <v xml:space="preserve"> NEWS4
&lt;64</v>
      </c>
      <c r="E922" s="13" t="str">
        <f t="shared" si="129"/>
        <v>NEWS4</v>
      </c>
      <c r="F922" s="13">
        <f t="shared" si="132"/>
        <v>64</v>
      </c>
      <c r="G922" s="13" t="str">
        <f t="shared" si="130"/>
        <v/>
      </c>
      <c r="H922" s="13" t="str">
        <f t="shared" si="131"/>
        <v/>
      </c>
      <c r="I922" s="14" t="str">
        <f t="array" ref="I922">IF(getRGB1(Weekly!F60)="FFFF00","초방","재방")</f>
        <v>재방</v>
      </c>
    </row>
    <row r="923" spans="1:9" ht="11.25" customHeight="1" x14ac:dyDescent="0.3">
      <c r="A923" s="10" t="str">
        <f t="shared" si="128"/>
        <v/>
      </c>
      <c r="B923" s="11">
        <f>Weekly!$F$3</f>
        <v>45918</v>
      </c>
      <c r="C923" s="12">
        <v>0.19791666666666699</v>
      </c>
      <c r="D923" s="13">
        <f>Weekly!F61</f>
        <v>0</v>
      </c>
      <c r="E923" s="13" t="str">
        <f t="shared" si="129"/>
        <v/>
      </c>
      <c r="F923" s="13" t="str">
        <f t="shared" si="132"/>
        <v/>
      </c>
      <c r="G923" s="13" t="str">
        <f t="shared" si="130"/>
        <v/>
      </c>
      <c r="H923" s="13" t="str">
        <f t="shared" si="131"/>
        <v/>
      </c>
      <c r="I923" s="14" t="str">
        <f t="array" ref="I923">IF(getRGB1(Weekly!F61)="FFFF00","초방","재방")</f>
        <v>재방</v>
      </c>
    </row>
    <row r="924" spans="1:9" ht="11.25" customHeight="1" x14ac:dyDescent="0.3">
      <c r="A924" s="10" t="str">
        <f t="shared" si="128"/>
        <v/>
      </c>
      <c r="B924" s="11">
        <f>Weekly!$F$3</f>
        <v>45918</v>
      </c>
      <c r="C924" s="12">
        <v>0.20138888888888901</v>
      </c>
      <c r="D924" s="13">
        <f>Weekly!F62</f>
        <v>0</v>
      </c>
      <c r="E924" s="13" t="str">
        <f t="shared" si="129"/>
        <v/>
      </c>
      <c r="F924" s="13" t="str">
        <f t="shared" si="132"/>
        <v/>
      </c>
      <c r="G924" s="13" t="str">
        <f t="shared" si="130"/>
        <v/>
      </c>
      <c r="H924" s="13" t="str">
        <f t="shared" si="131"/>
        <v/>
      </c>
      <c r="I924" s="14" t="str">
        <f t="array" ref="I924">IF(getRGB1(Weekly!F62)="FFFF00","초방","재방")</f>
        <v>재방</v>
      </c>
    </row>
    <row r="925" spans="1:9" ht="11.25" customHeight="1" x14ac:dyDescent="0.3">
      <c r="A925" s="10" t="str">
        <f t="shared" si="128"/>
        <v/>
      </c>
      <c r="B925" s="11">
        <f>Weekly!$F$3</f>
        <v>45918</v>
      </c>
      <c r="C925" s="12">
        <v>0.20486111111111099</v>
      </c>
      <c r="D925" s="13">
        <f>Weekly!F63</f>
        <v>0</v>
      </c>
      <c r="E925" s="13" t="str">
        <f t="shared" si="129"/>
        <v/>
      </c>
      <c r="F925" s="13" t="str">
        <f t="shared" si="132"/>
        <v/>
      </c>
      <c r="G925" s="13" t="str">
        <f t="shared" si="130"/>
        <v/>
      </c>
      <c r="H925" s="13" t="str">
        <f t="shared" si="131"/>
        <v/>
      </c>
      <c r="I925" s="14" t="str">
        <f t="array" ref="I925">IF(getRGB1(Weekly!F63)="FFFF00","초방","재방")</f>
        <v>재방</v>
      </c>
    </row>
    <row r="926" spans="1:9" ht="11.25" customHeight="1" x14ac:dyDescent="0.3">
      <c r="A926" s="10" t="str">
        <f t="shared" si="128"/>
        <v/>
      </c>
      <c r="B926" s="11">
        <f>Weekly!$F$3</f>
        <v>45918</v>
      </c>
      <c r="C926" s="12">
        <v>0.20833333333333301</v>
      </c>
      <c r="D926" s="13">
        <f>Weekly!F64</f>
        <v>0</v>
      </c>
      <c r="E926" s="13" t="str">
        <f t="shared" si="129"/>
        <v/>
      </c>
      <c r="F926" s="13" t="str">
        <f t="shared" si="132"/>
        <v/>
      </c>
      <c r="G926" s="13" t="str">
        <f t="shared" si="130"/>
        <v/>
      </c>
      <c r="H926" s="13" t="str">
        <f t="shared" si="131"/>
        <v/>
      </c>
      <c r="I926" s="14" t="str">
        <f t="array" ref="I926">IF(getRGB1(Weekly!F64)="FFFF00","초방","재방")</f>
        <v>재방</v>
      </c>
    </row>
    <row r="927" spans="1:9" ht="11.25" customHeight="1" x14ac:dyDescent="0.3">
      <c r="A927" s="10" t="str">
        <f t="shared" si="128"/>
        <v/>
      </c>
      <c r="B927" s="11">
        <f>Weekly!$F$3</f>
        <v>45918</v>
      </c>
      <c r="C927" s="12">
        <v>0.211805555555556</v>
      </c>
      <c r="D927" s="13">
        <f>Weekly!F65</f>
        <v>0</v>
      </c>
      <c r="E927" s="13" t="str">
        <f t="shared" si="129"/>
        <v/>
      </c>
      <c r="F927" s="13" t="str">
        <f t="shared" si="132"/>
        <v/>
      </c>
      <c r="G927" s="13" t="str">
        <f t="shared" si="130"/>
        <v/>
      </c>
      <c r="H927" s="13" t="str">
        <f t="shared" si="131"/>
        <v/>
      </c>
      <c r="I927" s="14" t="str">
        <f t="array" ref="I927">IF(getRGB1(Weekly!F65)="FFFF00","초방","재방")</f>
        <v>재방</v>
      </c>
    </row>
    <row r="928" spans="1:9" ht="11.25" customHeight="1" x14ac:dyDescent="0.3">
      <c r="A928" s="10">
        <f t="shared" si="128"/>
        <v>45918.215277777781</v>
      </c>
      <c r="B928" s="11">
        <f>Weekly!$F$3</f>
        <v>45918</v>
      </c>
      <c r="C928" s="12">
        <v>0.21527777777777801</v>
      </c>
      <c r="D928" s="13" t="str">
        <f>Weekly!F66</f>
        <v xml:space="preserve"> 내삶을바꾸는정책
&lt;2192</v>
      </c>
      <c r="E928" s="13" t="str">
        <f t="shared" si="129"/>
        <v>내삶을바꾸는정책</v>
      </c>
      <c r="F928" s="13">
        <f t="shared" si="132"/>
        <v>2192</v>
      </c>
      <c r="G928" s="13" t="str">
        <f t="shared" si="130"/>
        <v/>
      </c>
      <c r="H928" s="13" t="str">
        <f t="shared" si="131"/>
        <v/>
      </c>
      <c r="I928" s="14" t="str">
        <f t="array" ref="I928">IF(getRGB1(Weekly!F66)="FFFF00","초방","재방")</f>
        <v>초방</v>
      </c>
    </row>
    <row r="929" spans="1:9" ht="11.25" customHeight="1" x14ac:dyDescent="0.3">
      <c r="A929" s="10" t="str">
        <f t="shared" si="128"/>
        <v/>
      </c>
      <c r="B929" s="11">
        <f>Weekly!$F$3</f>
        <v>45918</v>
      </c>
      <c r="C929" s="12">
        <v>0.21875</v>
      </c>
      <c r="D929" s="13">
        <f>Weekly!F67</f>
        <v>0</v>
      </c>
      <c r="E929" s="13" t="str">
        <f t="shared" si="129"/>
        <v/>
      </c>
      <c r="F929" s="13" t="str">
        <f t="shared" si="132"/>
        <v/>
      </c>
      <c r="G929" s="13" t="str">
        <f t="shared" si="130"/>
        <v/>
      </c>
      <c r="H929" s="13" t="str">
        <f t="shared" si="131"/>
        <v/>
      </c>
      <c r="I929" s="14" t="str">
        <f t="array" ref="I929">IF(getRGB1(Weekly!F67)="FFFF00","초방","재방")</f>
        <v>초방</v>
      </c>
    </row>
    <row r="930" spans="1:9" ht="11.25" customHeight="1" x14ac:dyDescent="0.3">
      <c r="A930" s="10" t="str">
        <f t="shared" si="128"/>
        <v/>
      </c>
      <c r="B930" s="11">
        <f>Weekly!$F$3</f>
        <v>45918</v>
      </c>
      <c r="C930" s="12">
        <v>0.22222222222222199</v>
      </c>
      <c r="D930" s="13">
        <f>Weekly!F68</f>
        <v>0</v>
      </c>
      <c r="E930" s="13" t="str">
        <f t="shared" si="129"/>
        <v/>
      </c>
      <c r="F930" s="13" t="str">
        <f t="shared" si="132"/>
        <v/>
      </c>
      <c r="G930" s="13" t="str">
        <f t="shared" si="130"/>
        <v/>
      </c>
      <c r="H930" s="13" t="str">
        <f t="shared" si="131"/>
        <v/>
      </c>
      <c r="I930" s="14" t="str">
        <f t="array" ref="I930">IF(getRGB1(Weekly!F68)="FFFF00","초방","재방")</f>
        <v>초방</v>
      </c>
    </row>
    <row r="931" spans="1:9" ht="11.25" customHeight="1" x14ac:dyDescent="0.3">
      <c r="A931" s="10" t="str">
        <f t="shared" si="128"/>
        <v/>
      </c>
      <c r="B931" s="11">
        <f>Weekly!$F$3</f>
        <v>45918</v>
      </c>
      <c r="C931" s="12">
        <v>0.225694444444444</v>
      </c>
      <c r="D931" s="13">
        <f>Weekly!F69</f>
        <v>0</v>
      </c>
      <c r="E931" s="13" t="str">
        <f t="shared" si="129"/>
        <v/>
      </c>
      <c r="F931" s="13" t="str">
        <f t="shared" si="132"/>
        <v/>
      </c>
      <c r="G931" s="13" t="str">
        <f t="shared" si="130"/>
        <v/>
      </c>
      <c r="H931" s="13" t="str">
        <f t="shared" si="131"/>
        <v/>
      </c>
      <c r="I931" s="14" t="str">
        <f t="array" ref="I931">IF(getRGB1(Weekly!F69)="FFFF00","초방","재방")</f>
        <v>초방</v>
      </c>
    </row>
    <row r="932" spans="1:9" ht="11.25" customHeight="1" x14ac:dyDescent="0.3">
      <c r="A932" s="10" t="str">
        <f t="shared" si="128"/>
        <v/>
      </c>
      <c r="B932" s="11">
        <f>Weekly!$F$3</f>
        <v>45918</v>
      </c>
      <c r="C932" s="12">
        <v>0.22916666666666699</v>
      </c>
      <c r="D932" s="13">
        <f>Weekly!F70</f>
        <v>0</v>
      </c>
      <c r="E932" s="13" t="str">
        <f t="shared" si="129"/>
        <v/>
      </c>
      <c r="F932" s="13" t="str">
        <f t="shared" si="132"/>
        <v/>
      </c>
      <c r="G932" s="13" t="str">
        <f t="shared" si="130"/>
        <v/>
      </c>
      <c r="H932" s="13" t="str">
        <f t="shared" si="131"/>
        <v/>
      </c>
      <c r="I932" s="14" t="str">
        <f t="array" ref="I932">IF(getRGB1(Weekly!F70)="FFFF00","초방","재방")</f>
        <v>초방</v>
      </c>
    </row>
    <row r="933" spans="1:9" ht="11.25" customHeight="1" x14ac:dyDescent="0.3">
      <c r="A933" s="10" t="str">
        <f t="shared" si="128"/>
        <v/>
      </c>
      <c r="B933" s="11">
        <f>Weekly!$F$3</f>
        <v>45918</v>
      </c>
      <c r="C933" s="12">
        <v>0.23263888888888901</v>
      </c>
      <c r="D933" s="13">
        <f>Weekly!F71</f>
        <v>0</v>
      </c>
      <c r="E933" s="13" t="str">
        <f t="shared" si="129"/>
        <v/>
      </c>
      <c r="F933" s="13" t="str">
        <f t="shared" si="132"/>
        <v/>
      </c>
      <c r="G933" s="13" t="str">
        <f t="shared" si="130"/>
        <v/>
      </c>
      <c r="H933" s="13" t="str">
        <f t="shared" si="131"/>
        <v/>
      </c>
      <c r="I933" s="14" t="str">
        <f t="array" ref="I933">IF(getRGB1(Weekly!F71)="FFFF00","초방","재방")</f>
        <v>초방</v>
      </c>
    </row>
    <row r="934" spans="1:9" ht="11.25" customHeight="1" x14ac:dyDescent="0.3">
      <c r="A934" s="10" t="str">
        <f t="shared" si="128"/>
        <v/>
      </c>
      <c r="B934" s="11">
        <f>Weekly!$F$3</f>
        <v>45918</v>
      </c>
      <c r="C934" s="12">
        <v>0.23611111111111099</v>
      </c>
      <c r="D934" s="13">
        <f>Weekly!F72</f>
        <v>0</v>
      </c>
      <c r="E934" s="13" t="str">
        <f t="shared" si="129"/>
        <v/>
      </c>
      <c r="F934" s="13" t="str">
        <f t="shared" si="132"/>
        <v/>
      </c>
      <c r="G934" s="13" t="str">
        <f t="shared" si="130"/>
        <v/>
      </c>
      <c r="H934" s="13" t="str">
        <f t="shared" si="131"/>
        <v/>
      </c>
      <c r="I934" s="14" t="str">
        <f t="array" ref="I934">IF(getRGB1(Weekly!F72)="FFFF00","초방","재방")</f>
        <v>초방</v>
      </c>
    </row>
    <row r="935" spans="1:9" ht="11.25" customHeight="1" x14ac:dyDescent="0.3">
      <c r="A935" s="10" t="str">
        <f t="shared" si="128"/>
        <v/>
      </c>
      <c r="B935" s="11">
        <f>Weekly!$F$3</f>
        <v>45918</v>
      </c>
      <c r="C935" s="12">
        <v>0.23958333333333301</v>
      </c>
      <c r="D935" s="13">
        <f>Weekly!F73</f>
        <v>0</v>
      </c>
      <c r="E935" s="13" t="str">
        <f t="shared" si="129"/>
        <v/>
      </c>
      <c r="F935" s="13" t="str">
        <f t="shared" si="132"/>
        <v/>
      </c>
      <c r="G935" s="13" t="str">
        <f t="shared" si="130"/>
        <v/>
      </c>
      <c r="H935" s="13" t="str">
        <f t="shared" si="131"/>
        <v/>
      </c>
      <c r="I935" s="14" t="str">
        <f t="array" ref="I935">IF(getRGB1(Weekly!F73)="FFFF00","초방","재방")</f>
        <v>초방</v>
      </c>
    </row>
    <row r="936" spans="1:9" ht="11.25" customHeight="1" x14ac:dyDescent="0.3">
      <c r="A936" s="10" t="str">
        <f t="shared" si="128"/>
        <v/>
      </c>
      <c r="B936" s="11">
        <f>Weekly!$F$3</f>
        <v>45918</v>
      </c>
      <c r="C936" s="12">
        <v>0.243055555555556</v>
      </c>
      <c r="D936" s="13">
        <f>Weekly!F74</f>
        <v>0</v>
      </c>
      <c r="E936" s="13" t="str">
        <f t="shared" si="129"/>
        <v/>
      </c>
      <c r="F936" s="13" t="str">
        <f t="shared" si="132"/>
        <v/>
      </c>
      <c r="G936" s="13" t="str">
        <f t="shared" si="130"/>
        <v/>
      </c>
      <c r="H936" s="13" t="str">
        <f t="shared" si="131"/>
        <v/>
      </c>
      <c r="I936" s="14" t="str">
        <f t="array" ref="I936">IF(getRGB1(Weekly!F74)="FFFF00","초방","재방")</f>
        <v>초방</v>
      </c>
    </row>
    <row r="937" spans="1:9" ht="11.25" customHeight="1" x14ac:dyDescent="0.3">
      <c r="A937" s="10" t="str">
        <f t="shared" si="128"/>
        <v/>
      </c>
      <c r="B937" s="11">
        <f>Weekly!$F$3</f>
        <v>45918</v>
      </c>
      <c r="C937" s="12">
        <v>0.24652777777777801</v>
      </c>
      <c r="D937" s="13">
        <f>Weekly!F75</f>
        <v>0</v>
      </c>
      <c r="E937" s="13" t="str">
        <f t="shared" si="129"/>
        <v/>
      </c>
      <c r="F937" s="13" t="str">
        <f t="shared" si="132"/>
        <v/>
      </c>
      <c r="G937" s="13" t="str">
        <f t="shared" si="130"/>
        <v/>
      </c>
      <c r="H937" s="13" t="str">
        <f t="shared" si="131"/>
        <v/>
      </c>
      <c r="I937" s="14" t="str">
        <f t="array" ref="I937">IF(getRGB1(Weekly!F75)="FFFF00","초방","재방")</f>
        <v>초방</v>
      </c>
    </row>
    <row r="938" spans="1:9" ht="11.25" customHeight="1" x14ac:dyDescent="0.3">
      <c r="A938" s="10" t="str">
        <f t="shared" si="128"/>
        <v/>
      </c>
      <c r="B938" s="11">
        <f>Weekly!$F$3</f>
        <v>45918</v>
      </c>
      <c r="C938" s="12">
        <v>0.25</v>
      </c>
      <c r="D938" s="13">
        <f>Weekly!F76</f>
        <v>0</v>
      </c>
      <c r="E938" s="13" t="str">
        <f t="shared" si="129"/>
        <v/>
      </c>
      <c r="F938" s="13" t="str">
        <f t="shared" si="132"/>
        <v/>
      </c>
      <c r="G938" s="13" t="str">
        <f t="shared" si="130"/>
        <v/>
      </c>
      <c r="H938" s="13" t="str">
        <f t="shared" si="131"/>
        <v/>
      </c>
      <c r="I938" s="14" t="str">
        <f t="array" ref="I938">IF(getRGB1(Weekly!F76)="FFFF00","초방","재방")</f>
        <v>초방</v>
      </c>
    </row>
    <row r="939" spans="1:9" ht="11.25" customHeight="1" x14ac:dyDescent="0.3">
      <c r="A939" s="10" t="str">
        <f t="shared" si="128"/>
        <v/>
      </c>
      <c r="B939" s="11">
        <f>Weekly!$F$3</f>
        <v>45918</v>
      </c>
      <c r="C939" s="12">
        <v>0.25347222222222199</v>
      </c>
      <c r="D939" s="13">
        <f>Weekly!F77</f>
        <v>0</v>
      </c>
      <c r="E939" s="13" t="str">
        <f t="shared" si="129"/>
        <v/>
      </c>
      <c r="F939" s="13" t="str">
        <f t="shared" si="132"/>
        <v/>
      </c>
      <c r="G939" s="13" t="str">
        <f t="shared" si="130"/>
        <v/>
      </c>
      <c r="H939" s="13" t="str">
        <f t="shared" si="131"/>
        <v/>
      </c>
      <c r="I939" s="14" t="str">
        <f t="array" ref="I939">IF(getRGB1(Weekly!F77)="FFFF00","초방","재방")</f>
        <v>초방</v>
      </c>
    </row>
    <row r="940" spans="1:9" ht="11.25" customHeight="1" x14ac:dyDescent="0.3">
      <c r="A940" s="10">
        <f t="shared" si="128"/>
        <v>45918.256944444445</v>
      </c>
      <c r="B940" s="11">
        <f>Weekly!$F$3</f>
        <v>45918</v>
      </c>
      <c r="C940" s="12">
        <v>0.25694444444444398</v>
      </c>
      <c r="D940" s="13" t="str">
        <f>Weekly!F78</f>
        <v>내고향 전파
&lt;06</v>
      </c>
      <c r="E940" s="13" t="str">
        <f t="shared" si="129"/>
        <v>내고향 전파</v>
      </c>
      <c r="F940" s="13">
        <f t="shared" si="132"/>
        <v>6</v>
      </c>
      <c r="G940" s="13" t="str">
        <f t="shared" si="130"/>
        <v/>
      </c>
      <c r="H940" s="13" t="str">
        <f t="shared" si="131"/>
        <v/>
      </c>
      <c r="I940" s="14" t="str">
        <f t="array" ref="I940">IF(getRGB1(Weekly!F78)="FFFF00","초방","재방")</f>
        <v>재방</v>
      </c>
    </row>
    <row r="941" spans="1:9" ht="11.25" customHeight="1" x14ac:dyDescent="0.3">
      <c r="A941" s="10" t="str">
        <f t="shared" si="128"/>
        <v/>
      </c>
      <c r="B941" s="11">
        <f>Weekly!$F$3</f>
        <v>45918</v>
      </c>
      <c r="C941" s="12">
        <v>0.26041666666666702</v>
      </c>
      <c r="D941" s="13">
        <f>Weekly!F79</f>
        <v>0</v>
      </c>
      <c r="E941" s="13" t="str">
        <f t="shared" si="129"/>
        <v/>
      </c>
      <c r="F941" s="13" t="str">
        <f t="shared" si="132"/>
        <v/>
      </c>
      <c r="G941" s="13" t="str">
        <f t="shared" si="130"/>
        <v/>
      </c>
      <c r="H941" s="13" t="str">
        <f t="shared" si="131"/>
        <v/>
      </c>
      <c r="I941" s="14" t="str">
        <f t="array" ref="I941">IF(getRGB1(Weekly!F79)="FFFF00","초방","재방")</f>
        <v>재방</v>
      </c>
    </row>
    <row r="942" spans="1:9" ht="11.25" customHeight="1" x14ac:dyDescent="0.3">
      <c r="A942" s="10" t="str">
        <f t="shared" si="128"/>
        <v/>
      </c>
      <c r="B942" s="11">
        <f>Weekly!$F$3</f>
        <v>45918</v>
      </c>
      <c r="C942" s="12">
        <v>0.26388888888888901</v>
      </c>
      <c r="D942" s="13">
        <f>Weekly!F80</f>
        <v>0</v>
      </c>
      <c r="E942" s="13" t="str">
        <f t="shared" si="129"/>
        <v/>
      </c>
      <c r="F942" s="13" t="str">
        <f t="shared" si="132"/>
        <v/>
      </c>
      <c r="G942" s="13" t="str">
        <f t="shared" si="130"/>
        <v/>
      </c>
      <c r="H942" s="13" t="str">
        <f t="shared" si="131"/>
        <v/>
      </c>
      <c r="I942" s="14" t="str">
        <f t="array" ref="I942">IF(getRGB1(Weekly!F80)="FFFF00","초방","재방")</f>
        <v>재방</v>
      </c>
    </row>
    <row r="943" spans="1:9" ht="11.25" customHeight="1" x14ac:dyDescent="0.3">
      <c r="A943" s="10" t="str">
        <f t="shared" si="128"/>
        <v/>
      </c>
      <c r="B943" s="11">
        <f>Weekly!$F$3</f>
        <v>45918</v>
      </c>
      <c r="C943" s="12">
        <v>0.26736111111111099</v>
      </c>
      <c r="D943" s="13">
        <f>Weekly!F81</f>
        <v>0</v>
      </c>
      <c r="E943" s="13" t="str">
        <f t="shared" si="129"/>
        <v/>
      </c>
      <c r="F943" s="13" t="str">
        <f t="shared" si="132"/>
        <v/>
      </c>
      <c r="G943" s="13" t="str">
        <f t="shared" si="130"/>
        <v/>
      </c>
      <c r="H943" s="13" t="str">
        <f t="shared" si="131"/>
        <v/>
      </c>
      <c r="I943" s="14" t="str">
        <f t="array" ref="I943">IF(getRGB1(Weekly!F81)="FFFF00","초방","재방")</f>
        <v>재방</v>
      </c>
    </row>
    <row r="944" spans="1:9" ht="11.25" customHeight="1" x14ac:dyDescent="0.3">
      <c r="A944" s="10" t="str">
        <f t="shared" si="128"/>
        <v/>
      </c>
      <c r="B944" s="11">
        <f>Weekly!$F$3</f>
        <v>45918</v>
      </c>
      <c r="C944" s="12">
        <v>0.27083333333333298</v>
      </c>
      <c r="D944" s="13">
        <f>Weekly!F82</f>
        <v>0</v>
      </c>
      <c r="E944" s="13" t="str">
        <f t="shared" si="129"/>
        <v/>
      </c>
      <c r="F944" s="13" t="str">
        <f t="shared" si="132"/>
        <v/>
      </c>
      <c r="G944" s="13" t="str">
        <f t="shared" si="130"/>
        <v/>
      </c>
      <c r="H944" s="13" t="str">
        <f t="shared" si="131"/>
        <v/>
      </c>
      <c r="I944" s="14" t="str">
        <f t="array" ref="I944">IF(getRGB1(Weekly!F82)="FFFF00","초방","재방")</f>
        <v>재방</v>
      </c>
    </row>
    <row r="945" spans="1:9" ht="11.25" customHeight="1" x14ac:dyDescent="0.3">
      <c r="A945" s="10" t="str">
        <f t="shared" si="128"/>
        <v/>
      </c>
      <c r="B945" s="11">
        <f>Weekly!$F$3</f>
        <v>45918</v>
      </c>
      <c r="C945" s="12">
        <v>0.27430555555555602</v>
      </c>
      <c r="D945" s="13">
        <f>Weekly!F83</f>
        <v>0</v>
      </c>
      <c r="E945" s="13" t="str">
        <f t="shared" si="129"/>
        <v/>
      </c>
      <c r="F945" s="13" t="str">
        <f t="shared" si="132"/>
        <v/>
      </c>
      <c r="G945" s="13" t="str">
        <f t="shared" si="130"/>
        <v/>
      </c>
      <c r="H945" s="13" t="str">
        <f t="shared" si="131"/>
        <v/>
      </c>
      <c r="I945" s="14" t="str">
        <f t="array" ref="I945">IF(getRGB1(Weekly!F83)="FFFF00","초방","재방")</f>
        <v>재방</v>
      </c>
    </row>
    <row r="946" spans="1:9" ht="11.25" customHeight="1" x14ac:dyDescent="0.3">
      <c r="A946" s="10" t="str">
        <f t="shared" si="128"/>
        <v/>
      </c>
      <c r="B946" s="11">
        <f>Weekly!$F$3</f>
        <v>45918</v>
      </c>
      <c r="C946" s="12">
        <v>0.27777777777777801</v>
      </c>
      <c r="D946" s="13">
        <f>Weekly!F84</f>
        <v>0</v>
      </c>
      <c r="E946" s="13" t="str">
        <f t="shared" si="129"/>
        <v/>
      </c>
      <c r="F946" s="13" t="str">
        <f t="shared" si="132"/>
        <v/>
      </c>
      <c r="G946" s="13" t="str">
        <f t="shared" si="130"/>
        <v/>
      </c>
      <c r="H946" s="13" t="str">
        <f t="shared" si="131"/>
        <v/>
      </c>
      <c r="I946" s="14" t="str">
        <f t="array" ref="I946">IF(getRGB1(Weekly!F84)="FFFF00","초방","재방")</f>
        <v>재방</v>
      </c>
    </row>
    <row r="947" spans="1:9" ht="11.25" customHeight="1" x14ac:dyDescent="0.3">
      <c r="A947" s="10" t="str">
        <f t="shared" si="128"/>
        <v/>
      </c>
      <c r="B947" s="11">
        <f>Weekly!$F$3</f>
        <v>45918</v>
      </c>
      <c r="C947" s="12">
        <v>0.28125</v>
      </c>
      <c r="D947" s="13">
        <f>Weekly!F85</f>
        <v>0</v>
      </c>
      <c r="E947" s="13" t="str">
        <f t="shared" si="129"/>
        <v/>
      </c>
      <c r="F947" s="13" t="str">
        <f t="shared" si="132"/>
        <v/>
      </c>
      <c r="G947" s="13" t="str">
        <f t="shared" si="130"/>
        <v/>
      </c>
      <c r="H947" s="13" t="str">
        <f t="shared" si="131"/>
        <v/>
      </c>
      <c r="I947" s="14" t="str">
        <f t="array" ref="I947">IF(getRGB1(Weekly!F85)="FFFF00","초방","재방")</f>
        <v>재방</v>
      </c>
    </row>
    <row r="948" spans="1:9" ht="11.25" customHeight="1" x14ac:dyDescent="0.3">
      <c r="A948" s="10" t="str">
        <f t="shared" si="128"/>
        <v/>
      </c>
      <c r="B948" s="11">
        <f>Weekly!$F$3</f>
        <v>45918</v>
      </c>
      <c r="C948" s="12">
        <v>0.28472222222222199</v>
      </c>
      <c r="D948" s="13">
        <f>Weekly!F86</f>
        <v>0</v>
      </c>
      <c r="E948" s="13" t="str">
        <f t="shared" si="129"/>
        <v/>
      </c>
      <c r="F948" s="13" t="str">
        <f t="shared" si="132"/>
        <v/>
      </c>
      <c r="G948" s="13" t="str">
        <f t="shared" si="130"/>
        <v/>
      </c>
      <c r="H948" s="13" t="str">
        <f t="shared" si="131"/>
        <v/>
      </c>
      <c r="I948" s="14" t="str">
        <f t="array" ref="I948">IF(getRGB1(Weekly!F86)="FFFF00","초방","재방")</f>
        <v>재방</v>
      </c>
    </row>
    <row r="949" spans="1:9" ht="11.25" customHeight="1" x14ac:dyDescent="0.3">
      <c r="A949" s="10" t="str">
        <f t="shared" si="128"/>
        <v/>
      </c>
      <c r="B949" s="11">
        <f>Weekly!$F$3</f>
        <v>45918</v>
      </c>
      <c r="C949" s="12">
        <v>0.28819444444444398</v>
      </c>
      <c r="D949" s="13">
        <f>Weekly!F87</f>
        <v>0</v>
      </c>
      <c r="E949" s="13" t="str">
        <f t="shared" si="129"/>
        <v/>
      </c>
      <c r="F949" s="13" t="str">
        <f t="shared" si="132"/>
        <v/>
      </c>
      <c r="G949" s="13" t="str">
        <f t="shared" si="130"/>
        <v/>
      </c>
      <c r="H949" s="13" t="str">
        <f t="shared" si="131"/>
        <v/>
      </c>
      <c r="I949" s="14" t="str">
        <f t="array" ref="I949">IF(getRGB1(Weekly!F87)="FFFF00","초방","재방")</f>
        <v>재방</v>
      </c>
    </row>
    <row r="950" spans="1:9" ht="11.25" customHeight="1" x14ac:dyDescent="0.3">
      <c r="A950" s="10">
        <f t="shared" si="128"/>
        <v>45918.291666666664</v>
      </c>
      <c r="B950" s="11">
        <f>Weekly!$F$3</f>
        <v>45918</v>
      </c>
      <c r="C950" s="12">
        <v>0.29166666666666702</v>
      </c>
      <c r="D950" s="13" t="str">
        <f>Weekly!F88</f>
        <v>최선규의 이제는 지방시대
&lt;01</v>
      </c>
      <c r="E950" s="13" t="str">
        <f t="shared" si="129"/>
        <v>최선규의 이제는 지방시대</v>
      </c>
      <c r="F950" s="13">
        <f t="shared" si="132"/>
        <v>1</v>
      </c>
      <c r="G950" s="13" t="str">
        <f t="shared" si="130"/>
        <v/>
      </c>
      <c r="H950" s="13" t="str">
        <f t="shared" si="131"/>
        <v/>
      </c>
      <c r="I950" s="14" t="str">
        <f t="array" ref="I950">IF(getRGB1(Weekly!F88)="FFFF00","초방","재방")</f>
        <v>재방</v>
      </c>
    </row>
    <row r="951" spans="1:9" ht="11.25" customHeight="1" x14ac:dyDescent="0.3">
      <c r="A951" s="10" t="str">
        <f t="shared" si="128"/>
        <v/>
      </c>
      <c r="B951" s="11">
        <f>Weekly!$F$3</f>
        <v>45918</v>
      </c>
      <c r="C951" s="12">
        <v>0.29513888888888901</v>
      </c>
      <c r="D951" s="13">
        <f>Weekly!F89</f>
        <v>0</v>
      </c>
      <c r="E951" s="13" t="str">
        <f t="shared" si="129"/>
        <v/>
      </c>
      <c r="F951" s="13" t="str">
        <f t="shared" si="132"/>
        <v/>
      </c>
      <c r="G951" s="13" t="str">
        <f t="shared" si="130"/>
        <v/>
      </c>
      <c r="H951" s="13" t="str">
        <f t="shared" si="131"/>
        <v/>
      </c>
      <c r="I951" s="14" t="str">
        <f t="array" ref="I951">IF(getRGB1(Weekly!F89)="FFFF00","초방","재방")</f>
        <v>재방</v>
      </c>
    </row>
    <row r="952" spans="1:9" ht="11.25" customHeight="1" x14ac:dyDescent="0.3">
      <c r="A952" s="10" t="str">
        <f t="shared" si="128"/>
        <v/>
      </c>
      <c r="B952" s="11">
        <f>Weekly!$F$3</f>
        <v>45918</v>
      </c>
      <c r="C952" s="12">
        <v>0.29861111111111099</v>
      </c>
      <c r="D952" s="13">
        <f>Weekly!F90</f>
        <v>0</v>
      </c>
      <c r="E952" s="13" t="str">
        <f t="shared" si="129"/>
        <v/>
      </c>
      <c r="F952" s="13" t="str">
        <f t="shared" si="132"/>
        <v/>
      </c>
      <c r="G952" s="13" t="str">
        <f t="shared" si="130"/>
        <v/>
      </c>
      <c r="H952" s="13" t="str">
        <f t="shared" si="131"/>
        <v/>
      </c>
      <c r="I952" s="14" t="str">
        <f t="array" ref="I952">IF(getRGB1(Weekly!F90)="FFFF00","초방","재방")</f>
        <v>재방</v>
      </c>
    </row>
    <row r="953" spans="1:9" ht="11.25" customHeight="1" x14ac:dyDescent="0.3">
      <c r="A953" s="10" t="str">
        <f t="shared" si="128"/>
        <v/>
      </c>
      <c r="B953" s="11">
        <f>Weekly!$F$3</f>
        <v>45918</v>
      </c>
      <c r="C953" s="12">
        <v>0.30208333333333298</v>
      </c>
      <c r="D953" s="13">
        <f>Weekly!F91</f>
        <v>0</v>
      </c>
      <c r="E953" s="13" t="str">
        <f t="shared" si="129"/>
        <v/>
      </c>
      <c r="F953" s="13" t="str">
        <f t="shared" si="132"/>
        <v/>
      </c>
      <c r="G953" s="13" t="str">
        <f t="shared" si="130"/>
        <v/>
      </c>
      <c r="H953" s="13" t="str">
        <f t="shared" si="131"/>
        <v/>
      </c>
      <c r="I953" s="14" t="str">
        <f t="array" ref="I953">IF(getRGB1(Weekly!F91)="FFFF00","초방","재방")</f>
        <v>재방</v>
      </c>
    </row>
    <row r="954" spans="1:9" ht="11.25" customHeight="1" x14ac:dyDescent="0.3">
      <c r="A954" s="10" t="str">
        <f t="shared" si="128"/>
        <v/>
      </c>
      <c r="B954" s="11">
        <f>Weekly!$F$3</f>
        <v>45918</v>
      </c>
      <c r="C954" s="12">
        <v>0.30555555555555602</v>
      </c>
      <c r="D954" s="13">
        <f>Weekly!F92</f>
        <v>0</v>
      </c>
      <c r="E954" s="13" t="str">
        <f t="shared" si="129"/>
        <v/>
      </c>
      <c r="F954" s="13" t="str">
        <f t="shared" si="132"/>
        <v/>
      </c>
      <c r="G954" s="13" t="str">
        <f t="shared" si="130"/>
        <v/>
      </c>
      <c r="H954" s="13" t="str">
        <f t="shared" si="131"/>
        <v/>
      </c>
      <c r="I954" s="14" t="str">
        <f t="array" ref="I954">IF(getRGB1(Weekly!F92)="FFFF00","초방","재방")</f>
        <v>재방</v>
      </c>
    </row>
    <row r="955" spans="1:9" ht="11.25" customHeight="1" x14ac:dyDescent="0.3">
      <c r="A955" s="10" t="str">
        <f t="shared" si="128"/>
        <v/>
      </c>
      <c r="B955" s="11">
        <f>Weekly!$F$3</f>
        <v>45918</v>
      </c>
      <c r="C955" s="12">
        <v>0.30902777777777801</v>
      </c>
      <c r="D955" s="13">
        <f>Weekly!F93</f>
        <v>0</v>
      </c>
      <c r="E955" s="13" t="str">
        <f t="shared" si="129"/>
        <v/>
      </c>
      <c r="F955" s="13" t="str">
        <f t="shared" si="132"/>
        <v/>
      </c>
      <c r="G955" s="13" t="str">
        <f t="shared" si="130"/>
        <v/>
      </c>
      <c r="H955" s="13" t="str">
        <f t="shared" si="131"/>
        <v/>
      </c>
      <c r="I955" s="14" t="str">
        <f t="array" ref="I955">IF(getRGB1(Weekly!F93)="FFFF00","초방","재방")</f>
        <v>재방</v>
      </c>
    </row>
    <row r="956" spans="1:9" ht="11.25" customHeight="1" x14ac:dyDescent="0.3">
      <c r="A956" s="10" t="str">
        <f t="shared" si="128"/>
        <v/>
      </c>
      <c r="B956" s="11">
        <f>Weekly!$F$3</f>
        <v>45918</v>
      </c>
      <c r="C956" s="12">
        <v>0.3125</v>
      </c>
      <c r="D956" s="13">
        <f>Weekly!F94</f>
        <v>0</v>
      </c>
      <c r="E956" s="13" t="str">
        <f t="shared" si="129"/>
        <v/>
      </c>
      <c r="F956" s="13" t="str">
        <f t="shared" si="132"/>
        <v/>
      </c>
      <c r="G956" s="13" t="str">
        <f t="shared" si="130"/>
        <v/>
      </c>
      <c r="H956" s="13" t="str">
        <f t="shared" si="131"/>
        <v/>
      </c>
      <c r="I956" s="14" t="str">
        <f t="array" ref="I956">IF(getRGB1(Weekly!F94)="FFFF00","초방","재방")</f>
        <v>재방</v>
      </c>
    </row>
    <row r="957" spans="1:9" ht="11.25" customHeight="1" x14ac:dyDescent="0.3">
      <c r="A957" s="10" t="str">
        <f t="shared" si="128"/>
        <v/>
      </c>
      <c r="B957" s="11">
        <f>Weekly!$F$3</f>
        <v>45918</v>
      </c>
      <c r="C957" s="12">
        <v>0.31597222222222199</v>
      </c>
      <c r="D957" s="13">
        <f>Weekly!F95</f>
        <v>0</v>
      </c>
      <c r="E957" s="13" t="str">
        <f t="shared" si="129"/>
        <v/>
      </c>
      <c r="F957" s="13" t="str">
        <f t="shared" si="132"/>
        <v/>
      </c>
      <c r="G957" s="13" t="str">
        <f t="shared" si="130"/>
        <v/>
      </c>
      <c r="H957" s="13" t="str">
        <f t="shared" si="131"/>
        <v/>
      </c>
      <c r="I957" s="14" t="str">
        <f t="array" ref="I957">IF(getRGB1(Weekly!F95)="FFFF00","초방","재방")</f>
        <v>재방</v>
      </c>
    </row>
    <row r="958" spans="1:9" ht="11.25" customHeight="1" x14ac:dyDescent="0.3">
      <c r="A958" s="10" t="str">
        <f t="shared" si="128"/>
        <v/>
      </c>
      <c r="B958" s="11">
        <f>Weekly!$F$3</f>
        <v>45918</v>
      </c>
      <c r="C958" s="12">
        <v>0.31944444444444398</v>
      </c>
      <c r="D958" s="13">
        <f>Weekly!F96</f>
        <v>0</v>
      </c>
      <c r="E958" s="13" t="str">
        <f t="shared" si="129"/>
        <v/>
      </c>
      <c r="F958" s="13" t="str">
        <f t="shared" si="132"/>
        <v/>
      </c>
      <c r="G958" s="13" t="str">
        <f t="shared" si="130"/>
        <v/>
      </c>
      <c r="H958" s="13" t="str">
        <f t="shared" si="131"/>
        <v/>
      </c>
      <c r="I958" s="14" t="str">
        <f t="array" ref="I958">IF(getRGB1(Weekly!F96)="FFFF00","초방","재방")</f>
        <v>재방</v>
      </c>
    </row>
    <row r="959" spans="1:9" ht="11.25" customHeight="1" x14ac:dyDescent="0.3">
      <c r="A959" s="10" t="str">
        <f t="shared" si="128"/>
        <v/>
      </c>
      <c r="B959" s="11">
        <f>Weekly!$F$3</f>
        <v>45918</v>
      </c>
      <c r="C959" s="12">
        <v>0.32291666666666702</v>
      </c>
      <c r="D959" s="13">
        <f>Weekly!F97</f>
        <v>0</v>
      </c>
      <c r="E959" s="13" t="str">
        <f t="shared" si="129"/>
        <v/>
      </c>
      <c r="F959" s="13" t="str">
        <f t="shared" si="132"/>
        <v/>
      </c>
      <c r="G959" s="13" t="str">
        <f t="shared" si="130"/>
        <v/>
      </c>
      <c r="H959" s="13" t="str">
        <f t="shared" si="131"/>
        <v/>
      </c>
      <c r="I959" s="14" t="str">
        <f t="array" ref="I959">IF(getRGB1(Weekly!F97)="FFFF00","초방","재방")</f>
        <v>재방</v>
      </c>
    </row>
    <row r="960" spans="1:9" ht="11.25" customHeight="1" x14ac:dyDescent="0.3">
      <c r="A960" s="10" t="str">
        <f t="shared" si="128"/>
        <v/>
      </c>
      <c r="B960" s="11">
        <f>Weekly!$F$3</f>
        <v>45918</v>
      </c>
      <c r="C960" s="12">
        <v>0.32638888888888901</v>
      </c>
      <c r="D960" s="13">
        <f>Weekly!F98</f>
        <v>0</v>
      </c>
      <c r="E960" s="13" t="str">
        <f t="shared" si="129"/>
        <v/>
      </c>
      <c r="F960" s="13" t="str">
        <f t="shared" si="132"/>
        <v/>
      </c>
      <c r="G960" s="13" t="str">
        <f t="shared" si="130"/>
        <v/>
      </c>
      <c r="H960" s="13" t="str">
        <f t="shared" si="131"/>
        <v/>
      </c>
      <c r="I960" s="14" t="str">
        <f t="array" ref="I960">IF(getRGB1(Weekly!F98)="FFFF00","초방","재방")</f>
        <v>재방</v>
      </c>
    </row>
    <row r="961" spans="1:9" ht="11.25" customHeight="1" x14ac:dyDescent="0.3">
      <c r="A961" s="10" t="str">
        <f t="shared" si="128"/>
        <v/>
      </c>
      <c r="B961" s="11">
        <f>Weekly!$F$3</f>
        <v>45918</v>
      </c>
      <c r="C961" s="12">
        <v>0.32986111111111099</v>
      </c>
      <c r="D961" s="13">
        <f>Weekly!F99</f>
        <v>0</v>
      </c>
      <c r="E961" s="13" t="str">
        <f t="shared" si="129"/>
        <v/>
      </c>
      <c r="F961" s="13" t="str">
        <f t="shared" si="132"/>
        <v/>
      </c>
      <c r="G961" s="13" t="str">
        <f t="shared" si="130"/>
        <v/>
      </c>
      <c r="H961" s="13" t="str">
        <f t="shared" si="131"/>
        <v/>
      </c>
      <c r="I961" s="14" t="str">
        <f t="array" ref="I961">IF(getRGB1(Weekly!F99)="FFFF00","초방","재방")</f>
        <v>재방</v>
      </c>
    </row>
    <row r="962" spans="1:9" ht="11.25" customHeight="1" x14ac:dyDescent="0.3">
      <c r="A962" s="10">
        <f t="shared" ref="A962:A1025" si="133">IF(D962&lt;&gt;0,B962+C962,"")</f>
        <v>45918.333333333336</v>
      </c>
      <c r="B962" s="11">
        <f>Weekly!$F$3</f>
        <v>45918</v>
      </c>
      <c r="C962" s="12">
        <v>0.33333333333333298</v>
      </c>
      <c r="D962" s="13" t="str">
        <f>Weekly!F100</f>
        <v xml:space="preserve"> NEWSPLUS
&lt;64</v>
      </c>
      <c r="E962" s="13" t="str">
        <f t="shared" ref="E962:E1025" si="134">IFERROR(SUBSTITUTE(SUBSTITUTE(TRIM(LEFT(D962,FIND("&lt;",D962)-1)),CHAR(10),""),"⑮ ",""),"")</f>
        <v>NEWSPLUS</v>
      </c>
      <c r="F962" s="13">
        <f t="shared" si="132"/>
        <v>64</v>
      </c>
      <c r="G962" s="13" t="str">
        <f t="shared" ref="G962:G1025" si="135">IFERROR(MID(D962,FIND("&gt;",D962)+1,10),"")</f>
        <v/>
      </c>
      <c r="H962" s="13" t="str">
        <f t="shared" ref="H962:H1025" si="136">IFERROR(VLOOKUP(LEFT(D962,2),$W$1:$X$6,2,0),"")</f>
        <v/>
      </c>
      <c r="I962" s="14" t="str">
        <f t="array" ref="I962">IF(getRGB1(Weekly!F100)="FFFF00","초방","재방")</f>
        <v>재방</v>
      </c>
    </row>
    <row r="963" spans="1:9" ht="11.25" customHeight="1" x14ac:dyDescent="0.3">
      <c r="A963" s="10" t="str">
        <f t="shared" si="133"/>
        <v/>
      </c>
      <c r="B963" s="11">
        <f>Weekly!$F$3</f>
        <v>45918</v>
      </c>
      <c r="C963" s="12">
        <v>0.33680555555555602</v>
      </c>
      <c r="D963" s="13">
        <f>Weekly!F101</f>
        <v>0</v>
      </c>
      <c r="E963" s="13" t="str">
        <f t="shared" si="134"/>
        <v/>
      </c>
      <c r="F963" s="13" t="str">
        <f t="shared" ref="F963:F1026" si="137">IFERROR((MID(D963,FIND("&lt;",D963)+1,4))*1,"")</f>
        <v/>
      </c>
      <c r="G963" s="13" t="str">
        <f t="shared" si="135"/>
        <v/>
      </c>
      <c r="H963" s="13" t="str">
        <f t="shared" si="136"/>
        <v/>
      </c>
      <c r="I963" s="14" t="str">
        <f t="array" ref="I963">IF(getRGB1(Weekly!F101)="FFFF00","초방","재방")</f>
        <v>재방</v>
      </c>
    </row>
    <row r="964" spans="1:9" ht="11.25" customHeight="1" x14ac:dyDescent="0.3">
      <c r="A964" s="10" t="str">
        <f t="shared" si="133"/>
        <v/>
      </c>
      <c r="B964" s="11">
        <f>Weekly!$F$3</f>
        <v>45918</v>
      </c>
      <c r="C964" s="12">
        <v>0.34027777777777801</v>
      </c>
      <c r="D964" s="13">
        <f>Weekly!F102</f>
        <v>0</v>
      </c>
      <c r="E964" s="13" t="str">
        <f t="shared" si="134"/>
        <v/>
      </c>
      <c r="F964" s="13" t="str">
        <f t="shared" si="137"/>
        <v/>
      </c>
      <c r="G964" s="13" t="str">
        <f t="shared" si="135"/>
        <v/>
      </c>
      <c r="H964" s="13" t="str">
        <f t="shared" si="136"/>
        <v/>
      </c>
      <c r="I964" s="14" t="str">
        <f t="array" ref="I964">IF(getRGB1(Weekly!F102)="FFFF00","초방","재방")</f>
        <v>재방</v>
      </c>
    </row>
    <row r="965" spans="1:9" ht="11.25" customHeight="1" x14ac:dyDescent="0.3">
      <c r="A965" s="10" t="str">
        <f t="shared" si="133"/>
        <v/>
      </c>
      <c r="B965" s="11">
        <f>Weekly!$F$3</f>
        <v>45918</v>
      </c>
      <c r="C965" s="12">
        <v>0.34375</v>
      </c>
      <c r="D965" s="13">
        <f>Weekly!F103</f>
        <v>0</v>
      </c>
      <c r="E965" s="13" t="str">
        <f t="shared" si="134"/>
        <v/>
      </c>
      <c r="F965" s="13" t="str">
        <f t="shared" si="137"/>
        <v/>
      </c>
      <c r="G965" s="13" t="str">
        <f t="shared" si="135"/>
        <v/>
      </c>
      <c r="H965" s="13" t="str">
        <f t="shared" si="136"/>
        <v/>
      </c>
      <c r="I965" s="14" t="str">
        <f t="array" ref="I965">IF(getRGB1(Weekly!F103)="FFFF00","초방","재방")</f>
        <v>재방</v>
      </c>
    </row>
    <row r="966" spans="1:9" ht="11.25" customHeight="1" x14ac:dyDescent="0.3">
      <c r="A966" s="10" t="str">
        <f t="shared" si="133"/>
        <v/>
      </c>
      <c r="B966" s="11">
        <f>Weekly!$F$3</f>
        <v>45918</v>
      </c>
      <c r="C966" s="12">
        <v>0.34722222222222199</v>
      </c>
      <c r="D966" s="13">
        <f>Weekly!F104</f>
        <v>0</v>
      </c>
      <c r="E966" s="13" t="str">
        <f t="shared" si="134"/>
        <v/>
      </c>
      <c r="F966" s="13" t="str">
        <f t="shared" si="137"/>
        <v/>
      </c>
      <c r="G966" s="13" t="str">
        <f t="shared" si="135"/>
        <v/>
      </c>
      <c r="H966" s="13" t="str">
        <f t="shared" si="136"/>
        <v/>
      </c>
      <c r="I966" s="14" t="str">
        <f t="array" ref="I966">IF(getRGB1(Weekly!F104)="FFFF00","초방","재방")</f>
        <v>재방</v>
      </c>
    </row>
    <row r="967" spans="1:9" ht="11.25" customHeight="1" x14ac:dyDescent="0.3">
      <c r="A967" s="10" t="str">
        <f t="shared" si="133"/>
        <v/>
      </c>
      <c r="B967" s="11">
        <f>Weekly!$F$3</f>
        <v>45918</v>
      </c>
      <c r="C967" s="12">
        <v>0.35069444444444398</v>
      </c>
      <c r="D967" s="13">
        <f>Weekly!F105</f>
        <v>0</v>
      </c>
      <c r="E967" s="13" t="str">
        <f t="shared" si="134"/>
        <v/>
      </c>
      <c r="F967" s="13" t="str">
        <f t="shared" si="137"/>
        <v/>
      </c>
      <c r="G967" s="13" t="str">
        <f t="shared" si="135"/>
        <v/>
      </c>
      <c r="H967" s="13" t="str">
        <f t="shared" si="136"/>
        <v/>
      </c>
      <c r="I967" s="14" t="str">
        <f t="array" ref="I967">IF(getRGB1(Weekly!F105)="FFFF00","초방","재방")</f>
        <v>재방</v>
      </c>
    </row>
    <row r="968" spans="1:9" ht="11.25" customHeight="1" x14ac:dyDescent="0.3">
      <c r="A968" s="10">
        <f t="shared" si="133"/>
        <v>45918.354166666664</v>
      </c>
      <c r="B968" s="11">
        <f>Weekly!$F$3</f>
        <v>45918</v>
      </c>
      <c r="C968" s="12">
        <v>0.35416666666666702</v>
      </c>
      <c r="D968" s="13" t="str">
        <f>Weekly!F106</f>
        <v>남도스럽게
&lt;03</v>
      </c>
      <c r="E968" s="13" t="str">
        <f t="shared" si="134"/>
        <v>남도스럽게</v>
      </c>
      <c r="F968" s="13">
        <f t="shared" si="137"/>
        <v>3</v>
      </c>
      <c r="G968" s="13" t="str">
        <f t="shared" si="135"/>
        <v/>
      </c>
      <c r="H968" s="13" t="str">
        <f t="shared" si="136"/>
        <v/>
      </c>
      <c r="I968" s="14" t="str">
        <f t="array" ref="I968">IF(getRGB1(Weekly!F106)="FFFF00","초방","재방")</f>
        <v>재방</v>
      </c>
    </row>
    <row r="969" spans="1:9" ht="11.25" customHeight="1" x14ac:dyDescent="0.3">
      <c r="A969" s="10" t="str">
        <f t="shared" si="133"/>
        <v/>
      </c>
      <c r="B969" s="11">
        <f>Weekly!$F$3</f>
        <v>45918</v>
      </c>
      <c r="C969" s="12">
        <v>0.35763888888888901</v>
      </c>
      <c r="D969" s="13">
        <f>Weekly!F107</f>
        <v>0</v>
      </c>
      <c r="E969" s="13" t="str">
        <f t="shared" si="134"/>
        <v/>
      </c>
      <c r="F969" s="13" t="str">
        <f t="shared" si="137"/>
        <v/>
      </c>
      <c r="G969" s="13" t="str">
        <f t="shared" si="135"/>
        <v/>
      </c>
      <c r="H969" s="13" t="str">
        <f t="shared" si="136"/>
        <v/>
      </c>
      <c r="I969" s="14" t="str">
        <f t="array" ref="I969">IF(getRGB1(Weekly!F107)="FFFF00","초방","재방")</f>
        <v>재방</v>
      </c>
    </row>
    <row r="970" spans="1:9" ht="11.25" customHeight="1" x14ac:dyDescent="0.3">
      <c r="A970" s="10" t="str">
        <f t="shared" si="133"/>
        <v/>
      </c>
      <c r="B970" s="11">
        <f>Weekly!$F$3</f>
        <v>45918</v>
      </c>
      <c r="C970" s="12">
        <v>0.36111111111111099</v>
      </c>
      <c r="D970" s="13">
        <f>Weekly!F108</f>
        <v>0</v>
      </c>
      <c r="E970" s="13" t="str">
        <f t="shared" si="134"/>
        <v/>
      </c>
      <c r="F970" s="13" t="str">
        <f t="shared" si="137"/>
        <v/>
      </c>
      <c r="G970" s="13" t="str">
        <f t="shared" si="135"/>
        <v/>
      </c>
      <c r="H970" s="13" t="str">
        <f t="shared" si="136"/>
        <v/>
      </c>
      <c r="I970" s="14" t="str">
        <f t="array" ref="I970">IF(getRGB1(Weekly!F108)="FFFF00","초방","재방")</f>
        <v>재방</v>
      </c>
    </row>
    <row r="971" spans="1:9" ht="11.25" customHeight="1" x14ac:dyDescent="0.3">
      <c r="A971" s="10" t="str">
        <f t="shared" si="133"/>
        <v/>
      </c>
      <c r="B971" s="11">
        <f>Weekly!$F$3</f>
        <v>45918</v>
      </c>
      <c r="C971" s="12">
        <v>0.36458333333333298</v>
      </c>
      <c r="D971" s="13">
        <f>Weekly!F109</f>
        <v>0</v>
      </c>
      <c r="E971" s="13" t="str">
        <f t="shared" si="134"/>
        <v/>
      </c>
      <c r="F971" s="13" t="str">
        <f t="shared" si="137"/>
        <v/>
      </c>
      <c r="G971" s="13" t="str">
        <f t="shared" si="135"/>
        <v/>
      </c>
      <c r="H971" s="13" t="str">
        <f t="shared" si="136"/>
        <v/>
      </c>
      <c r="I971" s="14" t="str">
        <f t="array" ref="I971">IF(getRGB1(Weekly!F109)="FFFF00","초방","재방")</f>
        <v>재방</v>
      </c>
    </row>
    <row r="972" spans="1:9" ht="11.25" customHeight="1" x14ac:dyDescent="0.3">
      <c r="A972" s="10" t="str">
        <f t="shared" si="133"/>
        <v/>
      </c>
      <c r="B972" s="11">
        <f>Weekly!$F$3</f>
        <v>45918</v>
      </c>
      <c r="C972" s="12">
        <v>0.36805555555555602</v>
      </c>
      <c r="D972" s="13">
        <f>Weekly!F110</f>
        <v>0</v>
      </c>
      <c r="E972" s="13" t="str">
        <f t="shared" si="134"/>
        <v/>
      </c>
      <c r="F972" s="13" t="str">
        <f t="shared" si="137"/>
        <v/>
      </c>
      <c r="G972" s="13" t="str">
        <f t="shared" si="135"/>
        <v/>
      </c>
      <c r="H972" s="13" t="str">
        <f t="shared" si="136"/>
        <v/>
      </c>
      <c r="I972" s="14" t="str">
        <f t="array" ref="I972">IF(getRGB1(Weekly!F110)="FFFF00","초방","재방")</f>
        <v>재방</v>
      </c>
    </row>
    <row r="973" spans="1:9" ht="11.25" customHeight="1" x14ac:dyDescent="0.3">
      <c r="A973" s="10" t="str">
        <f t="shared" si="133"/>
        <v/>
      </c>
      <c r="B973" s="11">
        <f>Weekly!$F$3</f>
        <v>45918</v>
      </c>
      <c r="C973" s="12">
        <v>0.37152777777777801</v>
      </c>
      <c r="D973" s="13">
        <f>Weekly!F111</f>
        <v>0</v>
      </c>
      <c r="E973" s="13" t="str">
        <f t="shared" si="134"/>
        <v/>
      </c>
      <c r="F973" s="13" t="str">
        <f t="shared" si="137"/>
        <v/>
      </c>
      <c r="G973" s="13" t="str">
        <f t="shared" si="135"/>
        <v/>
      </c>
      <c r="H973" s="13" t="str">
        <f t="shared" si="136"/>
        <v/>
      </c>
      <c r="I973" s="14" t="str">
        <f t="array" ref="I973">IF(getRGB1(Weekly!F111)="FFFF00","초방","재방")</f>
        <v>재방</v>
      </c>
    </row>
    <row r="974" spans="1:9" ht="11.25" customHeight="1" x14ac:dyDescent="0.3">
      <c r="A974" s="10" t="str">
        <f t="shared" si="133"/>
        <v/>
      </c>
      <c r="B974" s="11">
        <f>Weekly!$F$3</f>
        <v>45918</v>
      </c>
      <c r="C974" s="12">
        <v>0.375</v>
      </c>
      <c r="D974" s="13">
        <f>Weekly!F112</f>
        <v>0</v>
      </c>
      <c r="E974" s="13" t="str">
        <f t="shared" si="134"/>
        <v/>
      </c>
      <c r="F974" s="13" t="str">
        <f t="shared" si="137"/>
        <v/>
      </c>
      <c r="G974" s="13" t="str">
        <f t="shared" si="135"/>
        <v/>
      </c>
      <c r="H974" s="13" t="str">
        <f t="shared" si="136"/>
        <v/>
      </c>
      <c r="I974" s="14" t="str">
        <f t="array" ref="I974">IF(getRGB1(Weekly!F112)="FFFF00","초방","재방")</f>
        <v>재방</v>
      </c>
    </row>
    <row r="975" spans="1:9" ht="11.25" customHeight="1" x14ac:dyDescent="0.3">
      <c r="A975" s="10" t="str">
        <f t="shared" si="133"/>
        <v/>
      </c>
      <c r="B975" s="11">
        <f>Weekly!$F$3</f>
        <v>45918</v>
      </c>
      <c r="C975" s="12">
        <v>0.37847222222222199</v>
      </c>
      <c r="D975" s="13">
        <f>Weekly!F113</f>
        <v>0</v>
      </c>
      <c r="E975" s="13" t="str">
        <f t="shared" si="134"/>
        <v/>
      </c>
      <c r="F975" s="13" t="str">
        <f t="shared" si="137"/>
        <v/>
      </c>
      <c r="G975" s="13" t="str">
        <f t="shared" si="135"/>
        <v/>
      </c>
      <c r="H975" s="13" t="str">
        <f t="shared" si="136"/>
        <v/>
      </c>
      <c r="I975" s="14" t="str">
        <f t="array" ref="I975">IF(getRGB1(Weekly!F113)="FFFF00","초방","재방")</f>
        <v>재방</v>
      </c>
    </row>
    <row r="976" spans="1:9" ht="11.25" customHeight="1" x14ac:dyDescent="0.3">
      <c r="A976" s="10" t="str">
        <f t="shared" si="133"/>
        <v/>
      </c>
      <c r="B976" s="11">
        <f>Weekly!$F$3</f>
        <v>45918</v>
      </c>
      <c r="C976" s="12">
        <v>0.38194444444444398</v>
      </c>
      <c r="D976" s="13">
        <f>Weekly!F114</f>
        <v>0</v>
      </c>
      <c r="E976" s="13" t="str">
        <f t="shared" si="134"/>
        <v/>
      </c>
      <c r="F976" s="13" t="str">
        <f t="shared" si="137"/>
        <v/>
      </c>
      <c r="G976" s="13" t="str">
        <f t="shared" si="135"/>
        <v/>
      </c>
      <c r="H976" s="13" t="str">
        <f t="shared" si="136"/>
        <v/>
      </c>
      <c r="I976" s="14" t="str">
        <f t="array" ref="I976">IF(getRGB1(Weekly!F114)="FFFF00","초방","재방")</f>
        <v>재방</v>
      </c>
    </row>
    <row r="977" spans="1:9" ht="11.25" customHeight="1" x14ac:dyDescent="0.3">
      <c r="A977" s="10" t="str">
        <f t="shared" si="133"/>
        <v/>
      </c>
      <c r="B977" s="11">
        <f>Weekly!$F$3</f>
        <v>45918</v>
      </c>
      <c r="C977" s="12">
        <v>0.38541666666666702</v>
      </c>
      <c r="D977" s="13">
        <f>Weekly!F115</f>
        <v>0</v>
      </c>
      <c r="E977" s="13" t="str">
        <f t="shared" si="134"/>
        <v/>
      </c>
      <c r="F977" s="13" t="str">
        <f t="shared" si="137"/>
        <v/>
      </c>
      <c r="G977" s="13" t="str">
        <f t="shared" si="135"/>
        <v/>
      </c>
      <c r="H977" s="13" t="str">
        <f t="shared" si="136"/>
        <v/>
      </c>
      <c r="I977" s="14" t="str">
        <f t="array" ref="I977">IF(getRGB1(Weekly!F115)="FFFF00","초방","재방")</f>
        <v>재방</v>
      </c>
    </row>
    <row r="978" spans="1:9" ht="11.25" customHeight="1" x14ac:dyDescent="0.3">
      <c r="A978" s="10">
        <f t="shared" si="133"/>
        <v>45918.388888888891</v>
      </c>
      <c r="B978" s="11">
        <f>Weekly!$F$3</f>
        <v>45918</v>
      </c>
      <c r="C978" s="12">
        <v>0.38888888888888901</v>
      </c>
      <c r="D978" s="13" t="str">
        <f>Weekly!F116</f>
        <v>눈에 띄는 그녀들 시즌3
&lt;10</v>
      </c>
      <c r="E978" s="13" t="str">
        <f t="shared" si="134"/>
        <v>눈에 띄는 그녀들 시즌3</v>
      </c>
      <c r="F978" s="13">
        <f t="shared" si="137"/>
        <v>10</v>
      </c>
      <c r="G978" s="13" t="str">
        <f t="shared" si="135"/>
        <v/>
      </c>
      <c r="H978" s="13" t="str">
        <f t="shared" si="136"/>
        <v/>
      </c>
      <c r="I978" s="14" t="str">
        <f t="array" ref="I978">IF(getRGB1(Weekly!F116)="FFFF00","초방","재방")</f>
        <v>재방</v>
      </c>
    </row>
    <row r="979" spans="1:9" ht="11.25" customHeight="1" x14ac:dyDescent="0.3">
      <c r="A979" s="10" t="str">
        <f t="shared" si="133"/>
        <v/>
      </c>
      <c r="B979" s="11">
        <f>Weekly!$F$3</f>
        <v>45918</v>
      </c>
      <c r="C979" s="12">
        <v>0.39236111111111099</v>
      </c>
      <c r="D979" s="13">
        <f>Weekly!F117</f>
        <v>0</v>
      </c>
      <c r="E979" s="13" t="str">
        <f t="shared" si="134"/>
        <v/>
      </c>
      <c r="F979" s="13" t="str">
        <f t="shared" si="137"/>
        <v/>
      </c>
      <c r="G979" s="13" t="str">
        <f t="shared" si="135"/>
        <v/>
      </c>
      <c r="H979" s="13" t="str">
        <f t="shared" si="136"/>
        <v/>
      </c>
      <c r="I979" s="14" t="str">
        <f t="array" ref="I979">IF(getRGB1(Weekly!F117)="FFFF00","초방","재방")</f>
        <v>재방</v>
      </c>
    </row>
    <row r="980" spans="1:9" ht="11.25" customHeight="1" x14ac:dyDescent="0.3">
      <c r="A980" s="10" t="str">
        <f t="shared" si="133"/>
        <v/>
      </c>
      <c r="B980" s="11">
        <f>Weekly!$F$3</f>
        <v>45918</v>
      </c>
      <c r="C980" s="12">
        <v>0.39583333333333298</v>
      </c>
      <c r="D980" s="13">
        <f>Weekly!F118</f>
        <v>0</v>
      </c>
      <c r="E980" s="13" t="str">
        <f t="shared" si="134"/>
        <v/>
      </c>
      <c r="F980" s="13" t="str">
        <f t="shared" si="137"/>
        <v/>
      </c>
      <c r="G980" s="13" t="str">
        <f t="shared" si="135"/>
        <v/>
      </c>
      <c r="H980" s="13" t="str">
        <f t="shared" si="136"/>
        <v/>
      </c>
      <c r="I980" s="14" t="str">
        <f t="array" ref="I980">IF(getRGB1(Weekly!F118)="FFFF00","초방","재방")</f>
        <v>재방</v>
      </c>
    </row>
    <row r="981" spans="1:9" ht="11.25" customHeight="1" x14ac:dyDescent="0.3">
      <c r="A981" s="10" t="str">
        <f t="shared" si="133"/>
        <v/>
      </c>
      <c r="B981" s="11">
        <f>Weekly!$F$3</f>
        <v>45918</v>
      </c>
      <c r="C981" s="12">
        <v>0.39930555555555602</v>
      </c>
      <c r="D981" s="13">
        <f>Weekly!F119</f>
        <v>0</v>
      </c>
      <c r="E981" s="13" t="str">
        <f t="shared" si="134"/>
        <v/>
      </c>
      <c r="F981" s="13" t="str">
        <f t="shared" si="137"/>
        <v/>
      </c>
      <c r="G981" s="13" t="str">
        <f t="shared" si="135"/>
        <v/>
      </c>
      <c r="H981" s="13" t="str">
        <f t="shared" si="136"/>
        <v/>
      </c>
      <c r="I981" s="14" t="str">
        <f t="array" ref="I981">IF(getRGB1(Weekly!F119)="FFFF00","초방","재방")</f>
        <v>재방</v>
      </c>
    </row>
    <row r="982" spans="1:9" ht="11.25" customHeight="1" x14ac:dyDescent="0.3">
      <c r="A982" s="10" t="str">
        <f t="shared" si="133"/>
        <v/>
      </c>
      <c r="B982" s="11">
        <f>Weekly!$F$3</f>
        <v>45918</v>
      </c>
      <c r="C982" s="12">
        <v>0.40277777777777801</v>
      </c>
      <c r="D982" s="13">
        <f>Weekly!F120</f>
        <v>0</v>
      </c>
      <c r="E982" s="13" t="str">
        <f t="shared" si="134"/>
        <v/>
      </c>
      <c r="F982" s="13" t="str">
        <f t="shared" si="137"/>
        <v/>
      </c>
      <c r="G982" s="13" t="str">
        <f t="shared" si="135"/>
        <v/>
      </c>
      <c r="H982" s="13" t="str">
        <f t="shared" si="136"/>
        <v/>
      </c>
      <c r="I982" s="14" t="str">
        <f t="array" ref="I982">IF(getRGB1(Weekly!F120)="FFFF00","초방","재방")</f>
        <v>재방</v>
      </c>
    </row>
    <row r="983" spans="1:9" ht="11.25" customHeight="1" x14ac:dyDescent="0.3">
      <c r="A983" s="10" t="str">
        <f t="shared" si="133"/>
        <v/>
      </c>
      <c r="B983" s="11">
        <f>Weekly!$F$3</f>
        <v>45918</v>
      </c>
      <c r="C983" s="12">
        <v>0.40625</v>
      </c>
      <c r="D983" s="13">
        <f>Weekly!F121</f>
        <v>0</v>
      </c>
      <c r="E983" s="13" t="str">
        <f t="shared" si="134"/>
        <v/>
      </c>
      <c r="F983" s="13" t="str">
        <f t="shared" si="137"/>
        <v/>
      </c>
      <c r="G983" s="13" t="str">
        <f t="shared" si="135"/>
        <v/>
      </c>
      <c r="H983" s="13" t="str">
        <f t="shared" si="136"/>
        <v/>
      </c>
      <c r="I983" s="14" t="str">
        <f t="array" ref="I983">IF(getRGB1(Weekly!F121)="FFFF00","초방","재방")</f>
        <v>재방</v>
      </c>
    </row>
    <row r="984" spans="1:9" ht="11.25" customHeight="1" x14ac:dyDescent="0.3">
      <c r="A984" s="10" t="str">
        <f t="shared" si="133"/>
        <v/>
      </c>
      <c r="B984" s="11">
        <f>Weekly!$F$3</f>
        <v>45918</v>
      </c>
      <c r="C984" s="12">
        <v>0.40972222222222199</v>
      </c>
      <c r="D984" s="13">
        <f>Weekly!F122</f>
        <v>0</v>
      </c>
      <c r="E984" s="13" t="str">
        <f t="shared" si="134"/>
        <v/>
      </c>
      <c r="F984" s="13" t="str">
        <f t="shared" si="137"/>
        <v/>
      </c>
      <c r="G984" s="13" t="str">
        <f t="shared" si="135"/>
        <v/>
      </c>
      <c r="H984" s="13" t="str">
        <f t="shared" si="136"/>
        <v/>
      </c>
      <c r="I984" s="14" t="str">
        <f t="array" ref="I984">IF(getRGB1(Weekly!F122)="FFFF00","초방","재방")</f>
        <v>재방</v>
      </c>
    </row>
    <row r="985" spans="1:9" ht="11.25" customHeight="1" x14ac:dyDescent="0.3">
      <c r="A985" s="10" t="str">
        <f t="shared" si="133"/>
        <v/>
      </c>
      <c r="B985" s="11">
        <f>Weekly!$F$3</f>
        <v>45918</v>
      </c>
      <c r="C985" s="12">
        <v>0.41319444444444398</v>
      </c>
      <c r="D985" s="13">
        <f>Weekly!F123</f>
        <v>0</v>
      </c>
      <c r="E985" s="13" t="str">
        <f t="shared" si="134"/>
        <v/>
      </c>
      <c r="F985" s="13" t="str">
        <f t="shared" si="137"/>
        <v/>
      </c>
      <c r="G985" s="13" t="str">
        <f t="shared" si="135"/>
        <v/>
      </c>
      <c r="H985" s="13" t="str">
        <f t="shared" si="136"/>
        <v/>
      </c>
      <c r="I985" s="14" t="str">
        <f t="array" ref="I985">IF(getRGB1(Weekly!F123)="FFFF00","초방","재방")</f>
        <v>재방</v>
      </c>
    </row>
    <row r="986" spans="1:9" ht="11.25" customHeight="1" x14ac:dyDescent="0.3">
      <c r="A986" s="10">
        <f t="shared" si="133"/>
        <v>45918.416666666664</v>
      </c>
      <c r="B986" s="11">
        <f>Weekly!$F$3</f>
        <v>45918</v>
      </c>
      <c r="C986" s="12">
        <v>0.41666666666666702</v>
      </c>
      <c r="D986" s="13" t="str">
        <f>Weekly!F124</f>
        <v>특집 2026 지방선거_서울특별시의회 생생중계_본회의
&lt;05</v>
      </c>
      <c r="E986" s="13" t="str">
        <f t="shared" si="134"/>
        <v>특집 2026 지방선거_서울특별시의회 생생중계_본회의</v>
      </c>
      <c r="F986" s="13">
        <f t="shared" si="137"/>
        <v>5</v>
      </c>
      <c r="G986" s="13" t="str">
        <f t="shared" si="135"/>
        <v/>
      </c>
      <c r="H986" s="13" t="str">
        <f t="shared" si="136"/>
        <v/>
      </c>
      <c r="I986" s="14" t="str">
        <f t="array" ref="I986">IF(getRGB1(Weekly!F124)="FFFF00","초방","재방")</f>
        <v>재방</v>
      </c>
    </row>
    <row r="987" spans="1:9" ht="11.25" customHeight="1" x14ac:dyDescent="0.3">
      <c r="A987" s="10" t="str">
        <f t="shared" si="133"/>
        <v/>
      </c>
      <c r="B987" s="11">
        <f>Weekly!$F$3</f>
        <v>45918</v>
      </c>
      <c r="C987" s="12">
        <v>0.42013888888888901</v>
      </c>
      <c r="D987" s="13">
        <f>Weekly!F125</f>
        <v>0</v>
      </c>
      <c r="E987" s="13" t="str">
        <f t="shared" si="134"/>
        <v/>
      </c>
      <c r="F987" s="13" t="str">
        <f t="shared" si="137"/>
        <v/>
      </c>
      <c r="G987" s="13" t="str">
        <f t="shared" si="135"/>
        <v/>
      </c>
      <c r="H987" s="13" t="str">
        <f t="shared" si="136"/>
        <v/>
      </c>
      <c r="I987" s="14" t="str">
        <f t="array" ref="I987">IF(getRGB1(Weekly!F125)="FFFF00","초방","재방")</f>
        <v>재방</v>
      </c>
    </row>
    <row r="988" spans="1:9" ht="11.25" customHeight="1" x14ac:dyDescent="0.3">
      <c r="A988" s="10" t="str">
        <f t="shared" si="133"/>
        <v/>
      </c>
      <c r="B988" s="11">
        <f>Weekly!$F$3</f>
        <v>45918</v>
      </c>
      <c r="C988" s="12">
        <v>0.42361111111111099</v>
      </c>
      <c r="D988" s="13">
        <f>Weekly!F126</f>
        <v>0</v>
      </c>
      <c r="E988" s="13" t="str">
        <f t="shared" si="134"/>
        <v/>
      </c>
      <c r="F988" s="13" t="str">
        <f t="shared" si="137"/>
        <v/>
      </c>
      <c r="G988" s="13" t="str">
        <f t="shared" si="135"/>
        <v/>
      </c>
      <c r="H988" s="13" t="str">
        <f t="shared" si="136"/>
        <v/>
      </c>
      <c r="I988" s="14" t="str">
        <f t="array" ref="I988">IF(getRGB1(Weekly!F126)="FFFF00","초방","재방")</f>
        <v>재방</v>
      </c>
    </row>
    <row r="989" spans="1:9" ht="11.25" customHeight="1" x14ac:dyDescent="0.3">
      <c r="A989" s="10" t="str">
        <f t="shared" si="133"/>
        <v/>
      </c>
      <c r="B989" s="11">
        <f>Weekly!$F$3</f>
        <v>45918</v>
      </c>
      <c r="C989" s="12">
        <v>0.42708333333333298</v>
      </c>
      <c r="D989" s="13">
        <f>Weekly!F127</f>
        <v>0</v>
      </c>
      <c r="E989" s="13" t="str">
        <f t="shared" si="134"/>
        <v/>
      </c>
      <c r="F989" s="13" t="str">
        <f t="shared" si="137"/>
        <v/>
      </c>
      <c r="G989" s="13" t="str">
        <f t="shared" si="135"/>
        <v/>
      </c>
      <c r="H989" s="13" t="str">
        <f t="shared" si="136"/>
        <v/>
      </c>
      <c r="I989" s="14" t="str">
        <f t="array" ref="I989">IF(getRGB1(Weekly!F127)="FFFF00","초방","재방")</f>
        <v>재방</v>
      </c>
    </row>
    <row r="990" spans="1:9" ht="11.25" customHeight="1" x14ac:dyDescent="0.3">
      <c r="A990" s="10" t="str">
        <f t="shared" si="133"/>
        <v/>
      </c>
      <c r="B990" s="11">
        <f>Weekly!$F$3</f>
        <v>45918</v>
      </c>
      <c r="C990" s="12">
        <v>0.43055555555555602</v>
      </c>
      <c r="D990" s="13">
        <f>Weekly!F128</f>
        <v>0</v>
      </c>
      <c r="E990" s="13" t="str">
        <f t="shared" si="134"/>
        <v/>
      </c>
      <c r="F990" s="13" t="str">
        <f t="shared" si="137"/>
        <v/>
      </c>
      <c r="G990" s="13" t="str">
        <f t="shared" si="135"/>
        <v/>
      </c>
      <c r="H990" s="13" t="str">
        <f t="shared" si="136"/>
        <v/>
      </c>
      <c r="I990" s="14" t="str">
        <f t="array" ref="I990">IF(getRGB1(Weekly!F128)="FFFF00","초방","재방")</f>
        <v>재방</v>
      </c>
    </row>
    <row r="991" spans="1:9" ht="11.25" customHeight="1" x14ac:dyDescent="0.3">
      <c r="A991" s="10" t="str">
        <f t="shared" si="133"/>
        <v/>
      </c>
      <c r="B991" s="11">
        <f>Weekly!$F$3</f>
        <v>45918</v>
      </c>
      <c r="C991" s="12">
        <v>0.43402777777777801</v>
      </c>
      <c r="D991" s="13">
        <f>Weekly!F129</f>
        <v>0</v>
      </c>
      <c r="E991" s="13" t="str">
        <f t="shared" si="134"/>
        <v/>
      </c>
      <c r="F991" s="13" t="str">
        <f t="shared" si="137"/>
        <v/>
      </c>
      <c r="G991" s="13" t="str">
        <f t="shared" si="135"/>
        <v/>
      </c>
      <c r="H991" s="13" t="str">
        <f t="shared" si="136"/>
        <v/>
      </c>
      <c r="I991" s="14" t="str">
        <f t="array" ref="I991">IF(getRGB1(Weekly!F129)="FFFF00","초방","재방")</f>
        <v>재방</v>
      </c>
    </row>
    <row r="992" spans="1:9" ht="11.25" customHeight="1" x14ac:dyDescent="0.3">
      <c r="A992" s="10" t="str">
        <f t="shared" si="133"/>
        <v/>
      </c>
      <c r="B992" s="11">
        <f>Weekly!$F$3</f>
        <v>45918</v>
      </c>
      <c r="C992" s="12">
        <v>0.4375</v>
      </c>
      <c r="D992" s="13">
        <f>Weekly!F130</f>
        <v>0</v>
      </c>
      <c r="E992" s="13" t="str">
        <f t="shared" si="134"/>
        <v/>
      </c>
      <c r="F992" s="13" t="str">
        <f t="shared" si="137"/>
        <v/>
      </c>
      <c r="G992" s="13" t="str">
        <f t="shared" si="135"/>
        <v/>
      </c>
      <c r="H992" s="13" t="str">
        <f t="shared" si="136"/>
        <v/>
      </c>
      <c r="I992" s="14" t="str">
        <f t="array" ref="I992">IF(getRGB1(Weekly!F130)="FFFF00","초방","재방")</f>
        <v>재방</v>
      </c>
    </row>
    <row r="993" spans="1:9" ht="11.25" customHeight="1" x14ac:dyDescent="0.3">
      <c r="A993" s="10" t="str">
        <f t="shared" si="133"/>
        <v/>
      </c>
      <c r="B993" s="11">
        <f>Weekly!$F$3</f>
        <v>45918</v>
      </c>
      <c r="C993" s="12">
        <v>0.44097222222222199</v>
      </c>
      <c r="D993" s="13">
        <f>Weekly!F131</f>
        <v>0</v>
      </c>
      <c r="E993" s="13" t="str">
        <f t="shared" si="134"/>
        <v/>
      </c>
      <c r="F993" s="13" t="str">
        <f t="shared" si="137"/>
        <v/>
      </c>
      <c r="G993" s="13" t="str">
        <f t="shared" si="135"/>
        <v/>
      </c>
      <c r="H993" s="13" t="str">
        <f t="shared" si="136"/>
        <v/>
      </c>
      <c r="I993" s="14" t="str">
        <f t="array" ref="I993">IF(getRGB1(Weekly!F131)="FFFF00","초방","재방")</f>
        <v>재방</v>
      </c>
    </row>
    <row r="994" spans="1:9" ht="11.25" customHeight="1" x14ac:dyDescent="0.3">
      <c r="A994" s="10" t="str">
        <f t="shared" si="133"/>
        <v/>
      </c>
      <c r="B994" s="11">
        <f>Weekly!$F$3</f>
        <v>45918</v>
      </c>
      <c r="C994" s="12">
        <v>0.44444444444444398</v>
      </c>
      <c r="D994" s="13">
        <f>Weekly!F132</f>
        <v>0</v>
      </c>
      <c r="E994" s="13" t="str">
        <f t="shared" si="134"/>
        <v/>
      </c>
      <c r="F994" s="13" t="str">
        <f t="shared" si="137"/>
        <v/>
      </c>
      <c r="G994" s="13" t="str">
        <f t="shared" si="135"/>
        <v/>
      </c>
      <c r="H994" s="13" t="str">
        <f t="shared" si="136"/>
        <v/>
      </c>
      <c r="I994" s="14" t="str">
        <f t="array" ref="I994">IF(getRGB1(Weekly!F132)="FFFF00","초방","재방")</f>
        <v>재방</v>
      </c>
    </row>
    <row r="995" spans="1:9" ht="11.25" customHeight="1" x14ac:dyDescent="0.3">
      <c r="A995" s="10" t="str">
        <f t="shared" si="133"/>
        <v/>
      </c>
      <c r="B995" s="11">
        <f>Weekly!$F$3</f>
        <v>45918</v>
      </c>
      <c r="C995" s="12">
        <v>0.44791666666666702</v>
      </c>
      <c r="D995" s="13">
        <f>Weekly!F133</f>
        <v>0</v>
      </c>
      <c r="E995" s="13" t="str">
        <f t="shared" si="134"/>
        <v/>
      </c>
      <c r="F995" s="13" t="str">
        <f t="shared" si="137"/>
        <v/>
      </c>
      <c r="G995" s="13" t="str">
        <f t="shared" si="135"/>
        <v/>
      </c>
      <c r="H995" s="13" t="str">
        <f t="shared" si="136"/>
        <v/>
      </c>
      <c r="I995" s="14" t="str">
        <f t="array" ref="I995">IF(getRGB1(Weekly!F133)="FFFF00","초방","재방")</f>
        <v>재방</v>
      </c>
    </row>
    <row r="996" spans="1:9" ht="11.25" customHeight="1" x14ac:dyDescent="0.3">
      <c r="A996" s="10" t="str">
        <f t="shared" si="133"/>
        <v/>
      </c>
      <c r="B996" s="11">
        <f>Weekly!$F$3</f>
        <v>45918</v>
      </c>
      <c r="C996" s="12">
        <v>0.45138888888888901</v>
      </c>
      <c r="D996" s="13">
        <f>Weekly!F134</f>
        <v>0</v>
      </c>
      <c r="E996" s="13" t="str">
        <f t="shared" si="134"/>
        <v/>
      </c>
      <c r="F996" s="13" t="str">
        <f t="shared" si="137"/>
        <v/>
      </c>
      <c r="G996" s="13" t="str">
        <f t="shared" si="135"/>
        <v/>
      </c>
      <c r="H996" s="13" t="str">
        <f t="shared" si="136"/>
        <v/>
      </c>
      <c r="I996" s="14" t="str">
        <f t="array" ref="I996">IF(getRGB1(Weekly!F134)="FFFF00","초방","재방")</f>
        <v>재방</v>
      </c>
    </row>
    <row r="997" spans="1:9" ht="11.25" customHeight="1" x14ac:dyDescent="0.3">
      <c r="A997" s="10" t="str">
        <f t="shared" si="133"/>
        <v/>
      </c>
      <c r="B997" s="11">
        <f>Weekly!$F$3</f>
        <v>45918</v>
      </c>
      <c r="C997" s="12">
        <v>0.45486111111111099</v>
      </c>
      <c r="D997" s="13">
        <f>Weekly!F135</f>
        <v>0</v>
      </c>
      <c r="E997" s="13" t="str">
        <f t="shared" si="134"/>
        <v/>
      </c>
      <c r="F997" s="13" t="str">
        <f t="shared" si="137"/>
        <v/>
      </c>
      <c r="G997" s="13" t="str">
        <f t="shared" si="135"/>
        <v/>
      </c>
      <c r="H997" s="13" t="str">
        <f t="shared" si="136"/>
        <v/>
      </c>
      <c r="I997" s="14" t="str">
        <f t="array" ref="I997">IF(getRGB1(Weekly!F135)="FFFF00","초방","재방")</f>
        <v>재방</v>
      </c>
    </row>
    <row r="998" spans="1:9" ht="11.25" customHeight="1" x14ac:dyDescent="0.3">
      <c r="A998" s="10">
        <f t="shared" si="133"/>
        <v>45918.458333333336</v>
      </c>
      <c r="B998" s="11">
        <f>Weekly!$F$3</f>
        <v>45918</v>
      </c>
      <c r="C998" s="12">
        <v>0.45833333333333298</v>
      </c>
      <c r="D998" s="13" t="str">
        <f>Weekly!F136</f>
        <v>특집 2026 지방선거_경기도의회 생생중계_본회의
&lt;17</v>
      </c>
      <c r="E998" s="13" t="str">
        <f t="shared" si="134"/>
        <v>특집 2026 지방선거_경기도의회 생생중계_본회의</v>
      </c>
      <c r="F998" s="13">
        <f t="shared" si="137"/>
        <v>17</v>
      </c>
      <c r="G998" s="13" t="str">
        <f t="shared" si="135"/>
        <v/>
      </c>
      <c r="H998" s="13" t="str">
        <f t="shared" si="136"/>
        <v/>
      </c>
      <c r="I998" s="14" t="str">
        <f t="array" ref="I998">IF(getRGB1(Weekly!F136)="FFFF00","초방","재방")</f>
        <v>초방</v>
      </c>
    </row>
    <row r="999" spans="1:9" ht="11.25" customHeight="1" x14ac:dyDescent="0.3">
      <c r="A999" s="10" t="str">
        <f t="shared" si="133"/>
        <v/>
      </c>
      <c r="B999" s="11">
        <f>Weekly!$F$3</f>
        <v>45918</v>
      </c>
      <c r="C999" s="12">
        <v>0.46180555555555602</v>
      </c>
      <c r="D999" s="13">
        <f>Weekly!F137</f>
        <v>0</v>
      </c>
      <c r="E999" s="13" t="str">
        <f t="shared" si="134"/>
        <v/>
      </c>
      <c r="F999" s="13" t="str">
        <f t="shared" si="137"/>
        <v/>
      </c>
      <c r="G999" s="13" t="str">
        <f t="shared" si="135"/>
        <v/>
      </c>
      <c r="H999" s="13" t="str">
        <f t="shared" si="136"/>
        <v/>
      </c>
      <c r="I999" s="14" t="str">
        <f t="array" ref="I999">IF(getRGB1(Weekly!F137)="FFFF00","초방","재방")</f>
        <v>초방</v>
      </c>
    </row>
    <row r="1000" spans="1:9" ht="11.25" customHeight="1" x14ac:dyDescent="0.3">
      <c r="A1000" s="10" t="str">
        <f t="shared" si="133"/>
        <v/>
      </c>
      <c r="B1000" s="11">
        <f>Weekly!$F$3</f>
        <v>45918</v>
      </c>
      <c r="C1000" s="12">
        <v>0.46527777777777801</v>
      </c>
      <c r="D1000" s="13">
        <f>Weekly!F138</f>
        <v>0</v>
      </c>
      <c r="E1000" s="13" t="str">
        <f t="shared" si="134"/>
        <v/>
      </c>
      <c r="F1000" s="13" t="str">
        <f t="shared" si="137"/>
        <v/>
      </c>
      <c r="G1000" s="13" t="str">
        <f t="shared" si="135"/>
        <v/>
      </c>
      <c r="H1000" s="13" t="str">
        <f t="shared" si="136"/>
        <v/>
      </c>
      <c r="I1000" s="14" t="str">
        <f t="array" ref="I1000">IF(getRGB1(Weekly!F138)="FFFF00","초방","재방")</f>
        <v>초방</v>
      </c>
    </row>
    <row r="1001" spans="1:9" ht="11.25" customHeight="1" x14ac:dyDescent="0.3">
      <c r="A1001" s="10" t="str">
        <f t="shared" si="133"/>
        <v/>
      </c>
      <c r="B1001" s="11">
        <f>Weekly!$F$3</f>
        <v>45918</v>
      </c>
      <c r="C1001" s="12">
        <v>0.46875</v>
      </c>
      <c r="D1001" s="13">
        <f>Weekly!F139</f>
        <v>0</v>
      </c>
      <c r="E1001" s="13" t="str">
        <f t="shared" si="134"/>
        <v/>
      </c>
      <c r="F1001" s="13" t="str">
        <f t="shared" si="137"/>
        <v/>
      </c>
      <c r="G1001" s="13" t="str">
        <f t="shared" si="135"/>
        <v/>
      </c>
      <c r="H1001" s="13" t="str">
        <f t="shared" si="136"/>
        <v/>
      </c>
      <c r="I1001" s="14" t="str">
        <f t="array" ref="I1001">IF(getRGB1(Weekly!F139)="FFFF00","초방","재방")</f>
        <v>초방</v>
      </c>
    </row>
    <row r="1002" spans="1:9" ht="11.25" customHeight="1" x14ac:dyDescent="0.3">
      <c r="A1002" s="10" t="str">
        <f t="shared" si="133"/>
        <v/>
      </c>
      <c r="B1002" s="11">
        <f>Weekly!$F$3</f>
        <v>45918</v>
      </c>
      <c r="C1002" s="12">
        <v>0.47222222222222199</v>
      </c>
      <c r="D1002" s="13">
        <f>Weekly!F140</f>
        <v>0</v>
      </c>
      <c r="E1002" s="13" t="str">
        <f t="shared" si="134"/>
        <v/>
      </c>
      <c r="F1002" s="13" t="str">
        <f t="shared" si="137"/>
        <v/>
      </c>
      <c r="G1002" s="13" t="str">
        <f t="shared" si="135"/>
        <v/>
      </c>
      <c r="H1002" s="13" t="str">
        <f t="shared" si="136"/>
        <v/>
      </c>
      <c r="I1002" s="14" t="str">
        <f t="array" ref="I1002">IF(getRGB1(Weekly!F140)="FFFF00","초방","재방")</f>
        <v>초방</v>
      </c>
    </row>
    <row r="1003" spans="1:9" ht="11.25" customHeight="1" x14ac:dyDescent="0.3">
      <c r="A1003" s="10" t="str">
        <f t="shared" si="133"/>
        <v/>
      </c>
      <c r="B1003" s="11">
        <f>Weekly!$F$3</f>
        <v>45918</v>
      </c>
      <c r="C1003" s="12">
        <v>0.47569444444444398</v>
      </c>
      <c r="D1003" s="13">
        <f>Weekly!F141</f>
        <v>0</v>
      </c>
      <c r="E1003" s="13" t="str">
        <f t="shared" si="134"/>
        <v/>
      </c>
      <c r="F1003" s="13" t="str">
        <f t="shared" si="137"/>
        <v/>
      </c>
      <c r="G1003" s="13" t="str">
        <f t="shared" si="135"/>
        <v/>
      </c>
      <c r="H1003" s="13" t="str">
        <f t="shared" si="136"/>
        <v/>
      </c>
      <c r="I1003" s="14" t="str">
        <f t="array" ref="I1003">IF(getRGB1(Weekly!F141)="FFFF00","초방","재방")</f>
        <v>초방</v>
      </c>
    </row>
    <row r="1004" spans="1:9" ht="11.25" customHeight="1" x14ac:dyDescent="0.3">
      <c r="A1004" s="10" t="str">
        <f t="shared" si="133"/>
        <v/>
      </c>
      <c r="B1004" s="11">
        <f>Weekly!$F$3</f>
        <v>45918</v>
      </c>
      <c r="C1004" s="12">
        <v>0.47916666666666702</v>
      </c>
      <c r="D1004" s="13">
        <f>Weekly!F142</f>
        <v>0</v>
      </c>
      <c r="E1004" s="13" t="str">
        <f t="shared" si="134"/>
        <v/>
      </c>
      <c r="F1004" s="13" t="str">
        <f t="shared" si="137"/>
        <v/>
      </c>
      <c r="G1004" s="13" t="str">
        <f t="shared" si="135"/>
        <v/>
      </c>
      <c r="H1004" s="13" t="str">
        <f t="shared" si="136"/>
        <v/>
      </c>
      <c r="I1004" s="14" t="str">
        <f t="array" ref="I1004">IF(getRGB1(Weekly!F142)="FFFF00","초방","재방")</f>
        <v>초방</v>
      </c>
    </row>
    <row r="1005" spans="1:9" ht="11.25" customHeight="1" x14ac:dyDescent="0.3">
      <c r="A1005" s="10" t="str">
        <f t="shared" si="133"/>
        <v/>
      </c>
      <c r="B1005" s="11">
        <f>Weekly!$F$3</f>
        <v>45918</v>
      </c>
      <c r="C1005" s="12">
        <v>0.48263888888888901</v>
      </c>
      <c r="D1005" s="13">
        <f>Weekly!F143</f>
        <v>0</v>
      </c>
      <c r="E1005" s="13" t="str">
        <f t="shared" si="134"/>
        <v/>
      </c>
      <c r="F1005" s="13" t="str">
        <f t="shared" si="137"/>
        <v/>
      </c>
      <c r="G1005" s="13" t="str">
        <f t="shared" si="135"/>
        <v/>
      </c>
      <c r="H1005" s="13" t="str">
        <f t="shared" si="136"/>
        <v/>
      </c>
      <c r="I1005" s="14" t="str">
        <f t="array" ref="I1005">IF(getRGB1(Weekly!F143)="FFFF00","초방","재방")</f>
        <v>초방</v>
      </c>
    </row>
    <row r="1006" spans="1:9" ht="11.25" customHeight="1" x14ac:dyDescent="0.3">
      <c r="A1006" s="10" t="str">
        <f t="shared" si="133"/>
        <v/>
      </c>
      <c r="B1006" s="11">
        <f>Weekly!$F$3</f>
        <v>45918</v>
      </c>
      <c r="C1006" s="12">
        <v>0.48611111111111099</v>
      </c>
      <c r="D1006" s="13">
        <f>Weekly!F144</f>
        <v>0</v>
      </c>
      <c r="E1006" s="13" t="str">
        <f t="shared" si="134"/>
        <v/>
      </c>
      <c r="F1006" s="13" t="str">
        <f t="shared" si="137"/>
        <v/>
      </c>
      <c r="G1006" s="13" t="str">
        <f t="shared" si="135"/>
        <v/>
      </c>
      <c r="H1006" s="13" t="str">
        <f t="shared" si="136"/>
        <v/>
      </c>
      <c r="I1006" s="14" t="str">
        <f t="array" ref="I1006">IF(getRGB1(Weekly!F144)="FFFF00","초방","재방")</f>
        <v>초방</v>
      </c>
    </row>
    <row r="1007" spans="1:9" ht="11.25" customHeight="1" x14ac:dyDescent="0.3">
      <c r="A1007" s="10" t="str">
        <f t="shared" si="133"/>
        <v/>
      </c>
      <c r="B1007" s="11">
        <f>Weekly!$F$3</f>
        <v>45918</v>
      </c>
      <c r="C1007" s="12">
        <v>0.48958333333333298</v>
      </c>
      <c r="D1007" s="13">
        <f>Weekly!F145</f>
        <v>0</v>
      </c>
      <c r="E1007" s="13" t="str">
        <f t="shared" si="134"/>
        <v/>
      </c>
      <c r="F1007" s="13" t="str">
        <f t="shared" si="137"/>
        <v/>
      </c>
      <c r="G1007" s="13" t="str">
        <f t="shared" si="135"/>
        <v/>
      </c>
      <c r="H1007" s="13" t="str">
        <f t="shared" si="136"/>
        <v/>
      </c>
      <c r="I1007" s="14" t="str">
        <f t="array" ref="I1007">IF(getRGB1(Weekly!F145)="FFFF00","초방","재방")</f>
        <v>초방</v>
      </c>
    </row>
    <row r="1008" spans="1:9" ht="11.25" customHeight="1" x14ac:dyDescent="0.3">
      <c r="A1008" s="10" t="str">
        <f t="shared" si="133"/>
        <v/>
      </c>
      <c r="B1008" s="11">
        <f>Weekly!$F$3</f>
        <v>45918</v>
      </c>
      <c r="C1008" s="12">
        <v>0.49305555555555602</v>
      </c>
      <c r="D1008" s="13">
        <f>Weekly!F146</f>
        <v>0</v>
      </c>
      <c r="E1008" s="13" t="str">
        <f t="shared" si="134"/>
        <v/>
      </c>
      <c r="F1008" s="13" t="str">
        <f t="shared" si="137"/>
        <v/>
      </c>
      <c r="G1008" s="13" t="str">
        <f t="shared" si="135"/>
        <v/>
      </c>
      <c r="H1008" s="13" t="str">
        <f t="shared" si="136"/>
        <v/>
      </c>
      <c r="I1008" s="14" t="str">
        <f t="array" ref="I1008">IF(getRGB1(Weekly!F146)="FFFF00","초방","재방")</f>
        <v>초방</v>
      </c>
    </row>
    <row r="1009" spans="1:9" ht="11.25" customHeight="1" x14ac:dyDescent="0.3">
      <c r="A1009" s="10" t="str">
        <f t="shared" si="133"/>
        <v/>
      </c>
      <c r="B1009" s="11">
        <f>Weekly!$F$3</f>
        <v>45918</v>
      </c>
      <c r="C1009" s="12">
        <v>0.49652777777777801</v>
      </c>
      <c r="D1009" s="13">
        <f>Weekly!F147</f>
        <v>0</v>
      </c>
      <c r="E1009" s="13" t="str">
        <f t="shared" si="134"/>
        <v/>
      </c>
      <c r="F1009" s="13" t="str">
        <f t="shared" si="137"/>
        <v/>
      </c>
      <c r="G1009" s="13" t="str">
        <f t="shared" si="135"/>
        <v/>
      </c>
      <c r="H1009" s="13" t="str">
        <f t="shared" si="136"/>
        <v/>
      </c>
      <c r="I1009" s="14" t="str">
        <f t="array" ref="I1009">IF(getRGB1(Weekly!F147)="FFFF00","초방","재방")</f>
        <v>초방</v>
      </c>
    </row>
    <row r="1010" spans="1:9" ht="11.25" customHeight="1" x14ac:dyDescent="0.3">
      <c r="A1010" s="10">
        <f t="shared" si="133"/>
        <v>45918.5</v>
      </c>
      <c r="B1010" s="11">
        <f>Weekly!$F$3</f>
        <v>45918</v>
      </c>
      <c r="C1010" s="12">
        <v>0.5</v>
      </c>
      <c r="D1010" s="13" t="str">
        <f>Weekly!F148</f>
        <v>행복무지개
&lt;32</v>
      </c>
      <c r="E1010" s="13" t="str">
        <f t="shared" si="134"/>
        <v>행복무지개</v>
      </c>
      <c r="F1010" s="13">
        <f t="shared" si="137"/>
        <v>32</v>
      </c>
      <c r="G1010" s="13" t="str">
        <f t="shared" si="135"/>
        <v/>
      </c>
      <c r="H1010" s="13" t="str">
        <f t="shared" si="136"/>
        <v/>
      </c>
      <c r="I1010" s="14" t="str">
        <f t="array" ref="I1010">IF(getRGB1(Weekly!F148)="FFFF00","초방","재방")</f>
        <v>재방</v>
      </c>
    </row>
    <row r="1011" spans="1:9" ht="11.25" customHeight="1" x14ac:dyDescent="0.3">
      <c r="A1011" s="10" t="str">
        <f t="shared" si="133"/>
        <v/>
      </c>
      <c r="B1011" s="11">
        <f>Weekly!$F$3</f>
        <v>45918</v>
      </c>
      <c r="C1011" s="12">
        <v>0.50347222222222199</v>
      </c>
      <c r="D1011" s="13">
        <f>Weekly!F149</f>
        <v>0</v>
      </c>
      <c r="E1011" s="13" t="str">
        <f t="shared" si="134"/>
        <v/>
      </c>
      <c r="F1011" s="13" t="str">
        <f t="shared" si="137"/>
        <v/>
      </c>
      <c r="G1011" s="13" t="str">
        <f t="shared" si="135"/>
        <v/>
      </c>
      <c r="H1011" s="13" t="str">
        <f t="shared" si="136"/>
        <v/>
      </c>
      <c r="I1011" s="14" t="str">
        <f t="array" ref="I1011">IF(getRGB1(Weekly!F149)="FFFF00","초방","재방")</f>
        <v>재방</v>
      </c>
    </row>
    <row r="1012" spans="1:9" ht="11.25" customHeight="1" x14ac:dyDescent="0.3">
      <c r="A1012" s="10" t="str">
        <f t="shared" si="133"/>
        <v/>
      </c>
      <c r="B1012" s="11">
        <f>Weekly!$F$3</f>
        <v>45918</v>
      </c>
      <c r="C1012" s="12">
        <v>0.50694444444444398</v>
      </c>
      <c r="D1012" s="13">
        <f>Weekly!F150</f>
        <v>0</v>
      </c>
      <c r="E1012" s="13" t="str">
        <f t="shared" si="134"/>
        <v/>
      </c>
      <c r="F1012" s="13" t="str">
        <f t="shared" si="137"/>
        <v/>
      </c>
      <c r="G1012" s="13" t="str">
        <f t="shared" si="135"/>
        <v/>
      </c>
      <c r="H1012" s="13" t="str">
        <f t="shared" si="136"/>
        <v/>
      </c>
      <c r="I1012" s="14" t="str">
        <f t="array" ref="I1012">IF(getRGB1(Weekly!F150)="FFFF00","초방","재방")</f>
        <v>재방</v>
      </c>
    </row>
    <row r="1013" spans="1:9" ht="11.25" customHeight="1" x14ac:dyDescent="0.3">
      <c r="A1013" s="10" t="str">
        <f t="shared" si="133"/>
        <v/>
      </c>
      <c r="B1013" s="11">
        <f>Weekly!$F$3</f>
        <v>45918</v>
      </c>
      <c r="C1013" s="12">
        <v>0.51041666666666696</v>
      </c>
      <c r="D1013" s="13">
        <f>Weekly!F151</f>
        <v>0</v>
      </c>
      <c r="E1013" s="13" t="str">
        <f t="shared" si="134"/>
        <v/>
      </c>
      <c r="F1013" s="13" t="str">
        <f t="shared" si="137"/>
        <v/>
      </c>
      <c r="G1013" s="13" t="str">
        <f t="shared" si="135"/>
        <v/>
      </c>
      <c r="H1013" s="13" t="str">
        <f t="shared" si="136"/>
        <v/>
      </c>
      <c r="I1013" s="14" t="str">
        <f t="array" ref="I1013">IF(getRGB1(Weekly!F151)="FFFF00","초방","재방")</f>
        <v>재방</v>
      </c>
    </row>
    <row r="1014" spans="1:9" ht="11.25" customHeight="1" x14ac:dyDescent="0.3">
      <c r="A1014" s="10" t="str">
        <f t="shared" si="133"/>
        <v/>
      </c>
      <c r="B1014" s="11">
        <f>Weekly!$F$3</f>
        <v>45918</v>
      </c>
      <c r="C1014" s="12">
        <v>0.51388888888888895</v>
      </c>
      <c r="D1014" s="13">
        <f>Weekly!F152</f>
        <v>0</v>
      </c>
      <c r="E1014" s="13" t="str">
        <f t="shared" si="134"/>
        <v/>
      </c>
      <c r="F1014" s="13" t="str">
        <f t="shared" si="137"/>
        <v/>
      </c>
      <c r="G1014" s="13" t="str">
        <f t="shared" si="135"/>
        <v/>
      </c>
      <c r="H1014" s="13" t="str">
        <f t="shared" si="136"/>
        <v/>
      </c>
      <c r="I1014" s="14" t="str">
        <f t="array" ref="I1014">IF(getRGB1(Weekly!F152)="FFFF00","초방","재방")</f>
        <v>재방</v>
      </c>
    </row>
    <row r="1015" spans="1:9" ht="11.25" customHeight="1" x14ac:dyDescent="0.3">
      <c r="A1015" s="10" t="str">
        <f t="shared" si="133"/>
        <v/>
      </c>
      <c r="B1015" s="11">
        <f>Weekly!$F$3</f>
        <v>45918</v>
      </c>
      <c r="C1015" s="12">
        <v>0.51736111111111105</v>
      </c>
      <c r="D1015" s="13">
        <f>Weekly!F153</f>
        <v>0</v>
      </c>
      <c r="E1015" s="13" t="str">
        <f t="shared" si="134"/>
        <v/>
      </c>
      <c r="F1015" s="13" t="str">
        <f t="shared" si="137"/>
        <v/>
      </c>
      <c r="G1015" s="13" t="str">
        <f t="shared" si="135"/>
        <v/>
      </c>
      <c r="H1015" s="13" t="str">
        <f t="shared" si="136"/>
        <v/>
      </c>
      <c r="I1015" s="14" t="str">
        <f t="array" ref="I1015">IF(getRGB1(Weekly!F153)="FFFF00","초방","재방")</f>
        <v>재방</v>
      </c>
    </row>
    <row r="1016" spans="1:9" ht="11.25" customHeight="1" x14ac:dyDescent="0.3">
      <c r="A1016" s="10" t="str">
        <f t="shared" si="133"/>
        <v/>
      </c>
      <c r="B1016" s="11">
        <f>Weekly!$F$3</f>
        <v>45918</v>
      </c>
      <c r="C1016" s="12">
        <v>0.52083333333333304</v>
      </c>
      <c r="D1016" s="13">
        <f>Weekly!F154</f>
        <v>0</v>
      </c>
      <c r="E1016" s="13" t="str">
        <f t="shared" si="134"/>
        <v/>
      </c>
      <c r="F1016" s="13" t="str">
        <f t="shared" si="137"/>
        <v/>
      </c>
      <c r="G1016" s="13" t="str">
        <f t="shared" si="135"/>
        <v/>
      </c>
      <c r="H1016" s="13" t="str">
        <f t="shared" si="136"/>
        <v/>
      </c>
      <c r="I1016" s="14" t="str">
        <f t="array" ref="I1016">IF(getRGB1(Weekly!F154)="FFFF00","초방","재방")</f>
        <v>재방</v>
      </c>
    </row>
    <row r="1017" spans="1:9" ht="11.25" customHeight="1" x14ac:dyDescent="0.3">
      <c r="A1017" s="10" t="str">
        <f t="shared" si="133"/>
        <v/>
      </c>
      <c r="B1017" s="11">
        <f>Weekly!$F$3</f>
        <v>45918</v>
      </c>
      <c r="C1017" s="12">
        <v>0.52430555555555602</v>
      </c>
      <c r="D1017" s="13">
        <f>Weekly!F155</f>
        <v>0</v>
      </c>
      <c r="E1017" s="13" t="str">
        <f t="shared" si="134"/>
        <v/>
      </c>
      <c r="F1017" s="13" t="str">
        <f t="shared" si="137"/>
        <v/>
      </c>
      <c r="G1017" s="13" t="str">
        <f t="shared" si="135"/>
        <v/>
      </c>
      <c r="H1017" s="13" t="str">
        <f t="shared" si="136"/>
        <v/>
      </c>
      <c r="I1017" s="14" t="str">
        <f t="array" ref="I1017">IF(getRGB1(Weekly!F155)="FFFF00","초방","재방")</f>
        <v>재방</v>
      </c>
    </row>
    <row r="1018" spans="1:9" ht="11.25" customHeight="1" x14ac:dyDescent="0.3">
      <c r="A1018" s="10" t="str">
        <f t="shared" si="133"/>
        <v/>
      </c>
      <c r="B1018" s="11">
        <f>Weekly!$F$3</f>
        <v>45918</v>
      </c>
      <c r="C1018" s="12">
        <v>0.52777777777777801</v>
      </c>
      <c r="D1018" s="13">
        <f>Weekly!F156</f>
        <v>0</v>
      </c>
      <c r="E1018" s="13" t="str">
        <f t="shared" si="134"/>
        <v/>
      </c>
      <c r="F1018" s="13" t="str">
        <f t="shared" si="137"/>
        <v/>
      </c>
      <c r="G1018" s="13" t="str">
        <f t="shared" si="135"/>
        <v/>
      </c>
      <c r="H1018" s="13" t="str">
        <f t="shared" si="136"/>
        <v/>
      </c>
      <c r="I1018" s="14" t="str">
        <f t="array" ref="I1018">IF(getRGB1(Weekly!F156)="FFFF00","초방","재방")</f>
        <v>재방</v>
      </c>
    </row>
    <row r="1019" spans="1:9" ht="11.25" customHeight="1" x14ac:dyDescent="0.3">
      <c r="A1019" s="10" t="str">
        <f t="shared" si="133"/>
        <v/>
      </c>
      <c r="B1019" s="11">
        <f>Weekly!$F$3</f>
        <v>45918</v>
      </c>
      <c r="C1019" s="12">
        <v>0.53125</v>
      </c>
      <c r="D1019" s="13">
        <f>Weekly!F157</f>
        <v>0</v>
      </c>
      <c r="E1019" s="13" t="str">
        <f t="shared" si="134"/>
        <v/>
      </c>
      <c r="F1019" s="13" t="str">
        <f t="shared" si="137"/>
        <v/>
      </c>
      <c r="G1019" s="13" t="str">
        <f t="shared" si="135"/>
        <v/>
      </c>
      <c r="H1019" s="13" t="str">
        <f t="shared" si="136"/>
        <v/>
      </c>
      <c r="I1019" s="14" t="str">
        <f t="array" ref="I1019">IF(getRGB1(Weekly!F157)="FFFF00","초방","재방")</f>
        <v>재방</v>
      </c>
    </row>
    <row r="1020" spans="1:9" ht="11.25" customHeight="1" x14ac:dyDescent="0.3">
      <c r="A1020" s="10" t="str">
        <f t="shared" si="133"/>
        <v/>
      </c>
      <c r="B1020" s="11">
        <f>Weekly!$F$3</f>
        <v>45918</v>
      </c>
      <c r="C1020" s="12">
        <v>0.53472222222222199</v>
      </c>
      <c r="D1020" s="13">
        <f>Weekly!F158</f>
        <v>0</v>
      </c>
      <c r="E1020" s="13" t="str">
        <f t="shared" si="134"/>
        <v/>
      </c>
      <c r="F1020" s="13" t="str">
        <f t="shared" si="137"/>
        <v/>
      </c>
      <c r="G1020" s="13" t="str">
        <f t="shared" si="135"/>
        <v/>
      </c>
      <c r="H1020" s="13" t="str">
        <f t="shared" si="136"/>
        <v/>
      </c>
      <c r="I1020" s="14" t="str">
        <f t="array" ref="I1020">IF(getRGB1(Weekly!F158)="FFFF00","초방","재방")</f>
        <v>재방</v>
      </c>
    </row>
    <row r="1021" spans="1:9" ht="11.25" customHeight="1" x14ac:dyDescent="0.3">
      <c r="A1021" s="10" t="str">
        <f t="shared" si="133"/>
        <v/>
      </c>
      <c r="B1021" s="11">
        <f>Weekly!$F$3</f>
        <v>45918</v>
      </c>
      <c r="C1021" s="12">
        <v>0.53819444444444398</v>
      </c>
      <c r="D1021" s="13">
        <f>Weekly!F159</f>
        <v>0</v>
      </c>
      <c r="E1021" s="13" t="str">
        <f t="shared" si="134"/>
        <v/>
      </c>
      <c r="F1021" s="13" t="str">
        <f t="shared" si="137"/>
        <v/>
      </c>
      <c r="G1021" s="13" t="str">
        <f t="shared" si="135"/>
        <v/>
      </c>
      <c r="H1021" s="13" t="str">
        <f t="shared" si="136"/>
        <v/>
      </c>
      <c r="I1021" s="14" t="str">
        <f t="array" ref="I1021">IF(getRGB1(Weekly!F159)="FFFF00","초방","재방")</f>
        <v>재방</v>
      </c>
    </row>
    <row r="1022" spans="1:9" ht="11.25" customHeight="1" x14ac:dyDescent="0.3">
      <c r="A1022" s="10">
        <f t="shared" si="133"/>
        <v>45918.541666666664</v>
      </c>
      <c r="B1022" s="11">
        <f>Weekly!$F$3</f>
        <v>45918</v>
      </c>
      <c r="C1022" s="12">
        <v>0.54166666666666696</v>
      </c>
      <c r="D1022" s="13" t="str">
        <f>Weekly!F160</f>
        <v xml:space="preserve"> NEWSJ
&lt;66</v>
      </c>
      <c r="E1022" s="13" t="str">
        <f t="shared" si="134"/>
        <v>NEWSJ</v>
      </c>
      <c r="F1022" s="13">
        <f t="shared" si="137"/>
        <v>66</v>
      </c>
      <c r="G1022" s="13" t="str">
        <f t="shared" si="135"/>
        <v/>
      </c>
      <c r="H1022" s="13" t="str">
        <f t="shared" si="136"/>
        <v/>
      </c>
      <c r="I1022" s="14" t="str">
        <f t="array" ref="I1022">IF(getRGB1(Weekly!F160)="FFFF00","초방","재방")</f>
        <v>재방</v>
      </c>
    </row>
    <row r="1023" spans="1:9" ht="11.25" customHeight="1" x14ac:dyDescent="0.3">
      <c r="A1023" s="10" t="str">
        <f t="shared" si="133"/>
        <v/>
      </c>
      <c r="B1023" s="11">
        <f>Weekly!$F$3</f>
        <v>45918</v>
      </c>
      <c r="C1023" s="12">
        <v>0.54513888888888895</v>
      </c>
      <c r="D1023" s="13">
        <f>Weekly!F161</f>
        <v>0</v>
      </c>
      <c r="E1023" s="13" t="str">
        <f t="shared" si="134"/>
        <v/>
      </c>
      <c r="F1023" s="13" t="str">
        <f t="shared" si="137"/>
        <v/>
      </c>
      <c r="G1023" s="13" t="str">
        <f t="shared" si="135"/>
        <v/>
      </c>
      <c r="H1023" s="13" t="str">
        <f t="shared" si="136"/>
        <v/>
      </c>
      <c r="I1023" s="14" t="str">
        <f t="array" ref="I1023">IF(getRGB1(Weekly!F161)="FFFF00","초방","재방")</f>
        <v>재방</v>
      </c>
    </row>
    <row r="1024" spans="1:9" ht="11.25" customHeight="1" x14ac:dyDescent="0.3">
      <c r="A1024" s="10" t="str">
        <f t="shared" si="133"/>
        <v/>
      </c>
      <c r="B1024" s="11">
        <f>Weekly!$F$3</f>
        <v>45918</v>
      </c>
      <c r="C1024" s="12">
        <v>0.54861111111111105</v>
      </c>
      <c r="D1024" s="13">
        <f>Weekly!F162</f>
        <v>0</v>
      </c>
      <c r="E1024" s="13" t="str">
        <f t="shared" si="134"/>
        <v/>
      </c>
      <c r="F1024" s="13" t="str">
        <f t="shared" si="137"/>
        <v/>
      </c>
      <c r="G1024" s="13" t="str">
        <f t="shared" si="135"/>
        <v/>
      </c>
      <c r="H1024" s="13" t="str">
        <f t="shared" si="136"/>
        <v/>
      </c>
      <c r="I1024" s="14" t="str">
        <f t="array" ref="I1024">IF(getRGB1(Weekly!F162)="FFFF00","초방","재방")</f>
        <v>재방</v>
      </c>
    </row>
    <row r="1025" spans="1:9" ht="11.25" customHeight="1" x14ac:dyDescent="0.3">
      <c r="A1025" s="10" t="str">
        <f t="shared" si="133"/>
        <v/>
      </c>
      <c r="B1025" s="11">
        <f>Weekly!$F$3</f>
        <v>45918</v>
      </c>
      <c r="C1025" s="12">
        <v>0.55208333333333304</v>
      </c>
      <c r="D1025" s="13">
        <f>Weekly!F163</f>
        <v>0</v>
      </c>
      <c r="E1025" s="13" t="str">
        <f t="shared" si="134"/>
        <v/>
      </c>
      <c r="F1025" s="13" t="str">
        <f t="shared" si="137"/>
        <v/>
      </c>
      <c r="G1025" s="13" t="str">
        <f t="shared" si="135"/>
        <v/>
      </c>
      <c r="H1025" s="13" t="str">
        <f t="shared" si="136"/>
        <v/>
      </c>
      <c r="I1025" s="14" t="str">
        <f t="array" ref="I1025">IF(getRGB1(Weekly!F163)="FFFF00","초방","재방")</f>
        <v>재방</v>
      </c>
    </row>
    <row r="1026" spans="1:9" ht="11.25" customHeight="1" x14ac:dyDescent="0.3">
      <c r="A1026" s="10" t="str">
        <f t="shared" ref="A1026:A1089" si="138">IF(D1026&lt;&gt;0,B1026+C1026,"")</f>
        <v/>
      </c>
      <c r="B1026" s="11">
        <f>Weekly!$F$3</f>
        <v>45918</v>
      </c>
      <c r="C1026" s="12">
        <v>0.55555555555555602</v>
      </c>
      <c r="D1026" s="13">
        <f>Weekly!F164</f>
        <v>0</v>
      </c>
      <c r="E1026" s="13" t="str">
        <f t="shared" ref="E1026:E1089" si="139">IFERROR(SUBSTITUTE(SUBSTITUTE(TRIM(LEFT(D1026,FIND("&lt;",D1026)-1)),CHAR(10),""),"⑮ ",""),"")</f>
        <v/>
      </c>
      <c r="F1026" s="13" t="str">
        <f t="shared" si="137"/>
        <v/>
      </c>
      <c r="G1026" s="13" t="str">
        <f t="shared" ref="G1026:G1089" si="140">IFERROR(MID(D1026,FIND("&gt;",D1026)+1,10),"")</f>
        <v/>
      </c>
      <c r="H1026" s="13" t="str">
        <f t="shared" ref="H1026:H1089" si="141">IFERROR(VLOOKUP(LEFT(D1026,2),$W$1:$X$6,2,0),"")</f>
        <v/>
      </c>
      <c r="I1026" s="14" t="str">
        <f t="array" ref="I1026">IF(getRGB1(Weekly!F164)="FFFF00","초방","재방")</f>
        <v>재방</v>
      </c>
    </row>
    <row r="1027" spans="1:9" ht="11.25" customHeight="1" x14ac:dyDescent="0.3">
      <c r="A1027" s="10" t="str">
        <f t="shared" si="138"/>
        <v/>
      </c>
      <c r="B1027" s="11">
        <f>Weekly!$F$3</f>
        <v>45918</v>
      </c>
      <c r="C1027" s="12">
        <v>0.55902777777777801</v>
      </c>
      <c r="D1027" s="13">
        <f>Weekly!F165</f>
        <v>0</v>
      </c>
      <c r="E1027" s="13" t="str">
        <f t="shared" si="139"/>
        <v/>
      </c>
      <c r="F1027" s="13" t="str">
        <f t="shared" ref="F1027:F1090" si="142">IFERROR((MID(D1027,FIND("&lt;",D1027)+1,4))*1,"")</f>
        <v/>
      </c>
      <c r="G1027" s="13" t="str">
        <f t="shared" si="140"/>
        <v/>
      </c>
      <c r="H1027" s="13" t="str">
        <f t="shared" si="141"/>
        <v/>
      </c>
      <c r="I1027" s="14" t="str">
        <f t="array" ref="I1027">IF(getRGB1(Weekly!F165)="FFFF00","초방","재방")</f>
        <v>재방</v>
      </c>
    </row>
    <row r="1028" spans="1:9" ht="11.25" customHeight="1" x14ac:dyDescent="0.3">
      <c r="A1028" s="10">
        <f t="shared" si="138"/>
        <v>45918.5625</v>
      </c>
      <c r="B1028" s="11">
        <f>Weekly!$F$3</f>
        <v>45918</v>
      </c>
      <c r="C1028" s="12">
        <v>0.5625</v>
      </c>
      <c r="D1028" s="13" t="str">
        <f>Weekly!F166</f>
        <v>더 人터뷰
&lt;52</v>
      </c>
      <c r="E1028" s="13" t="str">
        <f t="shared" si="139"/>
        <v>더 人터뷰</v>
      </c>
      <c r="F1028" s="13">
        <f t="shared" si="142"/>
        <v>52</v>
      </c>
      <c r="G1028" s="13" t="str">
        <f t="shared" si="140"/>
        <v/>
      </c>
      <c r="H1028" s="13" t="str">
        <f t="shared" si="141"/>
        <v/>
      </c>
      <c r="I1028" s="14" t="str">
        <f t="array" ref="I1028">IF(getRGB1(Weekly!F166)="FFFF00","초방","재방")</f>
        <v>재방</v>
      </c>
    </row>
    <row r="1029" spans="1:9" ht="11.25" customHeight="1" x14ac:dyDescent="0.3">
      <c r="A1029" s="10" t="str">
        <f t="shared" si="138"/>
        <v/>
      </c>
      <c r="B1029" s="11">
        <f>Weekly!$F$3</f>
        <v>45918</v>
      </c>
      <c r="C1029" s="12">
        <v>0.56597222222222199</v>
      </c>
      <c r="D1029" s="13">
        <f>Weekly!F167</f>
        <v>0</v>
      </c>
      <c r="E1029" s="13" t="str">
        <f t="shared" si="139"/>
        <v/>
      </c>
      <c r="F1029" s="13" t="str">
        <f t="shared" si="142"/>
        <v/>
      </c>
      <c r="G1029" s="13" t="str">
        <f t="shared" si="140"/>
        <v/>
      </c>
      <c r="H1029" s="13" t="str">
        <f t="shared" si="141"/>
        <v/>
      </c>
      <c r="I1029" s="14" t="str">
        <f t="array" ref="I1029">IF(getRGB1(Weekly!F167)="FFFF00","초방","재방")</f>
        <v>재방</v>
      </c>
    </row>
    <row r="1030" spans="1:9" ht="11.25" customHeight="1" x14ac:dyDescent="0.3">
      <c r="A1030" s="10" t="str">
        <f t="shared" si="138"/>
        <v/>
      </c>
      <c r="B1030" s="11">
        <f>Weekly!$F$3</f>
        <v>45918</v>
      </c>
      <c r="C1030" s="12">
        <v>0.56944444444444398</v>
      </c>
      <c r="D1030" s="13">
        <f>Weekly!F168</f>
        <v>0</v>
      </c>
      <c r="E1030" s="13" t="str">
        <f t="shared" si="139"/>
        <v/>
      </c>
      <c r="F1030" s="13" t="str">
        <f t="shared" si="142"/>
        <v/>
      </c>
      <c r="G1030" s="13" t="str">
        <f t="shared" si="140"/>
        <v/>
      </c>
      <c r="H1030" s="13" t="str">
        <f t="shared" si="141"/>
        <v/>
      </c>
      <c r="I1030" s="14" t="str">
        <f t="array" ref="I1030">IF(getRGB1(Weekly!F168)="FFFF00","초방","재방")</f>
        <v>재방</v>
      </c>
    </row>
    <row r="1031" spans="1:9" ht="11.25" customHeight="1" x14ac:dyDescent="0.3">
      <c r="A1031" s="10" t="str">
        <f t="shared" si="138"/>
        <v/>
      </c>
      <c r="B1031" s="11">
        <f>Weekly!$F$3</f>
        <v>45918</v>
      </c>
      <c r="C1031" s="12">
        <v>0.57291666666666696</v>
      </c>
      <c r="D1031" s="13">
        <f>Weekly!F169</f>
        <v>0</v>
      </c>
      <c r="E1031" s="13" t="str">
        <f t="shared" si="139"/>
        <v/>
      </c>
      <c r="F1031" s="13" t="str">
        <f t="shared" si="142"/>
        <v/>
      </c>
      <c r="G1031" s="13" t="str">
        <f t="shared" si="140"/>
        <v/>
      </c>
      <c r="H1031" s="13" t="str">
        <f t="shared" si="141"/>
        <v/>
      </c>
      <c r="I1031" s="14" t="str">
        <f t="array" ref="I1031">IF(getRGB1(Weekly!F169)="FFFF00","초방","재방")</f>
        <v>재방</v>
      </c>
    </row>
    <row r="1032" spans="1:9" ht="11.25" customHeight="1" x14ac:dyDescent="0.3">
      <c r="A1032" s="10" t="str">
        <f t="shared" si="138"/>
        <v/>
      </c>
      <c r="B1032" s="11">
        <f>Weekly!$F$3</f>
        <v>45918</v>
      </c>
      <c r="C1032" s="12">
        <v>0.57638888888888895</v>
      </c>
      <c r="D1032" s="13">
        <f>Weekly!F170</f>
        <v>0</v>
      </c>
      <c r="E1032" s="13" t="str">
        <f t="shared" si="139"/>
        <v/>
      </c>
      <c r="F1032" s="13" t="str">
        <f t="shared" si="142"/>
        <v/>
      </c>
      <c r="G1032" s="13" t="str">
        <f t="shared" si="140"/>
        <v/>
      </c>
      <c r="H1032" s="13" t="str">
        <f t="shared" si="141"/>
        <v/>
      </c>
      <c r="I1032" s="14" t="str">
        <f t="array" ref="I1032">IF(getRGB1(Weekly!F170)="FFFF00","초방","재방")</f>
        <v>재방</v>
      </c>
    </row>
    <row r="1033" spans="1:9" ht="11.25" customHeight="1" x14ac:dyDescent="0.3">
      <c r="A1033" s="10" t="str">
        <f t="shared" si="138"/>
        <v/>
      </c>
      <c r="B1033" s="11">
        <f>Weekly!$F$3</f>
        <v>45918</v>
      </c>
      <c r="C1033" s="12">
        <v>0.57986111111111105</v>
      </c>
      <c r="D1033" s="13">
        <f>Weekly!F171</f>
        <v>0</v>
      </c>
      <c r="E1033" s="13" t="str">
        <f t="shared" si="139"/>
        <v/>
      </c>
      <c r="F1033" s="13" t="str">
        <f t="shared" si="142"/>
        <v/>
      </c>
      <c r="G1033" s="13" t="str">
        <f t="shared" si="140"/>
        <v/>
      </c>
      <c r="H1033" s="13" t="str">
        <f t="shared" si="141"/>
        <v/>
      </c>
      <c r="I1033" s="14" t="str">
        <f t="array" ref="I1033">IF(getRGB1(Weekly!F171)="FFFF00","초방","재방")</f>
        <v>재방</v>
      </c>
    </row>
    <row r="1034" spans="1:9" ht="11.25" customHeight="1" x14ac:dyDescent="0.3">
      <c r="A1034" s="10">
        <f t="shared" si="138"/>
        <v>45918.583333333336</v>
      </c>
      <c r="B1034" s="11">
        <f>Weekly!$F$3</f>
        <v>45918</v>
      </c>
      <c r="C1034" s="12">
        <v>0.58333333333333304</v>
      </c>
      <c r="D1034" s="13" t="str">
        <f>Weekly!F172</f>
        <v>특집 2026 지방선거_서울특별시의회 생생중계_상임위
&lt;18</v>
      </c>
      <c r="E1034" s="13" t="str">
        <f t="shared" si="139"/>
        <v>특집 2026 지방선거_서울특별시의회 생생중계_상임위</v>
      </c>
      <c r="F1034" s="13">
        <f t="shared" si="142"/>
        <v>18</v>
      </c>
      <c r="G1034" s="13" t="str">
        <f t="shared" si="140"/>
        <v/>
      </c>
      <c r="H1034" s="13" t="str">
        <f t="shared" si="141"/>
        <v/>
      </c>
      <c r="I1034" s="14" t="str">
        <f t="array" ref="I1034">IF(getRGB1(Weekly!F172)="FFFF00","초방","재방")</f>
        <v>초방</v>
      </c>
    </row>
    <row r="1035" spans="1:9" ht="11.25" customHeight="1" x14ac:dyDescent="0.3">
      <c r="A1035" s="10" t="str">
        <f t="shared" si="138"/>
        <v/>
      </c>
      <c r="B1035" s="11">
        <f>Weekly!$F$3</f>
        <v>45918</v>
      </c>
      <c r="C1035" s="12">
        <v>0.58680555555555503</v>
      </c>
      <c r="D1035" s="13">
        <f>Weekly!F173</f>
        <v>0</v>
      </c>
      <c r="E1035" s="13" t="str">
        <f t="shared" si="139"/>
        <v/>
      </c>
      <c r="F1035" s="13" t="str">
        <f t="shared" si="142"/>
        <v/>
      </c>
      <c r="G1035" s="13" t="str">
        <f t="shared" si="140"/>
        <v/>
      </c>
      <c r="H1035" s="13" t="str">
        <f t="shared" si="141"/>
        <v/>
      </c>
      <c r="I1035" s="14" t="str">
        <f t="array" ref="I1035">IF(getRGB1(Weekly!F173)="FFFF00","초방","재방")</f>
        <v>초방</v>
      </c>
    </row>
    <row r="1036" spans="1:9" ht="11.25" customHeight="1" x14ac:dyDescent="0.3">
      <c r="A1036" s="10" t="str">
        <f t="shared" si="138"/>
        <v/>
      </c>
      <c r="B1036" s="11">
        <f>Weekly!$F$3</f>
        <v>45918</v>
      </c>
      <c r="C1036" s="12">
        <v>0.59027777777777801</v>
      </c>
      <c r="D1036" s="13">
        <f>Weekly!F174</f>
        <v>0</v>
      </c>
      <c r="E1036" s="13" t="str">
        <f t="shared" si="139"/>
        <v/>
      </c>
      <c r="F1036" s="13" t="str">
        <f t="shared" si="142"/>
        <v/>
      </c>
      <c r="G1036" s="13" t="str">
        <f t="shared" si="140"/>
        <v/>
      </c>
      <c r="H1036" s="13" t="str">
        <f t="shared" si="141"/>
        <v/>
      </c>
      <c r="I1036" s="14" t="str">
        <f t="array" ref="I1036">IF(getRGB1(Weekly!F174)="FFFF00","초방","재방")</f>
        <v>초방</v>
      </c>
    </row>
    <row r="1037" spans="1:9" ht="11.25" customHeight="1" x14ac:dyDescent="0.3">
      <c r="A1037" s="10" t="str">
        <f t="shared" si="138"/>
        <v/>
      </c>
      <c r="B1037" s="11">
        <f>Weekly!$F$3</f>
        <v>45918</v>
      </c>
      <c r="C1037" s="12">
        <v>0.59375</v>
      </c>
      <c r="D1037" s="13">
        <f>Weekly!F175</f>
        <v>0</v>
      </c>
      <c r="E1037" s="13" t="str">
        <f t="shared" si="139"/>
        <v/>
      </c>
      <c r="F1037" s="13" t="str">
        <f t="shared" si="142"/>
        <v/>
      </c>
      <c r="G1037" s="13" t="str">
        <f t="shared" si="140"/>
        <v/>
      </c>
      <c r="H1037" s="13" t="str">
        <f t="shared" si="141"/>
        <v/>
      </c>
      <c r="I1037" s="14" t="str">
        <f t="array" ref="I1037">IF(getRGB1(Weekly!F175)="FFFF00","초방","재방")</f>
        <v>초방</v>
      </c>
    </row>
    <row r="1038" spans="1:9" ht="11.25" customHeight="1" x14ac:dyDescent="0.3">
      <c r="A1038" s="10" t="str">
        <f t="shared" si="138"/>
        <v/>
      </c>
      <c r="B1038" s="11">
        <f>Weekly!$F$3</f>
        <v>45918</v>
      </c>
      <c r="C1038" s="12">
        <v>0.59722222222222199</v>
      </c>
      <c r="D1038" s="13">
        <f>Weekly!F176</f>
        <v>0</v>
      </c>
      <c r="E1038" s="13" t="str">
        <f t="shared" si="139"/>
        <v/>
      </c>
      <c r="F1038" s="13" t="str">
        <f t="shared" si="142"/>
        <v/>
      </c>
      <c r="G1038" s="13" t="str">
        <f t="shared" si="140"/>
        <v/>
      </c>
      <c r="H1038" s="13" t="str">
        <f t="shared" si="141"/>
        <v/>
      </c>
      <c r="I1038" s="14" t="str">
        <f t="array" ref="I1038">IF(getRGB1(Weekly!F176)="FFFF00","초방","재방")</f>
        <v>초방</v>
      </c>
    </row>
    <row r="1039" spans="1:9" ht="11.25" customHeight="1" x14ac:dyDescent="0.3">
      <c r="A1039" s="10" t="str">
        <f t="shared" si="138"/>
        <v/>
      </c>
      <c r="B1039" s="11">
        <f>Weekly!$F$3</f>
        <v>45918</v>
      </c>
      <c r="C1039" s="12">
        <v>0.60069444444444398</v>
      </c>
      <c r="D1039" s="13">
        <f>Weekly!F177</f>
        <v>0</v>
      </c>
      <c r="E1039" s="13" t="str">
        <f t="shared" si="139"/>
        <v/>
      </c>
      <c r="F1039" s="13" t="str">
        <f t="shared" si="142"/>
        <v/>
      </c>
      <c r="G1039" s="13" t="str">
        <f t="shared" si="140"/>
        <v/>
      </c>
      <c r="H1039" s="13" t="str">
        <f t="shared" si="141"/>
        <v/>
      </c>
      <c r="I1039" s="14" t="str">
        <f t="array" ref="I1039">IF(getRGB1(Weekly!F177)="FFFF00","초방","재방")</f>
        <v>초방</v>
      </c>
    </row>
    <row r="1040" spans="1:9" ht="11.25" customHeight="1" x14ac:dyDescent="0.3">
      <c r="A1040" s="10" t="str">
        <f t="shared" si="138"/>
        <v/>
      </c>
      <c r="B1040" s="11">
        <f>Weekly!$F$3</f>
        <v>45918</v>
      </c>
      <c r="C1040" s="12">
        <v>0.60416666666666696</v>
      </c>
      <c r="D1040" s="13">
        <f>Weekly!F178</f>
        <v>0</v>
      </c>
      <c r="E1040" s="13" t="str">
        <f t="shared" si="139"/>
        <v/>
      </c>
      <c r="F1040" s="13" t="str">
        <f t="shared" si="142"/>
        <v/>
      </c>
      <c r="G1040" s="13" t="str">
        <f t="shared" si="140"/>
        <v/>
      </c>
      <c r="H1040" s="13" t="str">
        <f t="shared" si="141"/>
        <v/>
      </c>
      <c r="I1040" s="14" t="str">
        <f t="array" ref="I1040">IF(getRGB1(Weekly!F178)="FFFF00","초방","재방")</f>
        <v>초방</v>
      </c>
    </row>
    <row r="1041" spans="1:9" ht="11.25" customHeight="1" x14ac:dyDescent="0.3">
      <c r="A1041" s="10" t="str">
        <f t="shared" si="138"/>
        <v/>
      </c>
      <c r="B1041" s="11">
        <f>Weekly!$F$3</f>
        <v>45918</v>
      </c>
      <c r="C1041" s="12">
        <v>0.60763888888888895</v>
      </c>
      <c r="D1041" s="13">
        <f>Weekly!F179</f>
        <v>0</v>
      </c>
      <c r="E1041" s="13" t="str">
        <f t="shared" si="139"/>
        <v/>
      </c>
      <c r="F1041" s="13" t="str">
        <f t="shared" si="142"/>
        <v/>
      </c>
      <c r="G1041" s="13" t="str">
        <f t="shared" si="140"/>
        <v/>
      </c>
      <c r="H1041" s="13" t="str">
        <f t="shared" si="141"/>
        <v/>
      </c>
      <c r="I1041" s="14" t="str">
        <f t="array" ref="I1041">IF(getRGB1(Weekly!F179)="FFFF00","초방","재방")</f>
        <v>초방</v>
      </c>
    </row>
    <row r="1042" spans="1:9" ht="11.25" customHeight="1" x14ac:dyDescent="0.3">
      <c r="A1042" s="10" t="str">
        <f t="shared" si="138"/>
        <v/>
      </c>
      <c r="B1042" s="11">
        <f>Weekly!$F$3</f>
        <v>45918</v>
      </c>
      <c r="C1042" s="12">
        <v>0.61111111111111105</v>
      </c>
      <c r="D1042" s="13">
        <f>Weekly!F180</f>
        <v>0</v>
      </c>
      <c r="E1042" s="13" t="str">
        <f t="shared" si="139"/>
        <v/>
      </c>
      <c r="F1042" s="13" t="str">
        <f t="shared" si="142"/>
        <v/>
      </c>
      <c r="G1042" s="13" t="str">
        <f t="shared" si="140"/>
        <v/>
      </c>
      <c r="H1042" s="13" t="str">
        <f t="shared" si="141"/>
        <v/>
      </c>
      <c r="I1042" s="14" t="str">
        <f t="array" ref="I1042">IF(getRGB1(Weekly!F180)="FFFF00","초방","재방")</f>
        <v>초방</v>
      </c>
    </row>
    <row r="1043" spans="1:9" ht="11.25" customHeight="1" x14ac:dyDescent="0.3">
      <c r="A1043" s="10" t="str">
        <f t="shared" si="138"/>
        <v/>
      </c>
      <c r="B1043" s="11">
        <f>Weekly!$F$3</f>
        <v>45918</v>
      </c>
      <c r="C1043" s="12">
        <v>0.61458333333333304</v>
      </c>
      <c r="D1043" s="13">
        <f>Weekly!F181</f>
        <v>0</v>
      </c>
      <c r="E1043" s="13" t="str">
        <f t="shared" si="139"/>
        <v/>
      </c>
      <c r="F1043" s="13" t="str">
        <f t="shared" si="142"/>
        <v/>
      </c>
      <c r="G1043" s="13" t="str">
        <f t="shared" si="140"/>
        <v/>
      </c>
      <c r="H1043" s="13" t="str">
        <f t="shared" si="141"/>
        <v/>
      </c>
      <c r="I1043" s="14" t="str">
        <f t="array" ref="I1043">IF(getRGB1(Weekly!F181)="FFFF00","초방","재방")</f>
        <v>초방</v>
      </c>
    </row>
    <row r="1044" spans="1:9" ht="11.25" customHeight="1" x14ac:dyDescent="0.3">
      <c r="A1044" s="10" t="str">
        <f t="shared" si="138"/>
        <v/>
      </c>
      <c r="B1044" s="11">
        <f>Weekly!$F$3</f>
        <v>45918</v>
      </c>
      <c r="C1044" s="12">
        <v>0.61805555555555503</v>
      </c>
      <c r="D1044" s="13">
        <f>Weekly!F182</f>
        <v>0</v>
      </c>
      <c r="E1044" s="13" t="str">
        <f t="shared" si="139"/>
        <v/>
      </c>
      <c r="F1044" s="13" t="str">
        <f t="shared" si="142"/>
        <v/>
      </c>
      <c r="G1044" s="13" t="str">
        <f t="shared" si="140"/>
        <v/>
      </c>
      <c r="H1044" s="13" t="str">
        <f t="shared" si="141"/>
        <v/>
      </c>
      <c r="I1044" s="14" t="str">
        <f t="array" ref="I1044">IF(getRGB1(Weekly!F182)="FFFF00","초방","재방")</f>
        <v>초방</v>
      </c>
    </row>
    <row r="1045" spans="1:9" ht="11.25" customHeight="1" x14ac:dyDescent="0.3">
      <c r="A1045" s="10" t="str">
        <f t="shared" si="138"/>
        <v/>
      </c>
      <c r="B1045" s="11">
        <f>Weekly!$F$3</f>
        <v>45918</v>
      </c>
      <c r="C1045" s="12">
        <v>0.62152777777777801</v>
      </c>
      <c r="D1045" s="13">
        <f>Weekly!F183</f>
        <v>0</v>
      </c>
      <c r="E1045" s="13" t="str">
        <f t="shared" si="139"/>
        <v/>
      </c>
      <c r="F1045" s="13" t="str">
        <f t="shared" si="142"/>
        <v/>
      </c>
      <c r="G1045" s="13" t="str">
        <f t="shared" si="140"/>
        <v/>
      </c>
      <c r="H1045" s="13" t="str">
        <f t="shared" si="141"/>
        <v/>
      </c>
      <c r="I1045" s="14" t="str">
        <f t="array" ref="I1045">IF(getRGB1(Weekly!F183)="FFFF00","초방","재방")</f>
        <v>초방</v>
      </c>
    </row>
    <row r="1046" spans="1:9" ht="11.25" customHeight="1" x14ac:dyDescent="0.3">
      <c r="A1046" s="10">
        <f t="shared" si="138"/>
        <v>45918.625</v>
      </c>
      <c r="B1046" s="11">
        <f>Weekly!$F$3</f>
        <v>45918</v>
      </c>
      <c r="C1046" s="12">
        <v>0.625</v>
      </c>
      <c r="D1046" s="13" t="str">
        <f>Weekly!F184</f>
        <v>행복무지개
&lt;31</v>
      </c>
      <c r="E1046" s="13" t="str">
        <f t="shared" si="139"/>
        <v>행복무지개</v>
      </c>
      <c r="F1046" s="13">
        <f t="shared" si="142"/>
        <v>31</v>
      </c>
      <c r="G1046" s="13" t="str">
        <f t="shared" si="140"/>
        <v/>
      </c>
      <c r="H1046" s="13" t="str">
        <f t="shared" si="141"/>
        <v/>
      </c>
      <c r="I1046" s="14" t="str">
        <f t="array" ref="I1046">IF(getRGB1(Weekly!F184)="FFFF00","초방","재방")</f>
        <v>재방</v>
      </c>
    </row>
    <row r="1047" spans="1:9" ht="11.25" customHeight="1" x14ac:dyDescent="0.3">
      <c r="A1047" s="10" t="str">
        <f t="shared" si="138"/>
        <v/>
      </c>
      <c r="B1047" s="11">
        <f>Weekly!$F$3</f>
        <v>45918</v>
      </c>
      <c r="C1047" s="12">
        <v>0.62847222222222199</v>
      </c>
      <c r="D1047" s="13">
        <f>Weekly!F185</f>
        <v>0</v>
      </c>
      <c r="E1047" s="13" t="str">
        <f t="shared" si="139"/>
        <v/>
      </c>
      <c r="F1047" s="13" t="str">
        <f t="shared" si="142"/>
        <v/>
      </c>
      <c r="G1047" s="13" t="str">
        <f t="shared" si="140"/>
        <v/>
      </c>
      <c r="H1047" s="13" t="str">
        <f t="shared" si="141"/>
        <v/>
      </c>
      <c r="I1047" s="14" t="str">
        <f t="array" ref="I1047">IF(getRGB1(Weekly!F185)="FFFF00","초방","재방")</f>
        <v>재방</v>
      </c>
    </row>
    <row r="1048" spans="1:9" ht="11.25" customHeight="1" x14ac:dyDescent="0.3">
      <c r="A1048" s="10" t="str">
        <f t="shared" si="138"/>
        <v/>
      </c>
      <c r="B1048" s="11">
        <f>Weekly!$F$3</f>
        <v>45918</v>
      </c>
      <c r="C1048" s="12">
        <v>0.63194444444444398</v>
      </c>
      <c r="D1048" s="13">
        <f>Weekly!F186</f>
        <v>0</v>
      </c>
      <c r="E1048" s="13" t="str">
        <f t="shared" si="139"/>
        <v/>
      </c>
      <c r="F1048" s="13" t="str">
        <f t="shared" si="142"/>
        <v/>
      </c>
      <c r="G1048" s="13" t="str">
        <f t="shared" si="140"/>
        <v/>
      </c>
      <c r="H1048" s="13" t="str">
        <f t="shared" si="141"/>
        <v/>
      </c>
      <c r="I1048" s="14" t="str">
        <f t="array" ref="I1048">IF(getRGB1(Weekly!F186)="FFFF00","초방","재방")</f>
        <v>재방</v>
      </c>
    </row>
    <row r="1049" spans="1:9" ht="11.25" customHeight="1" x14ac:dyDescent="0.3">
      <c r="A1049" s="10" t="str">
        <f t="shared" si="138"/>
        <v/>
      </c>
      <c r="B1049" s="11">
        <f>Weekly!$F$3</f>
        <v>45918</v>
      </c>
      <c r="C1049" s="12">
        <v>0.63541666666666696</v>
      </c>
      <c r="D1049" s="13">
        <f>Weekly!F187</f>
        <v>0</v>
      </c>
      <c r="E1049" s="13" t="str">
        <f t="shared" si="139"/>
        <v/>
      </c>
      <c r="F1049" s="13" t="str">
        <f t="shared" si="142"/>
        <v/>
      </c>
      <c r="G1049" s="13" t="str">
        <f t="shared" si="140"/>
        <v/>
      </c>
      <c r="H1049" s="13" t="str">
        <f t="shared" si="141"/>
        <v/>
      </c>
      <c r="I1049" s="14" t="str">
        <f t="array" ref="I1049">IF(getRGB1(Weekly!F187)="FFFF00","초방","재방")</f>
        <v>재방</v>
      </c>
    </row>
    <row r="1050" spans="1:9" ht="11.25" customHeight="1" x14ac:dyDescent="0.3">
      <c r="A1050" s="10" t="str">
        <f t="shared" si="138"/>
        <v/>
      </c>
      <c r="B1050" s="11">
        <f>Weekly!$F$3</f>
        <v>45918</v>
      </c>
      <c r="C1050" s="12">
        <v>0.63888888888888895</v>
      </c>
      <c r="D1050" s="13">
        <f>Weekly!F188</f>
        <v>0</v>
      </c>
      <c r="E1050" s="13" t="str">
        <f t="shared" si="139"/>
        <v/>
      </c>
      <c r="F1050" s="13" t="str">
        <f t="shared" si="142"/>
        <v/>
      </c>
      <c r="G1050" s="13" t="str">
        <f t="shared" si="140"/>
        <v/>
      </c>
      <c r="H1050" s="13" t="str">
        <f t="shared" si="141"/>
        <v/>
      </c>
      <c r="I1050" s="14" t="str">
        <f t="array" ref="I1050">IF(getRGB1(Weekly!F188)="FFFF00","초방","재방")</f>
        <v>재방</v>
      </c>
    </row>
    <row r="1051" spans="1:9" ht="11.25" customHeight="1" x14ac:dyDescent="0.3">
      <c r="A1051" s="10" t="str">
        <f t="shared" si="138"/>
        <v/>
      </c>
      <c r="B1051" s="11">
        <f>Weekly!$F$3</f>
        <v>45918</v>
      </c>
      <c r="C1051" s="12">
        <v>0.64236111111111105</v>
      </c>
      <c r="D1051" s="13">
        <f>Weekly!F189</f>
        <v>0</v>
      </c>
      <c r="E1051" s="13" t="str">
        <f t="shared" si="139"/>
        <v/>
      </c>
      <c r="F1051" s="13" t="str">
        <f t="shared" si="142"/>
        <v/>
      </c>
      <c r="G1051" s="13" t="str">
        <f t="shared" si="140"/>
        <v/>
      </c>
      <c r="H1051" s="13" t="str">
        <f t="shared" si="141"/>
        <v/>
      </c>
      <c r="I1051" s="14" t="str">
        <f t="array" ref="I1051">IF(getRGB1(Weekly!F189)="FFFF00","초방","재방")</f>
        <v>재방</v>
      </c>
    </row>
    <row r="1052" spans="1:9" ht="11.25" customHeight="1" x14ac:dyDescent="0.3">
      <c r="A1052" s="10" t="str">
        <f t="shared" si="138"/>
        <v/>
      </c>
      <c r="B1052" s="11">
        <f>Weekly!$F$3</f>
        <v>45918</v>
      </c>
      <c r="C1052" s="12">
        <v>0.64583333333333304</v>
      </c>
      <c r="D1052" s="13">
        <f>Weekly!F190</f>
        <v>0</v>
      </c>
      <c r="E1052" s="13" t="str">
        <f t="shared" si="139"/>
        <v/>
      </c>
      <c r="F1052" s="13" t="str">
        <f t="shared" si="142"/>
        <v/>
      </c>
      <c r="G1052" s="13" t="str">
        <f t="shared" si="140"/>
        <v/>
      </c>
      <c r="H1052" s="13" t="str">
        <f t="shared" si="141"/>
        <v/>
      </c>
      <c r="I1052" s="14" t="str">
        <f t="array" ref="I1052">IF(getRGB1(Weekly!F190)="FFFF00","초방","재방")</f>
        <v>재방</v>
      </c>
    </row>
    <row r="1053" spans="1:9" ht="11.25" customHeight="1" x14ac:dyDescent="0.3">
      <c r="A1053" s="10" t="str">
        <f t="shared" si="138"/>
        <v/>
      </c>
      <c r="B1053" s="11">
        <f>Weekly!$F$3</f>
        <v>45918</v>
      </c>
      <c r="C1053" s="12">
        <v>0.64930555555555503</v>
      </c>
      <c r="D1053" s="13">
        <f>Weekly!F191</f>
        <v>0</v>
      </c>
      <c r="E1053" s="13" t="str">
        <f t="shared" si="139"/>
        <v/>
      </c>
      <c r="F1053" s="13" t="str">
        <f t="shared" si="142"/>
        <v/>
      </c>
      <c r="G1053" s="13" t="str">
        <f t="shared" si="140"/>
        <v/>
      </c>
      <c r="H1053" s="13" t="str">
        <f t="shared" si="141"/>
        <v/>
      </c>
      <c r="I1053" s="14" t="str">
        <f t="array" ref="I1053">IF(getRGB1(Weekly!F191)="FFFF00","초방","재방")</f>
        <v>재방</v>
      </c>
    </row>
    <row r="1054" spans="1:9" ht="11.25" customHeight="1" x14ac:dyDescent="0.3">
      <c r="A1054" s="10" t="str">
        <f t="shared" si="138"/>
        <v/>
      </c>
      <c r="B1054" s="11">
        <f>Weekly!$F$3</f>
        <v>45918</v>
      </c>
      <c r="C1054" s="12">
        <v>0.65277777777777801</v>
      </c>
      <c r="D1054" s="13">
        <f>Weekly!F192</f>
        <v>0</v>
      </c>
      <c r="E1054" s="13" t="str">
        <f t="shared" si="139"/>
        <v/>
      </c>
      <c r="F1054" s="13" t="str">
        <f t="shared" si="142"/>
        <v/>
      </c>
      <c r="G1054" s="13" t="str">
        <f t="shared" si="140"/>
        <v/>
      </c>
      <c r="H1054" s="13" t="str">
        <f t="shared" si="141"/>
        <v/>
      </c>
      <c r="I1054" s="14" t="str">
        <f t="array" ref="I1054">IF(getRGB1(Weekly!F192)="FFFF00","초방","재방")</f>
        <v>재방</v>
      </c>
    </row>
    <row r="1055" spans="1:9" ht="11.25" customHeight="1" x14ac:dyDescent="0.3">
      <c r="A1055" s="10" t="str">
        <f t="shared" si="138"/>
        <v/>
      </c>
      <c r="B1055" s="11">
        <f>Weekly!$F$3</f>
        <v>45918</v>
      </c>
      <c r="C1055" s="12">
        <v>0.65625</v>
      </c>
      <c r="D1055" s="13">
        <f>Weekly!F193</f>
        <v>0</v>
      </c>
      <c r="E1055" s="13" t="str">
        <f t="shared" si="139"/>
        <v/>
      </c>
      <c r="F1055" s="13" t="str">
        <f t="shared" si="142"/>
        <v/>
      </c>
      <c r="G1055" s="13" t="str">
        <f t="shared" si="140"/>
        <v/>
      </c>
      <c r="H1055" s="13" t="str">
        <f t="shared" si="141"/>
        <v/>
      </c>
      <c r="I1055" s="14" t="str">
        <f t="array" ref="I1055">IF(getRGB1(Weekly!F193)="FFFF00","초방","재방")</f>
        <v>재방</v>
      </c>
    </row>
    <row r="1056" spans="1:9" ht="11.25" customHeight="1" x14ac:dyDescent="0.3">
      <c r="A1056" s="10" t="str">
        <f t="shared" si="138"/>
        <v/>
      </c>
      <c r="B1056" s="11">
        <f>Weekly!$F$3</f>
        <v>45918</v>
      </c>
      <c r="C1056" s="12">
        <v>0.65972222222222199</v>
      </c>
      <c r="D1056" s="13">
        <f>Weekly!F194</f>
        <v>0</v>
      </c>
      <c r="E1056" s="13" t="str">
        <f t="shared" si="139"/>
        <v/>
      </c>
      <c r="F1056" s="13" t="str">
        <f t="shared" si="142"/>
        <v/>
      </c>
      <c r="G1056" s="13" t="str">
        <f t="shared" si="140"/>
        <v/>
      </c>
      <c r="H1056" s="13" t="str">
        <f t="shared" si="141"/>
        <v/>
      </c>
      <c r="I1056" s="14" t="str">
        <f t="array" ref="I1056">IF(getRGB1(Weekly!F194)="FFFF00","초방","재방")</f>
        <v>재방</v>
      </c>
    </row>
    <row r="1057" spans="1:9" ht="11.25" customHeight="1" x14ac:dyDescent="0.3">
      <c r="A1057" s="10" t="str">
        <f t="shared" si="138"/>
        <v/>
      </c>
      <c r="B1057" s="11">
        <f>Weekly!$F$3</f>
        <v>45918</v>
      </c>
      <c r="C1057" s="12">
        <v>0.66319444444444398</v>
      </c>
      <c r="D1057" s="13">
        <f>Weekly!F195</f>
        <v>0</v>
      </c>
      <c r="E1057" s="13" t="str">
        <f t="shared" si="139"/>
        <v/>
      </c>
      <c r="F1057" s="13" t="str">
        <f t="shared" si="142"/>
        <v/>
      </c>
      <c r="G1057" s="13" t="str">
        <f t="shared" si="140"/>
        <v/>
      </c>
      <c r="H1057" s="13" t="str">
        <f t="shared" si="141"/>
        <v/>
      </c>
      <c r="I1057" s="14" t="str">
        <f t="array" ref="I1057">IF(getRGB1(Weekly!F195)="FFFF00","초방","재방")</f>
        <v>재방</v>
      </c>
    </row>
    <row r="1058" spans="1:9" ht="11.25" customHeight="1" x14ac:dyDescent="0.3">
      <c r="A1058" s="10">
        <f t="shared" si="138"/>
        <v>45918.666666666664</v>
      </c>
      <c r="B1058" s="11">
        <f>Weekly!$F$3</f>
        <v>45918</v>
      </c>
      <c r="C1058" s="12">
        <v>0.66666666666666696</v>
      </c>
      <c r="D1058" s="13" t="str">
        <f>Weekly!F196</f>
        <v xml:space="preserve"> NEWS4
&lt;64</v>
      </c>
      <c r="E1058" s="13" t="str">
        <f t="shared" si="139"/>
        <v>NEWS4</v>
      </c>
      <c r="F1058" s="13">
        <f t="shared" si="142"/>
        <v>64</v>
      </c>
      <c r="G1058" s="13" t="str">
        <f t="shared" si="140"/>
        <v/>
      </c>
      <c r="H1058" s="13" t="str">
        <f t="shared" si="141"/>
        <v/>
      </c>
      <c r="I1058" s="14" t="str">
        <f t="array" ref="I1058">IF(getRGB1(Weekly!F196)="FFFF00","초방","재방")</f>
        <v>재방</v>
      </c>
    </row>
    <row r="1059" spans="1:9" ht="11.25" customHeight="1" x14ac:dyDescent="0.3">
      <c r="A1059" s="10" t="str">
        <f t="shared" si="138"/>
        <v/>
      </c>
      <c r="B1059" s="11">
        <f>Weekly!$F$3</f>
        <v>45918</v>
      </c>
      <c r="C1059" s="12">
        <v>0.67013888888888895</v>
      </c>
      <c r="D1059" s="13">
        <f>Weekly!F197</f>
        <v>0</v>
      </c>
      <c r="E1059" s="13" t="str">
        <f t="shared" si="139"/>
        <v/>
      </c>
      <c r="F1059" s="13" t="str">
        <f t="shared" si="142"/>
        <v/>
      </c>
      <c r="G1059" s="13" t="str">
        <f t="shared" si="140"/>
        <v/>
      </c>
      <c r="H1059" s="13" t="str">
        <f t="shared" si="141"/>
        <v/>
      </c>
      <c r="I1059" s="14" t="str">
        <f t="array" ref="I1059">IF(getRGB1(Weekly!F197)="FFFF00","초방","재방")</f>
        <v>재방</v>
      </c>
    </row>
    <row r="1060" spans="1:9" ht="11.25" customHeight="1" x14ac:dyDescent="0.3">
      <c r="A1060" s="10" t="str">
        <f t="shared" si="138"/>
        <v/>
      </c>
      <c r="B1060" s="11">
        <f>Weekly!$F$3</f>
        <v>45918</v>
      </c>
      <c r="C1060" s="12">
        <v>0.67361111111111105</v>
      </c>
      <c r="D1060" s="13">
        <f>Weekly!F198</f>
        <v>0</v>
      </c>
      <c r="E1060" s="13" t="str">
        <f t="shared" si="139"/>
        <v/>
      </c>
      <c r="F1060" s="13" t="str">
        <f t="shared" si="142"/>
        <v/>
      </c>
      <c r="G1060" s="13" t="str">
        <f t="shared" si="140"/>
        <v/>
      </c>
      <c r="H1060" s="13" t="str">
        <f t="shared" si="141"/>
        <v/>
      </c>
      <c r="I1060" s="14" t="str">
        <f t="array" ref="I1060">IF(getRGB1(Weekly!F198)="FFFF00","초방","재방")</f>
        <v>재방</v>
      </c>
    </row>
    <row r="1061" spans="1:9" ht="11.25" customHeight="1" x14ac:dyDescent="0.3">
      <c r="A1061" s="10" t="str">
        <f t="shared" si="138"/>
        <v/>
      </c>
      <c r="B1061" s="11">
        <f>Weekly!$F$3</f>
        <v>45918</v>
      </c>
      <c r="C1061" s="12">
        <v>0.67708333333333304</v>
      </c>
      <c r="D1061" s="13">
        <f>Weekly!F199</f>
        <v>0</v>
      </c>
      <c r="E1061" s="13" t="str">
        <f t="shared" si="139"/>
        <v/>
      </c>
      <c r="F1061" s="13" t="str">
        <f t="shared" si="142"/>
        <v/>
      </c>
      <c r="G1061" s="13" t="str">
        <f t="shared" si="140"/>
        <v/>
      </c>
      <c r="H1061" s="13" t="str">
        <f t="shared" si="141"/>
        <v/>
      </c>
      <c r="I1061" s="14" t="str">
        <f t="array" ref="I1061">IF(getRGB1(Weekly!F199)="FFFF00","초방","재방")</f>
        <v>재방</v>
      </c>
    </row>
    <row r="1062" spans="1:9" ht="11.25" customHeight="1" x14ac:dyDescent="0.3">
      <c r="A1062" s="10" t="str">
        <f t="shared" si="138"/>
        <v/>
      </c>
      <c r="B1062" s="11">
        <f>Weekly!$F$3</f>
        <v>45918</v>
      </c>
      <c r="C1062" s="12">
        <v>0.68055555555555503</v>
      </c>
      <c r="D1062" s="13">
        <f>Weekly!F200</f>
        <v>0</v>
      </c>
      <c r="E1062" s="13" t="str">
        <f t="shared" si="139"/>
        <v/>
      </c>
      <c r="F1062" s="13" t="str">
        <f t="shared" si="142"/>
        <v/>
      </c>
      <c r="G1062" s="13" t="str">
        <f t="shared" si="140"/>
        <v/>
      </c>
      <c r="H1062" s="13" t="str">
        <f t="shared" si="141"/>
        <v/>
      </c>
      <c r="I1062" s="14" t="str">
        <f t="array" ref="I1062">IF(getRGB1(Weekly!F200)="FFFF00","초방","재방")</f>
        <v>재방</v>
      </c>
    </row>
    <row r="1063" spans="1:9" ht="11.25" customHeight="1" x14ac:dyDescent="0.3">
      <c r="A1063" s="10" t="str">
        <f t="shared" si="138"/>
        <v/>
      </c>
      <c r="B1063" s="11">
        <f>Weekly!$F$3</f>
        <v>45918</v>
      </c>
      <c r="C1063" s="12">
        <v>0.68402777777777801</v>
      </c>
      <c r="D1063" s="13">
        <f>Weekly!F201</f>
        <v>0</v>
      </c>
      <c r="E1063" s="13" t="str">
        <f t="shared" si="139"/>
        <v/>
      </c>
      <c r="F1063" s="13" t="str">
        <f t="shared" si="142"/>
        <v/>
      </c>
      <c r="G1063" s="13" t="str">
        <f t="shared" si="140"/>
        <v/>
      </c>
      <c r="H1063" s="13" t="str">
        <f t="shared" si="141"/>
        <v/>
      </c>
      <c r="I1063" s="14" t="str">
        <f t="array" ref="I1063">IF(getRGB1(Weekly!F201)="FFFF00","초방","재방")</f>
        <v>재방</v>
      </c>
    </row>
    <row r="1064" spans="1:9" ht="11.25" customHeight="1" x14ac:dyDescent="0.3">
      <c r="A1064" s="10">
        <f t="shared" si="138"/>
        <v>45918.6875</v>
      </c>
      <c r="B1064" s="11">
        <f>Weekly!$F$3</f>
        <v>45918</v>
      </c>
      <c r="C1064" s="12">
        <v>0.6875</v>
      </c>
      <c r="D1064" s="13" t="str">
        <f>Weekly!F202</f>
        <v>호남, 호남人
&lt;133</v>
      </c>
      <c r="E1064" s="13" t="str">
        <f t="shared" si="139"/>
        <v>호남, 호남人</v>
      </c>
      <c r="F1064" s="13">
        <f t="shared" si="142"/>
        <v>133</v>
      </c>
      <c r="G1064" s="13" t="str">
        <f t="shared" si="140"/>
        <v/>
      </c>
      <c r="H1064" s="13" t="str">
        <f t="shared" si="141"/>
        <v/>
      </c>
      <c r="I1064" s="14" t="str">
        <f t="array" ref="I1064">IF(getRGB1(Weekly!F202)="FFFF00","초방","재방")</f>
        <v>재방</v>
      </c>
    </row>
    <row r="1065" spans="1:9" ht="11.25" customHeight="1" x14ac:dyDescent="0.3">
      <c r="A1065" s="10" t="str">
        <f t="shared" si="138"/>
        <v/>
      </c>
      <c r="B1065" s="11">
        <f>Weekly!$F$3</f>
        <v>45918</v>
      </c>
      <c r="C1065" s="12">
        <v>0.69097222222222199</v>
      </c>
      <c r="D1065" s="13">
        <f>Weekly!F203</f>
        <v>0</v>
      </c>
      <c r="E1065" s="13" t="str">
        <f t="shared" si="139"/>
        <v/>
      </c>
      <c r="F1065" s="13" t="str">
        <f t="shared" si="142"/>
        <v/>
      </c>
      <c r="G1065" s="13" t="str">
        <f t="shared" si="140"/>
        <v/>
      </c>
      <c r="H1065" s="13" t="str">
        <f t="shared" si="141"/>
        <v/>
      </c>
      <c r="I1065" s="14" t="str">
        <f t="array" ref="I1065">IF(getRGB1(Weekly!F203)="FFFF00","초방","재방")</f>
        <v>재방</v>
      </c>
    </row>
    <row r="1066" spans="1:9" ht="11.25" customHeight="1" x14ac:dyDescent="0.3">
      <c r="A1066" s="10" t="str">
        <f t="shared" si="138"/>
        <v/>
      </c>
      <c r="B1066" s="11">
        <f>Weekly!$F$3</f>
        <v>45918</v>
      </c>
      <c r="C1066" s="12">
        <v>0.69444444444444398</v>
      </c>
      <c r="D1066" s="13">
        <f>Weekly!F204</f>
        <v>0</v>
      </c>
      <c r="E1066" s="13" t="str">
        <f t="shared" si="139"/>
        <v/>
      </c>
      <c r="F1066" s="13" t="str">
        <f t="shared" si="142"/>
        <v/>
      </c>
      <c r="G1066" s="13" t="str">
        <f t="shared" si="140"/>
        <v/>
      </c>
      <c r="H1066" s="13" t="str">
        <f t="shared" si="141"/>
        <v/>
      </c>
      <c r="I1066" s="14" t="str">
        <f t="array" ref="I1066">IF(getRGB1(Weekly!F204)="FFFF00","초방","재방")</f>
        <v>재방</v>
      </c>
    </row>
    <row r="1067" spans="1:9" ht="11.25" customHeight="1" x14ac:dyDescent="0.3">
      <c r="A1067" s="10" t="str">
        <f t="shared" si="138"/>
        <v/>
      </c>
      <c r="B1067" s="11">
        <f>Weekly!$F$3</f>
        <v>45918</v>
      </c>
      <c r="C1067" s="12">
        <v>0.69791666666666696</v>
      </c>
      <c r="D1067" s="13">
        <f>Weekly!F205</f>
        <v>0</v>
      </c>
      <c r="E1067" s="13" t="str">
        <f t="shared" si="139"/>
        <v/>
      </c>
      <c r="F1067" s="13" t="str">
        <f t="shared" si="142"/>
        <v/>
      </c>
      <c r="G1067" s="13" t="str">
        <f t="shared" si="140"/>
        <v/>
      </c>
      <c r="H1067" s="13" t="str">
        <f t="shared" si="141"/>
        <v/>
      </c>
      <c r="I1067" s="14" t="str">
        <f t="array" ref="I1067">IF(getRGB1(Weekly!F205)="FFFF00","초방","재방")</f>
        <v>재방</v>
      </c>
    </row>
    <row r="1068" spans="1:9" ht="11.25" customHeight="1" x14ac:dyDescent="0.3">
      <c r="A1068" s="10" t="str">
        <f t="shared" si="138"/>
        <v/>
      </c>
      <c r="B1068" s="11">
        <f>Weekly!$F$3</f>
        <v>45918</v>
      </c>
      <c r="C1068" s="12">
        <v>0.70138888888888895</v>
      </c>
      <c r="D1068" s="13">
        <f>Weekly!F206</f>
        <v>0</v>
      </c>
      <c r="E1068" s="13" t="str">
        <f t="shared" si="139"/>
        <v/>
      </c>
      <c r="F1068" s="13" t="str">
        <f t="shared" si="142"/>
        <v/>
      </c>
      <c r="G1068" s="13" t="str">
        <f t="shared" si="140"/>
        <v/>
      </c>
      <c r="H1068" s="13" t="str">
        <f t="shared" si="141"/>
        <v/>
      </c>
      <c r="I1068" s="14" t="str">
        <f t="array" ref="I1068">IF(getRGB1(Weekly!F206)="FFFF00","초방","재방")</f>
        <v>재방</v>
      </c>
    </row>
    <row r="1069" spans="1:9" ht="11.25" customHeight="1" x14ac:dyDescent="0.3">
      <c r="A1069" s="10" t="str">
        <f t="shared" si="138"/>
        <v/>
      </c>
      <c r="B1069" s="11">
        <f>Weekly!$F$3</f>
        <v>45918</v>
      </c>
      <c r="C1069" s="12">
        <v>0.70486111111111105</v>
      </c>
      <c r="D1069" s="13">
        <f>Weekly!F207</f>
        <v>0</v>
      </c>
      <c r="E1069" s="13" t="str">
        <f t="shared" si="139"/>
        <v/>
      </c>
      <c r="F1069" s="13" t="str">
        <f t="shared" si="142"/>
        <v/>
      </c>
      <c r="G1069" s="13" t="str">
        <f t="shared" si="140"/>
        <v/>
      </c>
      <c r="H1069" s="13" t="str">
        <f t="shared" si="141"/>
        <v/>
      </c>
      <c r="I1069" s="14" t="str">
        <f t="array" ref="I1069">IF(getRGB1(Weekly!F207)="FFFF00","초방","재방")</f>
        <v>재방</v>
      </c>
    </row>
    <row r="1070" spans="1:9" ht="11.25" customHeight="1" x14ac:dyDescent="0.3">
      <c r="A1070" s="10">
        <f t="shared" si="138"/>
        <v>45918.708333333336</v>
      </c>
      <c r="B1070" s="11">
        <f>Weekly!$F$3</f>
        <v>45918</v>
      </c>
      <c r="C1070" s="12">
        <v>0.70833333333333304</v>
      </c>
      <c r="D1070" s="13" t="str">
        <f>Weekly!F208</f>
        <v>특집 2026 지방선거_경기도의회 생생중계_상임위
&lt;17</v>
      </c>
      <c r="E1070" s="13" t="str">
        <f t="shared" si="139"/>
        <v>특집 2026 지방선거_경기도의회 생생중계_상임위</v>
      </c>
      <c r="F1070" s="13">
        <f t="shared" si="142"/>
        <v>17</v>
      </c>
      <c r="G1070" s="13" t="str">
        <f t="shared" si="140"/>
        <v/>
      </c>
      <c r="H1070" s="13" t="str">
        <f t="shared" si="141"/>
        <v/>
      </c>
      <c r="I1070" s="14" t="str">
        <f t="array" ref="I1070">IF(getRGB1(Weekly!F208)="FFFF00","초방","재방")</f>
        <v>초방</v>
      </c>
    </row>
    <row r="1071" spans="1:9" ht="11.25" customHeight="1" x14ac:dyDescent="0.3">
      <c r="A1071" s="10" t="str">
        <f t="shared" si="138"/>
        <v/>
      </c>
      <c r="B1071" s="11">
        <f>Weekly!$F$3</f>
        <v>45918</v>
      </c>
      <c r="C1071" s="12">
        <v>0.71180555555555503</v>
      </c>
      <c r="D1071" s="13">
        <f>Weekly!F209</f>
        <v>0</v>
      </c>
      <c r="E1071" s="13" t="str">
        <f t="shared" si="139"/>
        <v/>
      </c>
      <c r="F1071" s="13" t="str">
        <f t="shared" si="142"/>
        <v/>
      </c>
      <c r="G1071" s="13" t="str">
        <f t="shared" si="140"/>
        <v/>
      </c>
      <c r="H1071" s="13" t="str">
        <f t="shared" si="141"/>
        <v/>
      </c>
      <c r="I1071" s="14" t="str">
        <f t="array" ref="I1071">IF(getRGB1(Weekly!F209)="FFFF00","초방","재방")</f>
        <v>초방</v>
      </c>
    </row>
    <row r="1072" spans="1:9" ht="11.25" customHeight="1" x14ac:dyDescent="0.3">
      <c r="A1072" s="10" t="str">
        <f t="shared" si="138"/>
        <v/>
      </c>
      <c r="B1072" s="11">
        <f>Weekly!$F$3</f>
        <v>45918</v>
      </c>
      <c r="C1072" s="12">
        <v>0.71527777777777801</v>
      </c>
      <c r="D1072" s="13">
        <f>Weekly!F210</f>
        <v>0</v>
      </c>
      <c r="E1072" s="13" t="str">
        <f t="shared" si="139"/>
        <v/>
      </c>
      <c r="F1072" s="13" t="str">
        <f t="shared" si="142"/>
        <v/>
      </c>
      <c r="G1072" s="13" t="str">
        <f t="shared" si="140"/>
        <v/>
      </c>
      <c r="H1072" s="13" t="str">
        <f t="shared" si="141"/>
        <v/>
      </c>
      <c r="I1072" s="14" t="str">
        <f t="array" ref="I1072">IF(getRGB1(Weekly!F210)="FFFF00","초방","재방")</f>
        <v>초방</v>
      </c>
    </row>
    <row r="1073" spans="1:9" ht="11.25" customHeight="1" x14ac:dyDescent="0.3">
      <c r="A1073" s="10" t="str">
        <f t="shared" si="138"/>
        <v/>
      </c>
      <c r="B1073" s="11">
        <f>Weekly!$F$3</f>
        <v>45918</v>
      </c>
      <c r="C1073" s="12">
        <v>0.71875</v>
      </c>
      <c r="D1073" s="13">
        <f>Weekly!F211</f>
        <v>0</v>
      </c>
      <c r="E1073" s="13" t="str">
        <f t="shared" si="139"/>
        <v/>
      </c>
      <c r="F1073" s="13" t="str">
        <f t="shared" si="142"/>
        <v/>
      </c>
      <c r="G1073" s="13" t="str">
        <f t="shared" si="140"/>
        <v/>
      </c>
      <c r="H1073" s="13" t="str">
        <f t="shared" si="141"/>
        <v/>
      </c>
      <c r="I1073" s="14" t="str">
        <f t="array" ref="I1073">IF(getRGB1(Weekly!F211)="FFFF00","초방","재방")</f>
        <v>초방</v>
      </c>
    </row>
    <row r="1074" spans="1:9" ht="11.25" customHeight="1" x14ac:dyDescent="0.3">
      <c r="A1074" s="10" t="str">
        <f t="shared" si="138"/>
        <v/>
      </c>
      <c r="B1074" s="11">
        <f>Weekly!$F$3</f>
        <v>45918</v>
      </c>
      <c r="C1074" s="12">
        <v>0.72222222222222199</v>
      </c>
      <c r="D1074" s="13">
        <f>Weekly!F212</f>
        <v>0</v>
      </c>
      <c r="E1074" s="13" t="str">
        <f t="shared" si="139"/>
        <v/>
      </c>
      <c r="F1074" s="13" t="str">
        <f t="shared" si="142"/>
        <v/>
      </c>
      <c r="G1074" s="13" t="str">
        <f t="shared" si="140"/>
        <v/>
      </c>
      <c r="H1074" s="13" t="str">
        <f t="shared" si="141"/>
        <v/>
      </c>
      <c r="I1074" s="14" t="str">
        <f t="array" ref="I1074">IF(getRGB1(Weekly!F212)="FFFF00","초방","재방")</f>
        <v>초방</v>
      </c>
    </row>
    <row r="1075" spans="1:9" ht="11.25" customHeight="1" x14ac:dyDescent="0.3">
      <c r="A1075" s="10" t="str">
        <f t="shared" si="138"/>
        <v/>
      </c>
      <c r="B1075" s="11">
        <f>Weekly!$F$3</f>
        <v>45918</v>
      </c>
      <c r="C1075" s="12">
        <v>0.72569444444444398</v>
      </c>
      <c r="D1075" s="13">
        <f>Weekly!F213</f>
        <v>0</v>
      </c>
      <c r="E1075" s="13" t="str">
        <f t="shared" si="139"/>
        <v/>
      </c>
      <c r="F1075" s="13" t="str">
        <f t="shared" si="142"/>
        <v/>
      </c>
      <c r="G1075" s="13" t="str">
        <f t="shared" si="140"/>
        <v/>
      </c>
      <c r="H1075" s="13" t="str">
        <f t="shared" si="141"/>
        <v/>
      </c>
      <c r="I1075" s="14" t="str">
        <f t="array" ref="I1075">IF(getRGB1(Weekly!F213)="FFFF00","초방","재방")</f>
        <v>초방</v>
      </c>
    </row>
    <row r="1076" spans="1:9" ht="11.25" customHeight="1" x14ac:dyDescent="0.3">
      <c r="A1076" s="10" t="str">
        <f t="shared" si="138"/>
        <v/>
      </c>
      <c r="B1076" s="11">
        <f>Weekly!$F$3</f>
        <v>45918</v>
      </c>
      <c r="C1076" s="12">
        <v>0.72916666666666696</v>
      </c>
      <c r="D1076" s="13">
        <f>Weekly!F214</f>
        <v>0</v>
      </c>
      <c r="E1076" s="13" t="str">
        <f t="shared" si="139"/>
        <v/>
      </c>
      <c r="F1076" s="13" t="str">
        <f t="shared" si="142"/>
        <v/>
      </c>
      <c r="G1076" s="13" t="str">
        <f t="shared" si="140"/>
        <v/>
      </c>
      <c r="H1076" s="13" t="str">
        <f t="shared" si="141"/>
        <v/>
      </c>
      <c r="I1076" s="14" t="str">
        <f t="array" ref="I1076">IF(getRGB1(Weekly!F214)="FFFF00","초방","재방")</f>
        <v>초방</v>
      </c>
    </row>
    <row r="1077" spans="1:9" ht="11.25" customHeight="1" x14ac:dyDescent="0.3">
      <c r="A1077" s="10" t="str">
        <f t="shared" si="138"/>
        <v/>
      </c>
      <c r="B1077" s="11">
        <f>Weekly!$F$3</f>
        <v>45918</v>
      </c>
      <c r="C1077" s="12">
        <v>0.73263888888888895</v>
      </c>
      <c r="D1077" s="13">
        <f>Weekly!F215</f>
        <v>0</v>
      </c>
      <c r="E1077" s="13" t="str">
        <f t="shared" si="139"/>
        <v/>
      </c>
      <c r="F1077" s="13" t="str">
        <f t="shared" si="142"/>
        <v/>
      </c>
      <c r="G1077" s="13" t="str">
        <f t="shared" si="140"/>
        <v/>
      </c>
      <c r="H1077" s="13" t="str">
        <f t="shared" si="141"/>
        <v/>
      </c>
      <c r="I1077" s="14" t="str">
        <f t="array" ref="I1077">IF(getRGB1(Weekly!F215)="FFFF00","초방","재방")</f>
        <v>초방</v>
      </c>
    </row>
    <row r="1078" spans="1:9" ht="11.25" customHeight="1" x14ac:dyDescent="0.3">
      <c r="A1078" s="10" t="str">
        <f t="shared" si="138"/>
        <v/>
      </c>
      <c r="B1078" s="11">
        <f>Weekly!$F$3</f>
        <v>45918</v>
      </c>
      <c r="C1078" s="12">
        <v>0.73611111111111105</v>
      </c>
      <c r="D1078" s="13">
        <f>Weekly!F216</f>
        <v>0</v>
      </c>
      <c r="E1078" s="13" t="str">
        <f t="shared" si="139"/>
        <v/>
      </c>
      <c r="F1078" s="13" t="str">
        <f t="shared" si="142"/>
        <v/>
      </c>
      <c r="G1078" s="13" t="str">
        <f t="shared" si="140"/>
        <v/>
      </c>
      <c r="H1078" s="13" t="str">
        <f t="shared" si="141"/>
        <v/>
      </c>
      <c r="I1078" s="14" t="str">
        <f t="array" ref="I1078">IF(getRGB1(Weekly!F216)="FFFF00","초방","재방")</f>
        <v>초방</v>
      </c>
    </row>
    <row r="1079" spans="1:9" ht="11.25" customHeight="1" x14ac:dyDescent="0.3">
      <c r="A1079" s="10" t="str">
        <f t="shared" si="138"/>
        <v/>
      </c>
      <c r="B1079" s="11">
        <f>Weekly!$F$3</f>
        <v>45918</v>
      </c>
      <c r="C1079" s="12">
        <v>0.73958333333333304</v>
      </c>
      <c r="D1079" s="13">
        <f>Weekly!F217</f>
        <v>0</v>
      </c>
      <c r="E1079" s="13" t="str">
        <f t="shared" si="139"/>
        <v/>
      </c>
      <c r="F1079" s="13" t="str">
        <f t="shared" si="142"/>
        <v/>
      </c>
      <c r="G1079" s="13" t="str">
        <f t="shared" si="140"/>
        <v/>
      </c>
      <c r="H1079" s="13" t="str">
        <f t="shared" si="141"/>
        <v/>
      </c>
      <c r="I1079" s="14" t="str">
        <f t="array" ref="I1079">IF(getRGB1(Weekly!F217)="FFFF00","초방","재방")</f>
        <v>초방</v>
      </c>
    </row>
    <row r="1080" spans="1:9" ht="11.25" customHeight="1" x14ac:dyDescent="0.3">
      <c r="A1080" s="10" t="str">
        <f t="shared" si="138"/>
        <v/>
      </c>
      <c r="B1080" s="11">
        <f>Weekly!$F$3</f>
        <v>45918</v>
      </c>
      <c r="C1080" s="12">
        <v>0.74305555555555503</v>
      </c>
      <c r="D1080" s="13">
        <f>Weekly!F218</f>
        <v>0</v>
      </c>
      <c r="E1080" s="13" t="str">
        <f t="shared" si="139"/>
        <v/>
      </c>
      <c r="F1080" s="13" t="str">
        <f t="shared" si="142"/>
        <v/>
      </c>
      <c r="G1080" s="13" t="str">
        <f t="shared" si="140"/>
        <v/>
      </c>
      <c r="H1080" s="13" t="str">
        <f t="shared" si="141"/>
        <v/>
      </c>
      <c r="I1080" s="14" t="str">
        <f t="array" ref="I1080">IF(getRGB1(Weekly!F218)="FFFF00","초방","재방")</f>
        <v>초방</v>
      </c>
    </row>
    <row r="1081" spans="1:9" ht="11.25" customHeight="1" x14ac:dyDescent="0.3">
      <c r="A1081" s="10" t="str">
        <f t="shared" si="138"/>
        <v/>
      </c>
      <c r="B1081" s="11">
        <f>Weekly!$F$3</f>
        <v>45918</v>
      </c>
      <c r="C1081" s="12">
        <v>0.74652777777777801</v>
      </c>
      <c r="D1081" s="13">
        <f>Weekly!F219</f>
        <v>0</v>
      </c>
      <c r="E1081" s="13" t="str">
        <f t="shared" si="139"/>
        <v/>
      </c>
      <c r="F1081" s="13" t="str">
        <f t="shared" si="142"/>
        <v/>
      </c>
      <c r="G1081" s="13" t="str">
        <f t="shared" si="140"/>
        <v/>
      </c>
      <c r="H1081" s="13" t="str">
        <f t="shared" si="141"/>
        <v/>
      </c>
      <c r="I1081" s="14" t="str">
        <f t="array" ref="I1081">IF(getRGB1(Weekly!F219)="FFFF00","초방","재방")</f>
        <v>초방</v>
      </c>
    </row>
    <row r="1082" spans="1:9" ht="11.25" customHeight="1" x14ac:dyDescent="0.3">
      <c r="A1082" s="10">
        <f t="shared" si="138"/>
        <v>45918.75</v>
      </c>
      <c r="B1082" s="11">
        <f>Weekly!$F$3</f>
        <v>45918</v>
      </c>
      <c r="C1082" s="12">
        <v>0.75</v>
      </c>
      <c r="D1082" s="13" t="str">
        <f>Weekly!F220</f>
        <v>눈에 띄는 그녀들 시즌5
&lt;08</v>
      </c>
      <c r="E1082" s="13" t="str">
        <f t="shared" si="139"/>
        <v>눈에 띄는 그녀들 시즌5</v>
      </c>
      <c r="F1082" s="13">
        <f t="shared" si="142"/>
        <v>8</v>
      </c>
      <c r="G1082" s="13" t="str">
        <f t="shared" si="140"/>
        <v/>
      </c>
      <c r="H1082" s="13" t="str">
        <f t="shared" si="141"/>
        <v/>
      </c>
      <c r="I1082" s="14" t="str">
        <f t="array" ref="I1082">IF(getRGB1(Weekly!F220)="FFFF00","초방","재방")</f>
        <v>초방</v>
      </c>
    </row>
    <row r="1083" spans="1:9" ht="11.25" customHeight="1" x14ac:dyDescent="0.3">
      <c r="A1083" s="10" t="str">
        <f t="shared" si="138"/>
        <v/>
      </c>
      <c r="B1083" s="11">
        <f>Weekly!$F$3</f>
        <v>45918</v>
      </c>
      <c r="C1083" s="12">
        <v>0.75347222222222199</v>
      </c>
      <c r="D1083" s="13">
        <f>Weekly!F221</f>
        <v>0</v>
      </c>
      <c r="E1083" s="13" t="str">
        <f t="shared" si="139"/>
        <v/>
      </c>
      <c r="F1083" s="13" t="str">
        <f t="shared" si="142"/>
        <v/>
      </c>
      <c r="G1083" s="13" t="str">
        <f t="shared" si="140"/>
        <v/>
      </c>
      <c r="H1083" s="13" t="str">
        <f t="shared" si="141"/>
        <v/>
      </c>
      <c r="I1083" s="14" t="str">
        <f t="array" ref="I1083">IF(getRGB1(Weekly!F221)="FFFF00","초방","재방")</f>
        <v>초방</v>
      </c>
    </row>
    <row r="1084" spans="1:9" ht="11.25" customHeight="1" x14ac:dyDescent="0.3">
      <c r="A1084" s="10" t="str">
        <f t="shared" si="138"/>
        <v/>
      </c>
      <c r="B1084" s="11">
        <f>Weekly!$F$3</f>
        <v>45918</v>
      </c>
      <c r="C1084" s="12">
        <v>0.75694444444444398</v>
      </c>
      <c r="D1084" s="13">
        <f>Weekly!F222</f>
        <v>0</v>
      </c>
      <c r="E1084" s="13" t="str">
        <f t="shared" si="139"/>
        <v/>
      </c>
      <c r="F1084" s="13" t="str">
        <f t="shared" si="142"/>
        <v/>
      </c>
      <c r="G1084" s="13" t="str">
        <f t="shared" si="140"/>
        <v/>
      </c>
      <c r="H1084" s="13" t="str">
        <f t="shared" si="141"/>
        <v/>
      </c>
      <c r="I1084" s="14" t="str">
        <f t="array" ref="I1084">IF(getRGB1(Weekly!F222)="FFFF00","초방","재방")</f>
        <v>초방</v>
      </c>
    </row>
    <row r="1085" spans="1:9" ht="11.25" customHeight="1" x14ac:dyDescent="0.3">
      <c r="A1085" s="10" t="str">
        <f t="shared" si="138"/>
        <v/>
      </c>
      <c r="B1085" s="11">
        <f>Weekly!$F$3</f>
        <v>45918</v>
      </c>
      <c r="C1085" s="12">
        <v>0.76041666666666696</v>
      </c>
      <c r="D1085" s="13">
        <f>Weekly!F223</f>
        <v>0</v>
      </c>
      <c r="E1085" s="13" t="str">
        <f t="shared" si="139"/>
        <v/>
      </c>
      <c r="F1085" s="13" t="str">
        <f t="shared" si="142"/>
        <v/>
      </c>
      <c r="G1085" s="13" t="str">
        <f t="shared" si="140"/>
        <v/>
      </c>
      <c r="H1085" s="13" t="str">
        <f t="shared" si="141"/>
        <v/>
      </c>
      <c r="I1085" s="14" t="str">
        <f t="array" ref="I1085">IF(getRGB1(Weekly!F223)="FFFF00","초방","재방")</f>
        <v>초방</v>
      </c>
    </row>
    <row r="1086" spans="1:9" ht="11.25" customHeight="1" x14ac:dyDescent="0.3">
      <c r="A1086" s="10" t="str">
        <f t="shared" si="138"/>
        <v/>
      </c>
      <c r="B1086" s="11">
        <f>Weekly!$F$3</f>
        <v>45918</v>
      </c>
      <c r="C1086" s="12">
        <v>0.76388888888888895</v>
      </c>
      <c r="D1086" s="13">
        <f>Weekly!F224</f>
        <v>0</v>
      </c>
      <c r="E1086" s="13" t="str">
        <f t="shared" si="139"/>
        <v/>
      </c>
      <c r="F1086" s="13" t="str">
        <f t="shared" si="142"/>
        <v/>
      </c>
      <c r="G1086" s="13" t="str">
        <f t="shared" si="140"/>
        <v/>
      </c>
      <c r="H1086" s="13" t="str">
        <f t="shared" si="141"/>
        <v/>
      </c>
      <c r="I1086" s="14" t="str">
        <f t="array" ref="I1086">IF(getRGB1(Weekly!F224)="FFFF00","초방","재방")</f>
        <v>초방</v>
      </c>
    </row>
    <row r="1087" spans="1:9" ht="11.25" customHeight="1" x14ac:dyDescent="0.3">
      <c r="A1087" s="10" t="str">
        <f t="shared" si="138"/>
        <v/>
      </c>
      <c r="B1087" s="11">
        <f>Weekly!$F$3</f>
        <v>45918</v>
      </c>
      <c r="C1087" s="12">
        <v>0.76736111111111105</v>
      </c>
      <c r="D1087" s="13">
        <f>Weekly!F225</f>
        <v>0</v>
      </c>
      <c r="E1087" s="13" t="str">
        <f t="shared" si="139"/>
        <v/>
      </c>
      <c r="F1087" s="13" t="str">
        <f t="shared" si="142"/>
        <v/>
      </c>
      <c r="G1087" s="13" t="str">
        <f t="shared" si="140"/>
        <v/>
      </c>
      <c r="H1087" s="13" t="str">
        <f t="shared" si="141"/>
        <v/>
      </c>
      <c r="I1087" s="14" t="str">
        <f t="array" ref="I1087">IF(getRGB1(Weekly!F225)="FFFF00","초방","재방")</f>
        <v>초방</v>
      </c>
    </row>
    <row r="1088" spans="1:9" ht="11.25" customHeight="1" x14ac:dyDescent="0.3">
      <c r="A1088" s="10">
        <f t="shared" si="138"/>
        <v>45918.770833333336</v>
      </c>
      <c r="B1088" s="11">
        <f>Weekly!$F$3</f>
        <v>45918</v>
      </c>
      <c r="C1088" s="12">
        <v>0.77083333333333304</v>
      </c>
      <c r="D1088" s="13" t="str">
        <f>Weekly!F226</f>
        <v>낭만살롱
&lt;08</v>
      </c>
      <c r="E1088" s="13" t="str">
        <f t="shared" si="139"/>
        <v>낭만살롱</v>
      </c>
      <c r="F1088" s="13">
        <f t="shared" si="142"/>
        <v>8</v>
      </c>
      <c r="G1088" s="13" t="str">
        <f t="shared" si="140"/>
        <v/>
      </c>
      <c r="H1088" s="13" t="str">
        <f t="shared" si="141"/>
        <v/>
      </c>
      <c r="I1088" s="14" t="str">
        <f t="array" ref="I1088">IF(getRGB1(Weekly!F226)="FFFF00","초방","재방")</f>
        <v>재방</v>
      </c>
    </row>
    <row r="1089" spans="1:9" ht="11.25" customHeight="1" x14ac:dyDescent="0.3">
      <c r="A1089" s="10" t="str">
        <f t="shared" si="138"/>
        <v/>
      </c>
      <c r="B1089" s="11">
        <f>Weekly!$F$3</f>
        <v>45918</v>
      </c>
      <c r="C1089" s="12">
        <v>0.77430555555555503</v>
      </c>
      <c r="D1089" s="13">
        <f>Weekly!F227</f>
        <v>0</v>
      </c>
      <c r="E1089" s="13" t="str">
        <f t="shared" si="139"/>
        <v/>
      </c>
      <c r="F1089" s="13" t="str">
        <f t="shared" si="142"/>
        <v/>
      </c>
      <c r="G1089" s="13" t="str">
        <f t="shared" si="140"/>
        <v/>
      </c>
      <c r="H1089" s="13" t="str">
        <f t="shared" si="141"/>
        <v/>
      </c>
      <c r="I1089" s="14" t="str">
        <f t="array" ref="I1089">IF(getRGB1(Weekly!F227)="FFFF00","초방","재방")</f>
        <v>재방</v>
      </c>
    </row>
    <row r="1090" spans="1:9" ht="11.25" customHeight="1" x14ac:dyDescent="0.3">
      <c r="A1090" s="10" t="str">
        <f t="shared" ref="A1090:A1153" si="143">IF(D1090&lt;&gt;0,B1090+C1090,"")</f>
        <v/>
      </c>
      <c r="B1090" s="11">
        <f>Weekly!$F$3</f>
        <v>45918</v>
      </c>
      <c r="C1090" s="12">
        <v>0.77777777777777801</v>
      </c>
      <c r="D1090" s="13">
        <f>Weekly!F228</f>
        <v>0</v>
      </c>
      <c r="E1090" s="13" t="str">
        <f t="shared" ref="E1090:E1153" si="144">IFERROR(SUBSTITUTE(SUBSTITUTE(TRIM(LEFT(D1090,FIND("&lt;",D1090)-1)),CHAR(10),""),"⑮ ",""),"")</f>
        <v/>
      </c>
      <c r="F1090" s="13" t="str">
        <f t="shared" si="142"/>
        <v/>
      </c>
      <c r="G1090" s="13" t="str">
        <f t="shared" ref="G1090:G1153" si="145">IFERROR(MID(D1090,FIND("&gt;",D1090)+1,10),"")</f>
        <v/>
      </c>
      <c r="H1090" s="13" t="str">
        <f t="shared" ref="H1090:H1153" si="146">IFERROR(VLOOKUP(LEFT(D1090,2),$W$1:$X$6,2,0),"")</f>
        <v/>
      </c>
      <c r="I1090" s="14" t="str">
        <f t="array" ref="I1090">IF(getRGB1(Weekly!F228)="FFFF00","초방","재방")</f>
        <v>재방</v>
      </c>
    </row>
    <row r="1091" spans="1:9" ht="11.25" customHeight="1" x14ac:dyDescent="0.3">
      <c r="A1091" s="10" t="str">
        <f t="shared" si="143"/>
        <v/>
      </c>
      <c r="B1091" s="11">
        <f>Weekly!$F$3</f>
        <v>45918</v>
      </c>
      <c r="C1091" s="12">
        <v>0.78125</v>
      </c>
      <c r="D1091" s="13">
        <f>Weekly!F229</f>
        <v>0</v>
      </c>
      <c r="E1091" s="13" t="str">
        <f t="shared" si="144"/>
        <v/>
      </c>
      <c r="F1091" s="13" t="str">
        <f t="shared" ref="F1091:F1154" si="147">IFERROR((MID(D1091,FIND("&lt;",D1091)+1,4))*1,"")</f>
        <v/>
      </c>
      <c r="G1091" s="13" t="str">
        <f t="shared" si="145"/>
        <v/>
      </c>
      <c r="H1091" s="13" t="str">
        <f t="shared" si="146"/>
        <v/>
      </c>
      <c r="I1091" s="14" t="str">
        <f t="array" ref="I1091">IF(getRGB1(Weekly!F229)="FFFF00","초방","재방")</f>
        <v>재방</v>
      </c>
    </row>
    <row r="1092" spans="1:9" ht="11.25" customHeight="1" x14ac:dyDescent="0.3">
      <c r="A1092" s="10" t="str">
        <f t="shared" si="143"/>
        <v/>
      </c>
      <c r="B1092" s="11">
        <f>Weekly!$F$3</f>
        <v>45918</v>
      </c>
      <c r="C1092" s="12">
        <v>0.78472222222222199</v>
      </c>
      <c r="D1092" s="13">
        <f>Weekly!F230</f>
        <v>0</v>
      </c>
      <c r="E1092" s="13" t="str">
        <f t="shared" si="144"/>
        <v/>
      </c>
      <c r="F1092" s="13" t="str">
        <f t="shared" si="147"/>
        <v/>
      </c>
      <c r="G1092" s="13" t="str">
        <f t="shared" si="145"/>
        <v/>
      </c>
      <c r="H1092" s="13" t="str">
        <f t="shared" si="146"/>
        <v/>
      </c>
      <c r="I1092" s="14" t="str">
        <f t="array" ref="I1092">IF(getRGB1(Weekly!F230)="FFFF00","초방","재방")</f>
        <v>재방</v>
      </c>
    </row>
    <row r="1093" spans="1:9" ht="11.25" customHeight="1" x14ac:dyDescent="0.3">
      <c r="A1093" s="10" t="str">
        <f t="shared" si="143"/>
        <v/>
      </c>
      <c r="B1093" s="11">
        <f>Weekly!$F$3</f>
        <v>45918</v>
      </c>
      <c r="C1093" s="12">
        <v>0.78819444444444398</v>
      </c>
      <c r="D1093" s="13">
        <f>Weekly!F231</f>
        <v>0</v>
      </c>
      <c r="E1093" s="13" t="str">
        <f t="shared" si="144"/>
        <v/>
      </c>
      <c r="F1093" s="13" t="str">
        <f t="shared" si="147"/>
        <v/>
      </c>
      <c r="G1093" s="13" t="str">
        <f t="shared" si="145"/>
        <v/>
      </c>
      <c r="H1093" s="13" t="str">
        <f t="shared" si="146"/>
        <v/>
      </c>
      <c r="I1093" s="14" t="str">
        <f t="array" ref="I1093">IF(getRGB1(Weekly!F231)="FFFF00","초방","재방")</f>
        <v>재방</v>
      </c>
    </row>
    <row r="1094" spans="1:9" ht="11.25" customHeight="1" x14ac:dyDescent="0.3">
      <c r="A1094" s="10">
        <f t="shared" si="143"/>
        <v>45918.791666666664</v>
      </c>
      <c r="B1094" s="11">
        <f>Weekly!$F$3</f>
        <v>45918</v>
      </c>
      <c r="C1094" s="12">
        <v>0.79166666666666696</v>
      </c>
      <c r="D1094" s="13" t="str">
        <f>Weekly!F232</f>
        <v>뉴스와이드
&lt;435</v>
      </c>
      <c r="E1094" s="13" t="str">
        <f t="shared" si="144"/>
        <v>뉴스와이드</v>
      </c>
      <c r="F1094" s="13">
        <f t="shared" si="147"/>
        <v>435</v>
      </c>
      <c r="G1094" s="13" t="str">
        <f t="shared" si="145"/>
        <v/>
      </c>
      <c r="H1094" s="13" t="str">
        <f t="shared" si="146"/>
        <v/>
      </c>
      <c r="I1094" s="14" t="str">
        <f t="array" ref="I1094">IF(getRGB1(Weekly!F232)="FFFF00","초방","재방")</f>
        <v>초방</v>
      </c>
    </row>
    <row r="1095" spans="1:9" ht="11.25" customHeight="1" x14ac:dyDescent="0.3">
      <c r="A1095" s="10" t="str">
        <f t="shared" si="143"/>
        <v/>
      </c>
      <c r="B1095" s="11">
        <f>Weekly!$F$3</f>
        <v>45918</v>
      </c>
      <c r="C1095" s="12">
        <v>0.79513888888888895</v>
      </c>
      <c r="D1095" s="13">
        <f>Weekly!F233</f>
        <v>0</v>
      </c>
      <c r="E1095" s="13" t="str">
        <f t="shared" si="144"/>
        <v/>
      </c>
      <c r="F1095" s="13" t="str">
        <f t="shared" si="147"/>
        <v/>
      </c>
      <c r="G1095" s="13" t="str">
        <f t="shared" si="145"/>
        <v/>
      </c>
      <c r="H1095" s="13" t="str">
        <f t="shared" si="146"/>
        <v/>
      </c>
      <c r="I1095" s="14" t="str">
        <f t="array" ref="I1095">IF(getRGB1(Weekly!F233)="FFFF00","초방","재방")</f>
        <v>초방</v>
      </c>
    </row>
    <row r="1096" spans="1:9" ht="11.25" customHeight="1" x14ac:dyDescent="0.3">
      <c r="A1096" s="10" t="str">
        <f t="shared" si="143"/>
        <v/>
      </c>
      <c r="B1096" s="11">
        <f>Weekly!$F$3</f>
        <v>45918</v>
      </c>
      <c r="C1096" s="12">
        <v>0.79861111111111105</v>
      </c>
      <c r="D1096" s="13">
        <f>Weekly!F234</f>
        <v>0</v>
      </c>
      <c r="E1096" s="13" t="str">
        <f t="shared" si="144"/>
        <v/>
      </c>
      <c r="F1096" s="13" t="str">
        <f t="shared" si="147"/>
        <v/>
      </c>
      <c r="G1096" s="13" t="str">
        <f t="shared" si="145"/>
        <v/>
      </c>
      <c r="H1096" s="13" t="str">
        <f t="shared" si="146"/>
        <v/>
      </c>
      <c r="I1096" s="14" t="str">
        <f t="array" ref="I1096">IF(getRGB1(Weekly!F234)="FFFF00","초방","재방")</f>
        <v>초방</v>
      </c>
    </row>
    <row r="1097" spans="1:9" ht="11.25" customHeight="1" x14ac:dyDescent="0.3">
      <c r="A1097" s="10" t="str">
        <f t="shared" si="143"/>
        <v/>
      </c>
      <c r="B1097" s="11">
        <f>Weekly!$F$3</f>
        <v>45918</v>
      </c>
      <c r="C1097" s="12">
        <v>0.80208333333333304</v>
      </c>
      <c r="D1097" s="13">
        <f>Weekly!F235</f>
        <v>0</v>
      </c>
      <c r="E1097" s="13" t="str">
        <f t="shared" si="144"/>
        <v/>
      </c>
      <c r="F1097" s="13" t="str">
        <f t="shared" si="147"/>
        <v/>
      </c>
      <c r="G1097" s="13" t="str">
        <f t="shared" si="145"/>
        <v/>
      </c>
      <c r="H1097" s="13" t="str">
        <f t="shared" si="146"/>
        <v/>
      </c>
      <c r="I1097" s="14" t="str">
        <f t="array" ref="I1097">IF(getRGB1(Weekly!F235)="FFFF00","초방","재방")</f>
        <v>초방</v>
      </c>
    </row>
    <row r="1098" spans="1:9" ht="11.25" customHeight="1" x14ac:dyDescent="0.3">
      <c r="A1098" s="10" t="str">
        <f t="shared" si="143"/>
        <v/>
      </c>
      <c r="B1098" s="11">
        <f>Weekly!$F$3</f>
        <v>45918</v>
      </c>
      <c r="C1098" s="12">
        <v>0.80555555555555503</v>
      </c>
      <c r="D1098" s="13">
        <f>Weekly!F236</f>
        <v>0</v>
      </c>
      <c r="E1098" s="13" t="str">
        <f t="shared" si="144"/>
        <v/>
      </c>
      <c r="F1098" s="13" t="str">
        <f t="shared" si="147"/>
        <v/>
      </c>
      <c r="G1098" s="13" t="str">
        <f t="shared" si="145"/>
        <v/>
      </c>
      <c r="H1098" s="13" t="str">
        <f t="shared" si="146"/>
        <v/>
      </c>
      <c r="I1098" s="14" t="str">
        <f t="array" ref="I1098">IF(getRGB1(Weekly!F236)="FFFF00","초방","재방")</f>
        <v>초방</v>
      </c>
    </row>
    <row r="1099" spans="1:9" ht="11.25" customHeight="1" x14ac:dyDescent="0.3">
      <c r="A1099" s="10" t="str">
        <f t="shared" si="143"/>
        <v/>
      </c>
      <c r="B1099" s="11">
        <f>Weekly!$F$3</f>
        <v>45918</v>
      </c>
      <c r="C1099" s="12">
        <v>0.80902777777777801</v>
      </c>
      <c r="D1099" s="13">
        <f>Weekly!F237</f>
        <v>0</v>
      </c>
      <c r="E1099" s="13" t="str">
        <f t="shared" si="144"/>
        <v/>
      </c>
      <c r="F1099" s="13" t="str">
        <f t="shared" si="147"/>
        <v/>
      </c>
      <c r="G1099" s="13" t="str">
        <f t="shared" si="145"/>
        <v/>
      </c>
      <c r="H1099" s="13" t="str">
        <f t="shared" si="146"/>
        <v/>
      </c>
      <c r="I1099" s="14" t="str">
        <f t="array" ref="I1099">IF(getRGB1(Weekly!F237)="FFFF00","초방","재방")</f>
        <v>초방</v>
      </c>
    </row>
    <row r="1100" spans="1:9" ht="11.25" customHeight="1" x14ac:dyDescent="0.3">
      <c r="A1100" s="10" t="str">
        <f t="shared" si="143"/>
        <v/>
      </c>
      <c r="B1100" s="11">
        <f>Weekly!$F$3</f>
        <v>45918</v>
      </c>
      <c r="C1100" s="12">
        <v>0.8125</v>
      </c>
      <c r="D1100" s="13">
        <f>Weekly!F238</f>
        <v>0</v>
      </c>
      <c r="E1100" s="13" t="str">
        <f t="shared" si="144"/>
        <v/>
      </c>
      <c r="F1100" s="13" t="str">
        <f t="shared" si="147"/>
        <v/>
      </c>
      <c r="G1100" s="13" t="str">
        <f t="shared" si="145"/>
        <v/>
      </c>
      <c r="H1100" s="13" t="str">
        <f t="shared" si="146"/>
        <v/>
      </c>
      <c r="I1100" s="14" t="str">
        <f t="array" ref="I1100">IF(getRGB1(Weekly!F238)="FFFF00","초방","재방")</f>
        <v>초방</v>
      </c>
    </row>
    <row r="1101" spans="1:9" ht="11.25" customHeight="1" x14ac:dyDescent="0.3">
      <c r="A1101" s="10" t="str">
        <f t="shared" si="143"/>
        <v/>
      </c>
      <c r="B1101" s="11">
        <f>Weekly!$F$3</f>
        <v>45918</v>
      </c>
      <c r="C1101" s="12">
        <v>0.81597222222222199</v>
      </c>
      <c r="D1101" s="13">
        <f>Weekly!F239</f>
        <v>0</v>
      </c>
      <c r="E1101" s="13" t="str">
        <f t="shared" si="144"/>
        <v/>
      </c>
      <c r="F1101" s="13" t="str">
        <f t="shared" si="147"/>
        <v/>
      </c>
      <c r="G1101" s="13" t="str">
        <f t="shared" si="145"/>
        <v/>
      </c>
      <c r="H1101" s="13" t="str">
        <f t="shared" si="146"/>
        <v/>
      </c>
      <c r="I1101" s="14" t="str">
        <f t="array" ref="I1101">IF(getRGB1(Weekly!F239)="FFFF00","초방","재방")</f>
        <v>초방</v>
      </c>
    </row>
    <row r="1102" spans="1:9" ht="11.25" customHeight="1" x14ac:dyDescent="0.3">
      <c r="A1102" s="10" t="str">
        <f t="shared" si="143"/>
        <v/>
      </c>
      <c r="B1102" s="11">
        <f>Weekly!$F$3</f>
        <v>45918</v>
      </c>
      <c r="C1102" s="12">
        <v>0.81944444444444398</v>
      </c>
      <c r="D1102" s="13">
        <f>Weekly!F240</f>
        <v>0</v>
      </c>
      <c r="E1102" s="13" t="str">
        <f t="shared" si="144"/>
        <v/>
      </c>
      <c r="F1102" s="13" t="str">
        <f t="shared" si="147"/>
        <v/>
      </c>
      <c r="G1102" s="13" t="str">
        <f t="shared" si="145"/>
        <v/>
      </c>
      <c r="H1102" s="13" t="str">
        <f t="shared" si="146"/>
        <v/>
      </c>
      <c r="I1102" s="14" t="str">
        <f t="array" ref="I1102">IF(getRGB1(Weekly!F240)="FFFF00","초방","재방")</f>
        <v>초방</v>
      </c>
    </row>
    <row r="1103" spans="1:9" ht="11.25" customHeight="1" x14ac:dyDescent="0.3">
      <c r="A1103" s="10" t="str">
        <f t="shared" si="143"/>
        <v/>
      </c>
      <c r="B1103" s="11">
        <f>Weekly!$F$3</f>
        <v>45918</v>
      </c>
      <c r="C1103" s="12">
        <v>0.82291666666666696</v>
      </c>
      <c r="D1103" s="13">
        <f>Weekly!F241</f>
        <v>0</v>
      </c>
      <c r="E1103" s="13" t="str">
        <f t="shared" si="144"/>
        <v/>
      </c>
      <c r="F1103" s="13" t="str">
        <f t="shared" si="147"/>
        <v/>
      </c>
      <c r="G1103" s="13" t="str">
        <f t="shared" si="145"/>
        <v/>
      </c>
      <c r="H1103" s="13" t="str">
        <f t="shared" si="146"/>
        <v/>
      </c>
      <c r="I1103" s="14" t="str">
        <f t="array" ref="I1103">IF(getRGB1(Weekly!F241)="FFFF00","초방","재방")</f>
        <v>초방</v>
      </c>
    </row>
    <row r="1104" spans="1:9" ht="11.25" customHeight="1" x14ac:dyDescent="0.3">
      <c r="A1104" s="10" t="str">
        <f t="shared" si="143"/>
        <v/>
      </c>
      <c r="B1104" s="11">
        <f>Weekly!$F$3</f>
        <v>45918</v>
      </c>
      <c r="C1104" s="12">
        <v>0.82638888888888895</v>
      </c>
      <c r="D1104" s="13">
        <f>Weekly!F242</f>
        <v>0</v>
      </c>
      <c r="E1104" s="13" t="str">
        <f t="shared" si="144"/>
        <v/>
      </c>
      <c r="F1104" s="13" t="str">
        <f t="shared" si="147"/>
        <v/>
      </c>
      <c r="G1104" s="13" t="str">
        <f t="shared" si="145"/>
        <v/>
      </c>
      <c r="H1104" s="13" t="str">
        <f t="shared" si="146"/>
        <v/>
      </c>
      <c r="I1104" s="14" t="str">
        <f t="array" ref="I1104">IF(getRGB1(Weekly!F242)="FFFF00","초방","재방")</f>
        <v>초방</v>
      </c>
    </row>
    <row r="1105" spans="1:9" ht="11.25" customHeight="1" x14ac:dyDescent="0.3">
      <c r="A1105" s="10" t="str">
        <f t="shared" si="143"/>
        <v/>
      </c>
      <c r="B1105" s="11">
        <f>Weekly!$F$3</f>
        <v>45918</v>
      </c>
      <c r="C1105" s="12">
        <v>0.82986111111111105</v>
      </c>
      <c r="D1105" s="13">
        <f>Weekly!F243</f>
        <v>0</v>
      </c>
      <c r="E1105" s="13" t="str">
        <f t="shared" si="144"/>
        <v/>
      </c>
      <c r="F1105" s="13" t="str">
        <f t="shared" si="147"/>
        <v/>
      </c>
      <c r="G1105" s="13" t="str">
        <f t="shared" si="145"/>
        <v/>
      </c>
      <c r="H1105" s="13" t="str">
        <f t="shared" si="146"/>
        <v/>
      </c>
      <c r="I1105" s="14" t="str">
        <f t="array" ref="I1105">IF(getRGB1(Weekly!F243)="FFFF00","초방","재방")</f>
        <v>초방</v>
      </c>
    </row>
    <row r="1106" spans="1:9" ht="11.25" customHeight="1" x14ac:dyDescent="0.3">
      <c r="A1106" s="10">
        <f t="shared" si="143"/>
        <v>45918.833333333336</v>
      </c>
      <c r="B1106" s="11">
        <f>Weekly!$F$3</f>
        <v>45918</v>
      </c>
      <c r="C1106" s="12">
        <v>0.83333333333333304</v>
      </c>
      <c r="D1106" s="13" t="str">
        <f>Weekly!F244</f>
        <v xml:space="preserve"> NEWSON
&lt;66</v>
      </c>
      <c r="E1106" s="13" t="str">
        <f t="shared" si="144"/>
        <v>NEWSON</v>
      </c>
      <c r="F1106" s="13">
        <f t="shared" si="147"/>
        <v>66</v>
      </c>
      <c r="G1106" s="13" t="str">
        <f t="shared" si="145"/>
        <v/>
      </c>
      <c r="H1106" s="13" t="str">
        <f t="shared" si="146"/>
        <v/>
      </c>
      <c r="I1106" s="14" t="str">
        <f t="array" ref="I1106">IF(getRGB1(Weekly!F244)="FFFF00","초방","재방")</f>
        <v>재방</v>
      </c>
    </row>
    <row r="1107" spans="1:9" ht="11.25" customHeight="1" x14ac:dyDescent="0.3">
      <c r="A1107" s="10" t="str">
        <f t="shared" si="143"/>
        <v/>
      </c>
      <c r="B1107" s="11">
        <f>Weekly!$F$3</f>
        <v>45918</v>
      </c>
      <c r="C1107" s="12">
        <v>0.83680555555555503</v>
      </c>
      <c r="D1107" s="13">
        <f>Weekly!F245</f>
        <v>0</v>
      </c>
      <c r="E1107" s="13" t="str">
        <f t="shared" si="144"/>
        <v/>
      </c>
      <c r="F1107" s="13" t="str">
        <f t="shared" si="147"/>
        <v/>
      </c>
      <c r="G1107" s="13" t="str">
        <f t="shared" si="145"/>
        <v/>
      </c>
      <c r="H1107" s="13" t="str">
        <f t="shared" si="146"/>
        <v/>
      </c>
      <c r="I1107" s="14" t="str">
        <f t="array" ref="I1107">IF(getRGB1(Weekly!F245)="FFFF00","초방","재방")</f>
        <v>재방</v>
      </c>
    </row>
    <row r="1108" spans="1:9" ht="11.25" customHeight="1" x14ac:dyDescent="0.3">
      <c r="A1108" s="10" t="str">
        <f t="shared" si="143"/>
        <v/>
      </c>
      <c r="B1108" s="11">
        <f>Weekly!$F$3</f>
        <v>45918</v>
      </c>
      <c r="C1108" s="12">
        <v>0.84027777777777801</v>
      </c>
      <c r="D1108" s="13">
        <f>Weekly!F246</f>
        <v>0</v>
      </c>
      <c r="E1108" s="13" t="str">
        <f t="shared" si="144"/>
        <v/>
      </c>
      <c r="F1108" s="13" t="str">
        <f t="shared" si="147"/>
        <v/>
      </c>
      <c r="G1108" s="13" t="str">
        <f t="shared" si="145"/>
        <v/>
      </c>
      <c r="H1108" s="13" t="str">
        <f t="shared" si="146"/>
        <v/>
      </c>
      <c r="I1108" s="14" t="str">
        <f t="array" ref="I1108">IF(getRGB1(Weekly!F246)="FFFF00","초방","재방")</f>
        <v>재방</v>
      </c>
    </row>
    <row r="1109" spans="1:9" ht="11.25" customHeight="1" x14ac:dyDescent="0.3">
      <c r="A1109" s="10" t="str">
        <f t="shared" si="143"/>
        <v/>
      </c>
      <c r="B1109" s="11">
        <f>Weekly!$F$3</f>
        <v>45918</v>
      </c>
      <c r="C1109" s="12">
        <v>0.84375</v>
      </c>
      <c r="D1109" s="13">
        <f>Weekly!F247</f>
        <v>0</v>
      </c>
      <c r="E1109" s="13" t="str">
        <f t="shared" si="144"/>
        <v/>
      </c>
      <c r="F1109" s="13" t="str">
        <f t="shared" si="147"/>
        <v/>
      </c>
      <c r="G1109" s="13" t="str">
        <f t="shared" si="145"/>
        <v/>
      </c>
      <c r="H1109" s="13" t="str">
        <f t="shared" si="146"/>
        <v/>
      </c>
      <c r="I1109" s="14" t="str">
        <f t="array" ref="I1109">IF(getRGB1(Weekly!F247)="FFFF00","초방","재방")</f>
        <v>재방</v>
      </c>
    </row>
    <row r="1110" spans="1:9" ht="11.25" customHeight="1" x14ac:dyDescent="0.3">
      <c r="A1110" s="10" t="str">
        <f t="shared" si="143"/>
        <v/>
      </c>
      <c r="B1110" s="11">
        <f>Weekly!$F$3</f>
        <v>45918</v>
      </c>
      <c r="C1110" s="12">
        <v>0.84722222222222199</v>
      </c>
      <c r="D1110" s="13">
        <f>Weekly!F248</f>
        <v>0</v>
      </c>
      <c r="E1110" s="13" t="str">
        <f t="shared" si="144"/>
        <v/>
      </c>
      <c r="F1110" s="13" t="str">
        <f t="shared" si="147"/>
        <v/>
      </c>
      <c r="G1110" s="13" t="str">
        <f t="shared" si="145"/>
        <v/>
      </c>
      <c r="H1110" s="13" t="str">
        <f t="shared" si="146"/>
        <v/>
      </c>
      <c r="I1110" s="14" t="str">
        <f t="array" ref="I1110">IF(getRGB1(Weekly!F248)="FFFF00","초방","재방")</f>
        <v>재방</v>
      </c>
    </row>
    <row r="1111" spans="1:9" ht="11.25" customHeight="1" x14ac:dyDescent="0.3">
      <c r="A1111" s="10" t="str">
        <f t="shared" si="143"/>
        <v/>
      </c>
      <c r="B1111" s="11">
        <f>Weekly!$F$3</f>
        <v>45918</v>
      </c>
      <c r="C1111" s="12">
        <v>0.85069444444444398</v>
      </c>
      <c r="D1111" s="13">
        <f>Weekly!F249</f>
        <v>0</v>
      </c>
      <c r="E1111" s="13" t="str">
        <f t="shared" si="144"/>
        <v/>
      </c>
      <c r="F1111" s="13" t="str">
        <f t="shared" si="147"/>
        <v/>
      </c>
      <c r="G1111" s="13" t="str">
        <f t="shared" si="145"/>
        <v/>
      </c>
      <c r="H1111" s="13" t="str">
        <f t="shared" si="146"/>
        <v/>
      </c>
      <c r="I1111" s="14" t="str">
        <f t="array" ref="I1111">IF(getRGB1(Weekly!F249)="FFFF00","초방","재방")</f>
        <v>재방</v>
      </c>
    </row>
    <row r="1112" spans="1:9" ht="11.25" customHeight="1" x14ac:dyDescent="0.3">
      <c r="A1112" s="10">
        <f t="shared" si="143"/>
        <v>45918.854166666664</v>
      </c>
      <c r="B1112" s="11">
        <f>Weekly!$F$3</f>
        <v>45918</v>
      </c>
      <c r="C1112" s="12">
        <v>0.85416666666666696</v>
      </c>
      <c r="D1112" s="13" t="str">
        <f>Weekly!F250</f>
        <v>우리동네 너튜브
&lt;07</v>
      </c>
      <c r="E1112" s="13" t="str">
        <f t="shared" si="144"/>
        <v>우리동네 너튜브</v>
      </c>
      <c r="F1112" s="13">
        <f t="shared" si="147"/>
        <v>7</v>
      </c>
      <c r="G1112" s="13" t="str">
        <f t="shared" si="145"/>
        <v/>
      </c>
      <c r="H1112" s="13" t="str">
        <f t="shared" si="146"/>
        <v/>
      </c>
      <c r="I1112" s="14" t="str">
        <f t="array" ref="I1112">IF(getRGB1(Weekly!F250)="FFFF00","초방","재방")</f>
        <v>재방</v>
      </c>
    </row>
    <row r="1113" spans="1:9" ht="11.25" customHeight="1" x14ac:dyDescent="0.3">
      <c r="A1113" s="10" t="str">
        <f t="shared" si="143"/>
        <v/>
      </c>
      <c r="B1113" s="11">
        <f>Weekly!$F$3</f>
        <v>45918</v>
      </c>
      <c r="C1113" s="12">
        <v>0.85763888888888895</v>
      </c>
      <c r="D1113" s="13">
        <f>Weekly!F251</f>
        <v>0</v>
      </c>
      <c r="E1113" s="13" t="str">
        <f t="shared" si="144"/>
        <v/>
      </c>
      <c r="F1113" s="13" t="str">
        <f t="shared" si="147"/>
        <v/>
      </c>
      <c r="G1113" s="13" t="str">
        <f t="shared" si="145"/>
        <v/>
      </c>
      <c r="H1113" s="13" t="str">
        <f t="shared" si="146"/>
        <v/>
      </c>
      <c r="I1113" s="14" t="str">
        <f t="array" ref="I1113">IF(getRGB1(Weekly!F251)="FFFF00","초방","재방")</f>
        <v>재방</v>
      </c>
    </row>
    <row r="1114" spans="1:9" ht="11.25" customHeight="1" x14ac:dyDescent="0.3">
      <c r="A1114" s="10" t="str">
        <f t="shared" si="143"/>
        <v/>
      </c>
      <c r="B1114" s="11">
        <f>Weekly!$F$3</f>
        <v>45918</v>
      </c>
      <c r="C1114" s="12">
        <v>0.86111111111111105</v>
      </c>
      <c r="D1114" s="13">
        <f>Weekly!F252</f>
        <v>0</v>
      </c>
      <c r="E1114" s="13" t="str">
        <f t="shared" si="144"/>
        <v/>
      </c>
      <c r="F1114" s="13" t="str">
        <f t="shared" si="147"/>
        <v/>
      </c>
      <c r="G1114" s="13" t="str">
        <f t="shared" si="145"/>
        <v/>
      </c>
      <c r="H1114" s="13" t="str">
        <f t="shared" si="146"/>
        <v/>
      </c>
      <c r="I1114" s="14" t="str">
        <f t="array" ref="I1114">IF(getRGB1(Weekly!F252)="FFFF00","초방","재방")</f>
        <v>재방</v>
      </c>
    </row>
    <row r="1115" spans="1:9" ht="11.25" customHeight="1" x14ac:dyDescent="0.3">
      <c r="A1115" s="10" t="str">
        <f t="shared" si="143"/>
        <v/>
      </c>
      <c r="B1115" s="11">
        <f>Weekly!$F$3</f>
        <v>45918</v>
      </c>
      <c r="C1115" s="12">
        <v>0.86458333333333304</v>
      </c>
      <c r="D1115" s="13">
        <f>Weekly!F253</f>
        <v>0</v>
      </c>
      <c r="E1115" s="13" t="str">
        <f t="shared" si="144"/>
        <v/>
      </c>
      <c r="F1115" s="13" t="str">
        <f t="shared" si="147"/>
        <v/>
      </c>
      <c r="G1115" s="13" t="str">
        <f t="shared" si="145"/>
        <v/>
      </c>
      <c r="H1115" s="13" t="str">
        <f t="shared" si="146"/>
        <v/>
      </c>
      <c r="I1115" s="14" t="str">
        <f t="array" ref="I1115">IF(getRGB1(Weekly!F253)="FFFF00","초방","재방")</f>
        <v>재방</v>
      </c>
    </row>
    <row r="1116" spans="1:9" ht="11.25" customHeight="1" x14ac:dyDescent="0.3">
      <c r="A1116" s="10" t="str">
        <f t="shared" si="143"/>
        <v/>
      </c>
      <c r="B1116" s="11">
        <f>Weekly!$F$3</f>
        <v>45918</v>
      </c>
      <c r="C1116" s="12">
        <v>0.86805555555555503</v>
      </c>
      <c r="D1116" s="13">
        <f>Weekly!F254</f>
        <v>0</v>
      </c>
      <c r="E1116" s="13" t="str">
        <f t="shared" si="144"/>
        <v/>
      </c>
      <c r="F1116" s="13" t="str">
        <f t="shared" si="147"/>
        <v/>
      </c>
      <c r="G1116" s="13" t="str">
        <f t="shared" si="145"/>
        <v/>
      </c>
      <c r="H1116" s="13" t="str">
        <f t="shared" si="146"/>
        <v/>
      </c>
      <c r="I1116" s="14" t="str">
        <f t="array" ref="I1116">IF(getRGB1(Weekly!F254)="FFFF00","초방","재방")</f>
        <v>재방</v>
      </c>
    </row>
    <row r="1117" spans="1:9" ht="11.25" customHeight="1" x14ac:dyDescent="0.3">
      <c r="A1117" s="10" t="str">
        <f t="shared" si="143"/>
        <v/>
      </c>
      <c r="B1117" s="11">
        <f>Weekly!$F$3</f>
        <v>45918</v>
      </c>
      <c r="C1117" s="12">
        <v>0.87152777777777801</v>
      </c>
      <c r="D1117" s="13">
        <f>Weekly!F255</f>
        <v>0</v>
      </c>
      <c r="E1117" s="13" t="str">
        <f t="shared" si="144"/>
        <v/>
      </c>
      <c r="F1117" s="13" t="str">
        <f t="shared" si="147"/>
        <v/>
      </c>
      <c r="G1117" s="13" t="str">
        <f t="shared" si="145"/>
        <v/>
      </c>
      <c r="H1117" s="13" t="str">
        <f t="shared" si="146"/>
        <v/>
      </c>
      <c r="I1117" s="14" t="str">
        <f t="array" ref="I1117">IF(getRGB1(Weekly!F255)="FFFF00","초방","재방")</f>
        <v>재방</v>
      </c>
    </row>
    <row r="1118" spans="1:9" ht="11.25" customHeight="1" x14ac:dyDescent="0.3">
      <c r="A1118" s="10" t="str">
        <f t="shared" si="143"/>
        <v/>
      </c>
      <c r="B1118" s="11">
        <f>Weekly!$F$3</f>
        <v>45918</v>
      </c>
      <c r="C1118" s="12">
        <v>0.875</v>
      </c>
      <c r="D1118" s="13">
        <f>Weekly!F256</f>
        <v>0</v>
      </c>
      <c r="E1118" s="13" t="str">
        <f t="shared" si="144"/>
        <v/>
      </c>
      <c r="F1118" s="13" t="str">
        <f t="shared" si="147"/>
        <v/>
      </c>
      <c r="G1118" s="13" t="str">
        <f t="shared" si="145"/>
        <v/>
      </c>
      <c r="H1118" s="13" t="str">
        <f t="shared" si="146"/>
        <v/>
      </c>
      <c r="I1118" s="14" t="str">
        <f t="array" ref="I1118">IF(getRGB1(Weekly!F256)="FFFF00","초방","재방")</f>
        <v>재방</v>
      </c>
    </row>
    <row r="1119" spans="1:9" ht="11.25" customHeight="1" x14ac:dyDescent="0.3">
      <c r="A1119" s="10" t="str">
        <f t="shared" si="143"/>
        <v/>
      </c>
      <c r="B1119" s="11">
        <f>Weekly!$F$3</f>
        <v>45918</v>
      </c>
      <c r="C1119" s="12">
        <v>0.87847222222222199</v>
      </c>
      <c r="D1119" s="13">
        <f>Weekly!F257</f>
        <v>0</v>
      </c>
      <c r="E1119" s="13" t="str">
        <f t="shared" si="144"/>
        <v/>
      </c>
      <c r="F1119" s="13" t="str">
        <f t="shared" si="147"/>
        <v/>
      </c>
      <c r="G1119" s="13" t="str">
        <f t="shared" si="145"/>
        <v/>
      </c>
      <c r="H1119" s="13" t="str">
        <f t="shared" si="146"/>
        <v/>
      </c>
      <c r="I1119" s="14" t="str">
        <f t="array" ref="I1119">IF(getRGB1(Weekly!F257)="FFFF00","초방","재방")</f>
        <v>재방</v>
      </c>
    </row>
    <row r="1120" spans="1:9" ht="11.25" customHeight="1" x14ac:dyDescent="0.3">
      <c r="A1120" s="10" t="str">
        <f t="shared" si="143"/>
        <v/>
      </c>
      <c r="B1120" s="11">
        <f>Weekly!$F$3</f>
        <v>45918</v>
      </c>
      <c r="C1120" s="12">
        <v>0.88194444444444398</v>
      </c>
      <c r="D1120" s="13">
        <f>Weekly!F258</f>
        <v>0</v>
      </c>
      <c r="E1120" s="13" t="str">
        <f t="shared" si="144"/>
        <v/>
      </c>
      <c r="F1120" s="13" t="str">
        <f t="shared" si="147"/>
        <v/>
      </c>
      <c r="G1120" s="13" t="str">
        <f t="shared" si="145"/>
        <v/>
      </c>
      <c r="H1120" s="13" t="str">
        <f t="shared" si="146"/>
        <v/>
      </c>
      <c r="I1120" s="14" t="str">
        <f t="array" ref="I1120">IF(getRGB1(Weekly!F258)="FFFF00","초방","재방")</f>
        <v>재방</v>
      </c>
    </row>
    <row r="1121" spans="1:9" ht="11.25" customHeight="1" x14ac:dyDescent="0.3">
      <c r="A1121" s="10" t="str">
        <f t="shared" si="143"/>
        <v/>
      </c>
      <c r="B1121" s="11">
        <f>Weekly!$F$3</f>
        <v>45918</v>
      </c>
      <c r="C1121" s="12">
        <v>0.88541666666666696</v>
      </c>
      <c r="D1121" s="13">
        <f>Weekly!F259</f>
        <v>0</v>
      </c>
      <c r="E1121" s="13" t="str">
        <f t="shared" si="144"/>
        <v/>
      </c>
      <c r="F1121" s="13" t="str">
        <f t="shared" si="147"/>
        <v/>
      </c>
      <c r="G1121" s="13" t="str">
        <f t="shared" si="145"/>
        <v/>
      </c>
      <c r="H1121" s="13" t="str">
        <f t="shared" si="146"/>
        <v/>
      </c>
      <c r="I1121" s="14" t="str">
        <f t="array" ref="I1121">IF(getRGB1(Weekly!F259)="FFFF00","초방","재방")</f>
        <v>재방</v>
      </c>
    </row>
    <row r="1122" spans="1:9" ht="11.25" customHeight="1" x14ac:dyDescent="0.3">
      <c r="A1122" s="10">
        <f t="shared" si="143"/>
        <v>45918.888888888891</v>
      </c>
      <c r="B1122" s="11">
        <f>Weekly!$F$3</f>
        <v>45918</v>
      </c>
      <c r="C1122" s="12">
        <v>0.88888888888888895</v>
      </c>
      <c r="D1122" s="13" t="str">
        <f>Weekly!F260</f>
        <v>낭만살롱
&lt;04</v>
      </c>
      <c r="E1122" s="13" t="str">
        <f t="shared" si="144"/>
        <v>낭만살롱</v>
      </c>
      <c r="F1122" s="13">
        <f t="shared" si="147"/>
        <v>4</v>
      </c>
      <c r="G1122" s="13" t="str">
        <f t="shared" si="145"/>
        <v/>
      </c>
      <c r="H1122" s="13" t="str">
        <f t="shared" si="146"/>
        <v/>
      </c>
      <c r="I1122" s="14" t="str">
        <f t="array" ref="I1122">IF(getRGB1(Weekly!F260)="FFFF00","초방","재방")</f>
        <v>재방</v>
      </c>
    </row>
    <row r="1123" spans="1:9" ht="11.25" customHeight="1" x14ac:dyDescent="0.3">
      <c r="A1123" s="10" t="str">
        <f t="shared" si="143"/>
        <v/>
      </c>
      <c r="B1123" s="11">
        <f>Weekly!$F$3</f>
        <v>45918</v>
      </c>
      <c r="C1123" s="12">
        <v>0.89236111111111105</v>
      </c>
      <c r="D1123" s="13">
        <f>Weekly!F261</f>
        <v>0</v>
      </c>
      <c r="E1123" s="13" t="str">
        <f t="shared" si="144"/>
        <v/>
      </c>
      <c r="F1123" s="13" t="str">
        <f t="shared" si="147"/>
        <v/>
      </c>
      <c r="G1123" s="13" t="str">
        <f t="shared" si="145"/>
        <v/>
      </c>
      <c r="H1123" s="13" t="str">
        <f t="shared" si="146"/>
        <v/>
      </c>
      <c r="I1123" s="14" t="str">
        <f t="array" ref="I1123">IF(getRGB1(Weekly!F261)="FFFF00","초방","재방")</f>
        <v>재방</v>
      </c>
    </row>
    <row r="1124" spans="1:9" ht="11.25" customHeight="1" x14ac:dyDescent="0.3">
      <c r="A1124" s="10" t="str">
        <f t="shared" si="143"/>
        <v/>
      </c>
      <c r="B1124" s="11">
        <f>Weekly!$F$3</f>
        <v>45918</v>
      </c>
      <c r="C1124" s="12">
        <v>0.89583333333333304</v>
      </c>
      <c r="D1124" s="13">
        <f>Weekly!F262</f>
        <v>0</v>
      </c>
      <c r="E1124" s="13" t="str">
        <f t="shared" si="144"/>
        <v/>
      </c>
      <c r="F1124" s="13" t="str">
        <f t="shared" si="147"/>
        <v/>
      </c>
      <c r="G1124" s="13" t="str">
        <f t="shared" si="145"/>
        <v/>
      </c>
      <c r="H1124" s="13" t="str">
        <f t="shared" si="146"/>
        <v/>
      </c>
      <c r="I1124" s="14" t="str">
        <f t="array" ref="I1124">IF(getRGB1(Weekly!F262)="FFFF00","초방","재방")</f>
        <v>재방</v>
      </c>
    </row>
    <row r="1125" spans="1:9" ht="11.25" customHeight="1" x14ac:dyDescent="0.3">
      <c r="A1125" s="10" t="str">
        <f t="shared" si="143"/>
        <v/>
      </c>
      <c r="B1125" s="11">
        <f>Weekly!$F$3</f>
        <v>45918</v>
      </c>
      <c r="C1125" s="12">
        <v>0.89930555555555503</v>
      </c>
      <c r="D1125" s="13">
        <f>Weekly!F263</f>
        <v>0</v>
      </c>
      <c r="E1125" s="13" t="str">
        <f t="shared" si="144"/>
        <v/>
      </c>
      <c r="F1125" s="13" t="str">
        <f t="shared" si="147"/>
        <v/>
      </c>
      <c r="G1125" s="13" t="str">
        <f t="shared" si="145"/>
        <v/>
      </c>
      <c r="H1125" s="13" t="str">
        <f t="shared" si="146"/>
        <v/>
      </c>
      <c r="I1125" s="14" t="str">
        <f t="array" ref="I1125">IF(getRGB1(Weekly!F263)="FFFF00","초방","재방")</f>
        <v>재방</v>
      </c>
    </row>
    <row r="1126" spans="1:9" ht="11.25" customHeight="1" x14ac:dyDescent="0.3">
      <c r="A1126" s="10" t="str">
        <f t="shared" si="143"/>
        <v/>
      </c>
      <c r="B1126" s="11">
        <f>Weekly!$F$3</f>
        <v>45918</v>
      </c>
      <c r="C1126" s="12">
        <v>0.90277777777777801</v>
      </c>
      <c r="D1126" s="13">
        <f>Weekly!F264</f>
        <v>0</v>
      </c>
      <c r="E1126" s="13" t="str">
        <f t="shared" si="144"/>
        <v/>
      </c>
      <c r="F1126" s="13" t="str">
        <f t="shared" si="147"/>
        <v/>
      </c>
      <c r="G1126" s="13" t="str">
        <f t="shared" si="145"/>
        <v/>
      </c>
      <c r="H1126" s="13" t="str">
        <f t="shared" si="146"/>
        <v/>
      </c>
      <c r="I1126" s="14" t="str">
        <f t="array" ref="I1126">IF(getRGB1(Weekly!F264)="FFFF00","초방","재방")</f>
        <v>재방</v>
      </c>
    </row>
    <row r="1127" spans="1:9" ht="11.25" customHeight="1" x14ac:dyDescent="0.3">
      <c r="A1127" s="10" t="str">
        <f t="shared" si="143"/>
        <v/>
      </c>
      <c r="B1127" s="11">
        <f>Weekly!$F$3</f>
        <v>45918</v>
      </c>
      <c r="C1127" s="12">
        <v>0.90625</v>
      </c>
      <c r="D1127" s="13">
        <f>Weekly!F265</f>
        <v>0</v>
      </c>
      <c r="E1127" s="13" t="str">
        <f t="shared" si="144"/>
        <v/>
      </c>
      <c r="F1127" s="13" t="str">
        <f t="shared" si="147"/>
        <v/>
      </c>
      <c r="G1127" s="13" t="str">
        <f t="shared" si="145"/>
        <v/>
      </c>
      <c r="H1127" s="13" t="str">
        <f t="shared" si="146"/>
        <v/>
      </c>
      <c r="I1127" s="14" t="str">
        <f t="array" ref="I1127">IF(getRGB1(Weekly!F265)="FFFF00","초방","재방")</f>
        <v>재방</v>
      </c>
    </row>
    <row r="1128" spans="1:9" ht="11.25" customHeight="1" x14ac:dyDescent="0.3">
      <c r="A1128" s="10" t="str">
        <f t="shared" si="143"/>
        <v/>
      </c>
      <c r="B1128" s="11">
        <f>Weekly!$F$3</f>
        <v>45918</v>
      </c>
      <c r="C1128" s="12">
        <v>0.90972222222222199</v>
      </c>
      <c r="D1128" s="13">
        <f>Weekly!F266</f>
        <v>0</v>
      </c>
      <c r="E1128" s="13" t="str">
        <f t="shared" si="144"/>
        <v/>
      </c>
      <c r="F1128" s="13" t="str">
        <f t="shared" si="147"/>
        <v/>
      </c>
      <c r="G1128" s="13" t="str">
        <f t="shared" si="145"/>
        <v/>
      </c>
      <c r="H1128" s="13" t="str">
        <f t="shared" si="146"/>
        <v/>
      </c>
      <c r="I1128" s="14" t="str">
        <f t="array" ref="I1128">IF(getRGB1(Weekly!F266)="FFFF00","초방","재방")</f>
        <v>재방</v>
      </c>
    </row>
    <row r="1129" spans="1:9" ht="11.25" customHeight="1" x14ac:dyDescent="0.3">
      <c r="A1129" s="10" t="str">
        <f t="shared" si="143"/>
        <v/>
      </c>
      <c r="B1129" s="11">
        <f>Weekly!$F$3</f>
        <v>45918</v>
      </c>
      <c r="C1129" s="12">
        <v>0.91319444444444398</v>
      </c>
      <c r="D1129" s="13">
        <f>Weekly!F267</f>
        <v>0</v>
      </c>
      <c r="E1129" s="13" t="str">
        <f t="shared" si="144"/>
        <v/>
      </c>
      <c r="F1129" s="13" t="str">
        <f t="shared" si="147"/>
        <v/>
      </c>
      <c r="G1129" s="13" t="str">
        <f t="shared" si="145"/>
        <v/>
      </c>
      <c r="H1129" s="13" t="str">
        <f t="shared" si="146"/>
        <v/>
      </c>
      <c r="I1129" s="14" t="str">
        <f t="array" ref="I1129">IF(getRGB1(Weekly!F267)="FFFF00","초방","재방")</f>
        <v>재방</v>
      </c>
    </row>
    <row r="1130" spans="1:9" ht="11.25" customHeight="1" x14ac:dyDescent="0.3">
      <c r="A1130" s="10">
        <f t="shared" si="143"/>
        <v>45918.916666666664</v>
      </c>
      <c r="B1130" s="11">
        <f>Weekly!$F$3</f>
        <v>45918</v>
      </c>
      <c r="C1130" s="12">
        <v>0.91666666666666696</v>
      </c>
      <c r="D1130" s="13" t="str">
        <f>Weekly!F268</f>
        <v>특집 2026 지방선거_서울특별시의회 생생중계_본회의
&lt;05</v>
      </c>
      <c r="E1130" s="13" t="str">
        <f t="shared" si="144"/>
        <v>특집 2026 지방선거_서울특별시의회 생생중계_본회의</v>
      </c>
      <c r="F1130" s="13">
        <f t="shared" si="147"/>
        <v>5</v>
      </c>
      <c r="G1130" s="13" t="str">
        <f t="shared" si="145"/>
        <v/>
      </c>
      <c r="H1130" s="13" t="str">
        <f t="shared" si="146"/>
        <v/>
      </c>
      <c r="I1130" s="14" t="str">
        <f t="array" ref="I1130">IF(getRGB1(Weekly!F268)="FFFF00","초방","재방")</f>
        <v>재방</v>
      </c>
    </row>
    <row r="1131" spans="1:9" ht="11.25" customHeight="1" x14ac:dyDescent="0.3">
      <c r="A1131" s="10" t="str">
        <f t="shared" si="143"/>
        <v/>
      </c>
      <c r="B1131" s="11">
        <f>Weekly!$F$3</f>
        <v>45918</v>
      </c>
      <c r="C1131" s="12">
        <v>0.92013888888888895</v>
      </c>
      <c r="D1131" s="13">
        <f>Weekly!F269</f>
        <v>0</v>
      </c>
      <c r="E1131" s="13" t="str">
        <f t="shared" si="144"/>
        <v/>
      </c>
      <c r="F1131" s="13" t="str">
        <f t="shared" si="147"/>
        <v/>
      </c>
      <c r="G1131" s="13" t="str">
        <f t="shared" si="145"/>
        <v/>
      </c>
      <c r="H1131" s="13" t="str">
        <f t="shared" si="146"/>
        <v/>
      </c>
      <c r="I1131" s="14" t="str">
        <f t="array" ref="I1131">IF(getRGB1(Weekly!F269)="FFFF00","초방","재방")</f>
        <v>재방</v>
      </c>
    </row>
    <row r="1132" spans="1:9" ht="11.25" customHeight="1" x14ac:dyDescent="0.3">
      <c r="A1132" s="10" t="str">
        <f t="shared" si="143"/>
        <v/>
      </c>
      <c r="B1132" s="11">
        <f>Weekly!$F$3</f>
        <v>45918</v>
      </c>
      <c r="C1132" s="12">
        <v>0.92361111111111105</v>
      </c>
      <c r="D1132" s="13">
        <f>Weekly!F270</f>
        <v>0</v>
      </c>
      <c r="E1132" s="13" t="str">
        <f t="shared" si="144"/>
        <v/>
      </c>
      <c r="F1132" s="13" t="str">
        <f t="shared" si="147"/>
        <v/>
      </c>
      <c r="G1132" s="13" t="str">
        <f t="shared" si="145"/>
        <v/>
      </c>
      <c r="H1132" s="13" t="str">
        <f t="shared" si="146"/>
        <v/>
      </c>
      <c r="I1132" s="14" t="str">
        <f t="array" ref="I1132">IF(getRGB1(Weekly!F270)="FFFF00","초방","재방")</f>
        <v>재방</v>
      </c>
    </row>
    <row r="1133" spans="1:9" ht="11.25" customHeight="1" x14ac:dyDescent="0.3">
      <c r="A1133" s="10" t="str">
        <f t="shared" si="143"/>
        <v/>
      </c>
      <c r="B1133" s="11">
        <f>Weekly!$F$3</f>
        <v>45918</v>
      </c>
      <c r="C1133" s="12">
        <v>0.92708333333333304</v>
      </c>
      <c r="D1133" s="13">
        <f>Weekly!F271</f>
        <v>0</v>
      </c>
      <c r="E1133" s="13" t="str">
        <f t="shared" si="144"/>
        <v/>
      </c>
      <c r="F1133" s="13" t="str">
        <f t="shared" si="147"/>
        <v/>
      </c>
      <c r="G1133" s="13" t="str">
        <f t="shared" si="145"/>
        <v/>
      </c>
      <c r="H1133" s="13" t="str">
        <f t="shared" si="146"/>
        <v/>
      </c>
      <c r="I1133" s="14" t="str">
        <f t="array" ref="I1133">IF(getRGB1(Weekly!F271)="FFFF00","초방","재방")</f>
        <v>재방</v>
      </c>
    </row>
    <row r="1134" spans="1:9" ht="11.25" customHeight="1" x14ac:dyDescent="0.3">
      <c r="A1134" s="10" t="str">
        <f t="shared" si="143"/>
        <v/>
      </c>
      <c r="B1134" s="11">
        <f>Weekly!$F$3</f>
        <v>45918</v>
      </c>
      <c r="C1134" s="12">
        <v>0.93055555555555503</v>
      </c>
      <c r="D1134" s="13">
        <f>Weekly!F272</f>
        <v>0</v>
      </c>
      <c r="E1134" s="13" t="str">
        <f t="shared" si="144"/>
        <v/>
      </c>
      <c r="F1134" s="13" t="str">
        <f t="shared" si="147"/>
        <v/>
      </c>
      <c r="G1134" s="13" t="str">
        <f t="shared" si="145"/>
        <v/>
      </c>
      <c r="H1134" s="13" t="str">
        <f t="shared" si="146"/>
        <v/>
      </c>
      <c r="I1134" s="14" t="str">
        <f t="array" ref="I1134">IF(getRGB1(Weekly!F272)="FFFF00","초방","재방")</f>
        <v>재방</v>
      </c>
    </row>
    <row r="1135" spans="1:9" ht="11.25" customHeight="1" x14ac:dyDescent="0.3">
      <c r="A1135" s="10" t="str">
        <f t="shared" si="143"/>
        <v/>
      </c>
      <c r="B1135" s="11">
        <f>Weekly!$F$3</f>
        <v>45918</v>
      </c>
      <c r="C1135" s="12">
        <v>0.93402777777777801</v>
      </c>
      <c r="D1135" s="13">
        <f>Weekly!F273</f>
        <v>0</v>
      </c>
      <c r="E1135" s="13" t="str">
        <f t="shared" si="144"/>
        <v/>
      </c>
      <c r="F1135" s="13" t="str">
        <f t="shared" si="147"/>
        <v/>
      </c>
      <c r="G1135" s="13" t="str">
        <f t="shared" si="145"/>
        <v/>
      </c>
      <c r="H1135" s="13" t="str">
        <f t="shared" si="146"/>
        <v/>
      </c>
      <c r="I1135" s="14" t="str">
        <f t="array" ref="I1135">IF(getRGB1(Weekly!F273)="FFFF00","초방","재방")</f>
        <v>재방</v>
      </c>
    </row>
    <row r="1136" spans="1:9" ht="11.25" customHeight="1" x14ac:dyDescent="0.3">
      <c r="A1136" s="10" t="str">
        <f t="shared" si="143"/>
        <v/>
      </c>
      <c r="B1136" s="11">
        <f>Weekly!$F$3</f>
        <v>45918</v>
      </c>
      <c r="C1136" s="12">
        <v>0.9375</v>
      </c>
      <c r="D1136" s="13">
        <f>Weekly!F274</f>
        <v>0</v>
      </c>
      <c r="E1136" s="13" t="str">
        <f t="shared" si="144"/>
        <v/>
      </c>
      <c r="F1136" s="13" t="str">
        <f t="shared" si="147"/>
        <v/>
      </c>
      <c r="G1136" s="13" t="str">
        <f t="shared" si="145"/>
        <v/>
      </c>
      <c r="H1136" s="13" t="str">
        <f t="shared" si="146"/>
        <v/>
      </c>
      <c r="I1136" s="14" t="str">
        <f t="array" ref="I1136">IF(getRGB1(Weekly!F274)="FFFF00","초방","재방")</f>
        <v>재방</v>
      </c>
    </row>
    <row r="1137" spans="1:9" ht="11.25" customHeight="1" x14ac:dyDescent="0.3">
      <c r="A1137" s="10" t="str">
        <f t="shared" si="143"/>
        <v/>
      </c>
      <c r="B1137" s="11">
        <f>Weekly!$F$3</f>
        <v>45918</v>
      </c>
      <c r="C1137" s="12">
        <v>0.94097222222222199</v>
      </c>
      <c r="D1137" s="13">
        <f>Weekly!F275</f>
        <v>0</v>
      </c>
      <c r="E1137" s="13" t="str">
        <f t="shared" si="144"/>
        <v/>
      </c>
      <c r="F1137" s="13" t="str">
        <f t="shared" si="147"/>
        <v/>
      </c>
      <c r="G1137" s="13" t="str">
        <f t="shared" si="145"/>
        <v/>
      </c>
      <c r="H1137" s="13" t="str">
        <f t="shared" si="146"/>
        <v/>
      </c>
      <c r="I1137" s="14" t="str">
        <f t="array" ref="I1137">IF(getRGB1(Weekly!F275)="FFFF00","초방","재방")</f>
        <v>재방</v>
      </c>
    </row>
    <row r="1138" spans="1:9" ht="11.25" customHeight="1" x14ac:dyDescent="0.3">
      <c r="A1138" s="10" t="str">
        <f t="shared" si="143"/>
        <v/>
      </c>
      <c r="B1138" s="11">
        <f>Weekly!$F$3</f>
        <v>45918</v>
      </c>
      <c r="C1138" s="12">
        <v>0.94444444444444398</v>
      </c>
      <c r="D1138" s="13">
        <f>Weekly!F276</f>
        <v>0</v>
      </c>
      <c r="E1138" s="13" t="str">
        <f t="shared" si="144"/>
        <v/>
      </c>
      <c r="F1138" s="13" t="str">
        <f t="shared" si="147"/>
        <v/>
      </c>
      <c r="G1138" s="13" t="str">
        <f t="shared" si="145"/>
        <v/>
      </c>
      <c r="H1138" s="13" t="str">
        <f t="shared" si="146"/>
        <v/>
      </c>
      <c r="I1138" s="14" t="str">
        <f t="array" ref="I1138">IF(getRGB1(Weekly!F276)="FFFF00","초방","재방")</f>
        <v>재방</v>
      </c>
    </row>
    <row r="1139" spans="1:9" ht="11.25" customHeight="1" x14ac:dyDescent="0.3">
      <c r="A1139" s="10" t="str">
        <f t="shared" si="143"/>
        <v/>
      </c>
      <c r="B1139" s="11">
        <f>Weekly!$F$3</f>
        <v>45918</v>
      </c>
      <c r="C1139" s="12">
        <v>0.94791666666666696</v>
      </c>
      <c r="D1139" s="13">
        <f>Weekly!F277</f>
        <v>0</v>
      </c>
      <c r="E1139" s="13" t="str">
        <f t="shared" si="144"/>
        <v/>
      </c>
      <c r="F1139" s="13" t="str">
        <f t="shared" si="147"/>
        <v/>
      </c>
      <c r="G1139" s="13" t="str">
        <f t="shared" si="145"/>
        <v/>
      </c>
      <c r="H1139" s="13" t="str">
        <f t="shared" si="146"/>
        <v/>
      </c>
      <c r="I1139" s="14" t="str">
        <f t="array" ref="I1139">IF(getRGB1(Weekly!F277)="FFFF00","초방","재방")</f>
        <v>재방</v>
      </c>
    </row>
    <row r="1140" spans="1:9" ht="11.25" customHeight="1" x14ac:dyDescent="0.3">
      <c r="A1140" s="10" t="str">
        <f t="shared" si="143"/>
        <v/>
      </c>
      <c r="B1140" s="11">
        <f>Weekly!$F$3</f>
        <v>45918</v>
      </c>
      <c r="C1140" s="12">
        <v>0.95138888888888895</v>
      </c>
      <c r="D1140" s="13">
        <f>Weekly!F278</f>
        <v>0</v>
      </c>
      <c r="E1140" s="13" t="str">
        <f t="shared" si="144"/>
        <v/>
      </c>
      <c r="F1140" s="13" t="str">
        <f t="shared" si="147"/>
        <v/>
      </c>
      <c r="G1140" s="13" t="str">
        <f t="shared" si="145"/>
        <v/>
      </c>
      <c r="H1140" s="13" t="str">
        <f t="shared" si="146"/>
        <v/>
      </c>
      <c r="I1140" s="14" t="str">
        <f t="array" ref="I1140">IF(getRGB1(Weekly!F278)="FFFF00","초방","재방")</f>
        <v>재방</v>
      </c>
    </row>
    <row r="1141" spans="1:9" ht="11.25" customHeight="1" x14ac:dyDescent="0.3">
      <c r="A1141" s="10" t="str">
        <f t="shared" si="143"/>
        <v/>
      </c>
      <c r="B1141" s="11">
        <f>Weekly!$F$3</f>
        <v>45918</v>
      </c>
      <c r="C1141" s="12">
        <v>0.95486111111111105</v>
      </c>
      <c r="D1141" s="13">
        <f>Weekly!F279</f>
        <v>0</v>
      </c>
      <c r="E1141" s="13" t="str">
        <f t="shared" si="144"/>
        <v/>
      </c>
      <c r="F1141" s="13" t="str">
        <f t="shared" si="147"/>
        <v/>
      </c>
      <c r="G1141" s="13" t="str">
        <f t="shared" si="145"/>
        <v/>
      </c>
      <c r="H1141" s="13" t="str">
        <f t="shared" si="146"/>
        <v/>
      </c>
      <c r="I1141" s="14" t="str">
        <f t="array" ref="I1141">IF(getRGB1(Weekly!F279)="FFFF00","초방","재방")</f>
        <v>재방</v>
      </c>
    </row>
    <row r="1142" spans="1:9" ht="11.25" customHeight="1" x14ac:dyDescent="0.3">
      <c r="A1142" s="10">
        <f t="shared" si="143"/>
        <v>45918.958333333336</v>
      </c>
      <c r="B1142" s="11">
        <f>Weekly!$F$3</f>
        <v>45918</v>
      </c>
      <c r="C1142" s="12">
        <v>0.95833333333333304</v>
      </c>
      <c r="D1142" s="13" t="str">
        <f>Weekly!F280</f>
        <v>특집 2026 지방선거_서울특별시의회 생생중계_상임위
&lt;18</v>
      </c>
      <c r="E1142" s="13" t="str">
        <f t="shared" si="144"/>
        <v>특집 2026 지방선거_서울특별시의회 생생중계_상임위</v>
      </c>
      <c r="F1142" s="13">
        <f t="shared" si="147"/>
        <v>18</v>
      </c>
      <c r="G1142" s="13" t="str">
        <f t="shared" si="145"/>
        <v/>
      </c>
      <c r="H1142" s="13" t="str">
        <f t="shared" si="146"/>
        <v/>
      </c>
      <c r="I1142" s="14" t="str">
        <f t="array" ref="I1142">IF(getRGB1(Weekly!F280)="FFFF00","초방","재방")</f>
        <v>재방</v>
      </c>
    </row>
    <row r="1143" spans="1:9" ht="11.25" customHeight="1" x14ac:dyDescent="0.3">
      <c r="A1143" s="10" t="str">
        <f t="shared" si="143"/>
        <v/>
      </c>
      <c r="B1143" s="11">
        <f>Weekly!$F$3</f>
        <v>45918</v>
      </c>
      <c r="C1143" s="12">
        <v>0.96180555555555503</v>
      </c>
      <c r="D1143" s="13">
        <f>Weekly!F281</f>
        <v>0</v>
      </c>
      <c r="E1143" s="13" t="str">
        <f t="shared" si="144"/>
        <v/>
      </c>
      <c r="F1143" s="13" t="str">
        <f t="shared" si="147"/>
        <v/>
      </c>
      <c r="G1143" s="13" t="str">
        <f t="shared" si="145"/>
        <v/>
      </c>
      <c r="H1143" s="13" t="str">
        <f t="shared" si="146"/>
        <v/>
      </c>
      <c r="I1143" s="14" t="str">
        <f t="array" ref="I1143">IF(getRGB1(Weekly!F281)="FFFF00","초방","재방")</f>
        <v>재방</v>
      </c>
    </row>
    <row r="1144" spans="1:9" ht="11.25" customHeight="1" x14ac:dyDescent="0.3">
      <c r="A1144" s="10" t="str">
        <f t="shared" si="143"/>
        <v/>
      </c>
      <c r="B1144" s="11">
        <f>Weekly!$F$3</f>
        <v>45918</v>
      </c>
      <c r="C1144" s="12">
        <v>0.96527777777777801</v>
      </c>
      <c r="D1144" s="13">
        <f>Weekly!F282</f>
        <v>0</v>
      </c>
      <c r="E1144" s="13" t="str">
        <f t="shared" si="144"/>
        <v/>
      </c>
      <c r="F1144" s="13" t="str">
        <f t="shared" si="147"/>
        <v/>
      </c>
      <c r="G1144" s="13" t="str">
        <f t="shared" si="145"/>
        <v/>
      </c>
      <c r="H1144" s="13" t="str">
        <f t="shared" si="146"/>
        <v/>
      </c>
      <c r="I1144" s="14" t="str">
        <f t="array" ref="I1144">IF(getRGB1(Weekly!F282)="FFFF00","초방","재방")</f>
        <v>재방</v>
      </c>
    </row>
    <row r="1145" spans="1:9" ht="11.25" customHeight="1" x14ac:dyDescent="0.3">
      <c r="A1145" s="10" t="str">
        <f t="shared" si="143"/>
        <v/>
      </c>
      <c r="B1145" s="11">
        <f>Weekly!$F$3</f>
        <v>45918</v>
      </c>
      <c r="C1145" s="12">
        <v>0.96875</v>
      </c>
      <c r="D1145" s="13">
        <f>Weekly!F283</f>
        <v>0</v>
      </c>
      <c r="E1145" s="13" t="str">
        <f t="shared" si="144"/>
        <v/>
      </c>
      <c r="F1145" s="13" t="str">
        <f t="shared" si="147"/>
        <v/>
      </c>
      <c r="G1145" s="13" t="str">
        <f t="shared" si="145"/>
        <v/>
      </c>
      <c r="H1145" s="13" t="str">
        <f t="shared" si="146"/>
        <v/>
      </c>
      <c r="I1145" s="14" t="str">
        <f t="array" ref="I1145">IF(getRGB1(Weekly!F283)="FFFF00","초방","재방")</f>
        <v>재방</v>
      </c>
    </row>
    <row r="1146" spans="1:9" ht="11.25" customHeight="1" x14ac:dyDescent="0.3">
      <c r="A1146" s="10" t="str">
        <f t="shared" si="143"/>
        <v/>
      </c>
      <c r="B1146" s="11">
        <f>Weekly!$F$3</f>
        <v>45918</v>
      </c>
      <c r="C1146" s="12">
        <v>0.97222222222222199</v>
      </c>
      <c r="D1146" s="13">
        <f>Weekly!F284</f>
        <v>0</v>
      </c>
      <c r="E1146" s="13" t="str">
        <f t="shared" si="144"/>
        <v/>
      </c>
      <c r="F1146" s="13" t="str">
        <f t="shared" si="147"/>
        <v/>
      </c>
      <c r="G1146" s="13" t="str">
        <f t="shared" si="145"/>
        <v/>
      </c>
      <c r="H1146" s="13" t="str">
        <f t="shared" si="146"/>
        <v/>
      </c>
      <c r="I1146" s="14" t="str">
        <f t="array" ref="I1146">IF(getRGB1(Weekly!F284)="FFFF00","초방","재방")</f>
        <v>재방</v>
      </c>
    </row>
    <row r="1147" spans="1:9" ht="11.25" customHeight="1" x14ac:dyDescent="0.3">
      <c r="A1147" s="10" t="str">
        <f t="shared" si="143"/>
        <v/>
      </c>
      <c r="B1147" s="11">
        <f>Weekly!$F$3</f>
        <v>45918</v>
      </c>
      <c r="C1147" s="12">
        <v>0.97569444444444398</v>
      </c>
      <c r="D1147" s="13">
        <f>Weekly!F285</f>
        <v>0</v>
      </c>
      <c r="E1147" s="13" t="str">
        <f t="shared" si="144"/>
        <v/>
      </c>
      <c r="F1147" s="13" t="str">
        <f t="shared" si="147"/>
        <v/>
      </c>
      <c r="G1147" s="13" t="str">
        <f t="shared" si="145"/>
        <v/>
      </c>
      <c r="H1147" s="13" t="str">
        <f t="shared" si="146"/>
        <v/>
      </c>
      <c r="I1147" s="14" t="str">
        <f t="array" ref="I1147">IF(getRGB1(Weekly!F285)="FFFF00","초방","재방")</f>
        <v>재방</v>
      </c>
    </row>
    <row r="1148" spans="1:9" ht="11.25" customHeight="1" x14ac:dyDescent="0.3">
      <c r="A1148" s="10" t="str">
        <f t="shared" si="143"/>
        <v/>
      </c>
      <c r="B1148" s="11">
        <f>Weekly!$F$3</f>
        <v>45918</v>
      </c>
      <c r="C1148" s="12">
        <v>0.97916666666666696</v>
      </c>
      <c r="D1148" s="13">
        <f>Weekly!F286</f>
        <v>0</v>
      </c>
      <c r="E1148" s="13" t="str">
        <f t="shared" si="144"/>
        <v/>
      </c>
      <c r="F1148" s="13" t="str">
        <f t="shared" si="147"/>
        <v/>
      </c>
      <c r="G1148" s="13" t="str">
        <f t="shared" si="145"/>
        <v/>
      </c>
      <c r="H1148" s="13" t="str">
        <f t="shared" si="146"/>
        <v/>
      </c>
      <c r="I1148" s="14" t="str">
        <f t="array" ref="I1148">IF(getRGB1(Weekly!F286)="FFFF00","초방","재방")</f>
        <v>재방</v>
      </c>
    </row>
    <row r="1149" spans="1:9" ht="11.25" customHeight="1" x14ac:dyDescent="0.3">
      <c r="A1149" s="10" t="str">
        <f t="shared" si="143"/>
        <v/>
      </c>
      <c r="B1149" s="11">
        <f>Weekly!$F$3</f>
        <v>45918</v>
      </c>
      <c r="C1149" s="12">
        <v>0.98263888888888895</v>
      </c>
      <c r="D1149" s="13">
        <f>Weekly!F287</f>
        <v>0</v>
      </c>
      <c r="E1149" s="13" t="str">
        <f t="shared" si="144"/>
        <v/>
      </c>
      <c r="F1149" s="13" t="str">
        <f t="shared" si="147"/>
        <v/>
      </c>
      <c r="G1149" s="13" t="str">
        <f t="shared" si="145"/>
        <v/>
      </c>
      <c r="H1149" s="13" t="str">
        <f t="shared" si="146"/>
        <v/>
      </c>
      <c r="I1149" s="14" t="str">
        <f t="array" ref="I1149">IF(getRGB1(Weekly!F287)="FFFF00","초방","재방")</f>
        <v>재방</v>
      </c>
    </row>
    <row r="1150" spans="1:9" ht="11.25" customHeight="1" x14ac:dyDescent="0.3">
      <c r="A1150" s="10" t="str">
        <f t="shared" si="143"/>
        <v/>
      </c>
      <c r="B1150" s="11">
        <f>Weekly!$F$3</f>
        <v>45918</v>
      </c>
      <c r="C1150" s="12">
        <v>0.98611111111111105</v>
      </c>
      <c r="D1150" s="13">
        <f>Weekly!F288</f>
        <v>0</v>
      </c>
      <c r="E1150" s="13" t="str">
        <f t="shared" si="144"/>
        <v/>
      </c>
      <c r="F1150" s="13" t="str">
        <f t="shared" si="147"/>
        <v/>
      </c>
      <c r="G1150" s="13" t="str">
        <f t="shared" si="145"/>
        <v/>
      </c>
      <c r="H1150" s="13" t="str">
        <f t="shared" si="146"/>
        <v/>
      </c>
      <c r="I1150" s="14" t="str">
        <f t="array" ref="I1150">IF(getRGB1(Weekly!F288)="FFFF00","초방","재방")</f>
        <v>재방</v>
      </c>
    </row>
    <row r="1151" spans="1:9" ht="11.25" customHeight="1" x14ac:dyDescent="0.3">
      <c r="A1151" s="10" t="str">
        <f t="shared" si="143"/>
        <v/>
      </c>
      <c r="B1151" s="11">
        <f>Weekly!$F$3</f>
        <v>45918</v>
      </c>
      <c r="C1151" s="12">
        <v>0.98958333333333304</v>
      </c>
      <c r="D1151" s="13">
        <f>Weekly!F289</f>
        <v>0</v>
      </c>
      <c r="E1151" s="13" t="str">
        <f t="shared" si="144"/>
        <v/>
      </c>
      <c r="F1151" s="13" t="str">
        <f t="shared" si="147"/>
        <v/>
      </c>
      <c r="G1151" s="13" t="str">
        <f t="shared" si="145"/>
        <v/>
      </c>
      <c r="H1151" s="13" t="str">
        <f t="shared" si="146"/>
        <v/>
      </c>
      <c r="I1151" s="14" t="str">
        <f t="array" ref="I1151">IF(getRGB1(Weekly!F289)="FFFF00","초방","재방")</f>
        <v>재방</v>
      </c>
    </row>
    <row r="1152" spans="1:9" ht="11.25" customHeight="1" x14ac:dyDescent="0.3">
      <c r="A1152" s="10" t="str">
        <f t="shared" si="143"/>
        <v/>
      </c>
      <c r="B1152" s="11">
        <f>Weekly!$F$3</f>
        <v>45918</v>
      </c>
      <c r="C1152" s="12">
        <v>0.99305555555555503</v>
      </c>
      <c r="D1152" s="13">
        <f>Weekly!F290</f>
        <v>0</v>
      </c>
      <c r="E1152" s="13" t="str">
        <f t="shared" si="144"/>
        <v/>
      </c>
      <c r="F1152" s="13" t="str">
        <f t="shared" si="147"/>
        <v/>
      </c>
      <c r="G1152" s="13" t="str">
        <f t="shared" si="145"/>
        <v/>
      </c>
      <c r="H1152" s="13" t="str">
        <f t="shared" si="146"/>
        <v/>
      </c>
      <c r="I1152" s="14" t="str">
        <f t="array" ref="I1152">IF(getRGB1(Weekly!F290)="FFFF00","초방","재방")</f>
        <v>재방</v>
      </c>
    </row>
    <row r="1153" spans="1:9" ht="11.25" customHeight="1" x14ac:dyDescent="0.3">
      <c r="A1153" s="10" t="str">
        <f t="shared" si="143"/>
        <v/>
      </c>
      <c r="B1153" s="11">
        <f>Weekly!$F$3</f>
        <v>45918</v>
      </c>
      <c r="C1153" s="12">
        <v>0.99652777777777801</v>
      </c>
      <c r="D1153" s="13">
        <f>Weekly!F291</f>
        <v>0</v>
      </c>
      <c r="E1153" s="13" t="str">
        <f t="shared" si="144"/>
        <v/>
      </c>
      <c r="F1153" s="13" t="str">
        <f t="shared" si="147"/>
        <v/>
      </c>
      <c r="G1153" s="13" t="str">
        <f t="shared" si="145"/>
        <v/>
      </c>
      <c r="H1153" s="13" t="str">
        <f t="shared" si="146"/>
        <v/>
      </c>
      <c r="I1153" s="14" t="str">
        <f t="array" ref="I1153">IF(getRGB1(Weekly!F291)="FFFF00","초방","재방")</f>
        <v>재방</v>
      </c>
    </row>
    <row r="1154" spans="1:9" ht="11.25" customHeight="1" x14ac:dyDescent="0.3">
      <c r="A1154" s="10">
        <f t="shared" ref="A1154:A1217" si="148">IF(D1154&lt;&gt;0,B1154+C1154,"")</f>
        <v>45919</v>
      </c>
      <c r="B1154" s="11">
        <f>Weekly!$G$3</f>
        <v>45919</v>
      </c>
      <c r="C1154" s="12">
        <v>0</v>
      </c>
      <c r="D1154" s="13" t="str">
        <f>Weekly!G4</f>
        <v>특집 2026 지방선거_경기도의회 생생중계_본회의
&lt;17</v>
      </c>
      <c r="E1154" s="13" t="str">
        <f t="shared" ref="E1154:E1217" si="149">IFERROR(SUBSTITUTE(SUBSTITUTE(TRIM(LEFT(D1154,FIND("&lt;",D1154)-1)),CHAR(10),""),"⑮ ",""),"")</f>
        <v>특집 2026 지방선거_경기도의회 생생중계_본회의</v>
      </c>
      <c r="F1154" s="13">
        <f t="shared" si="147"/>
        <v>17</v>
      </c>
      <c r="G1154" s="13" t="str">
        <f t="shared" ref="G1154:G1217" si="150">IFERROR(MID(D1154,FIND("&gt;",D1154)+1,10),"")</f>
        <v/>
      </c>
      <c r="H1154" s="13" t="str">
        <f t="shared" ref="H1154:H1217" si="151">IFERROR(VLOOKUP(LEFT(D1154,2),$W$1:$X$6,2,0),"")</f>
        <v/>
      </c>
      <c r="I1154" s="14" t="e">
        <f t="array" aca="1" ref="I1154" ca="1">IF(getRGB1(Weekly!G4)="FFFF00","초방","재방")</f>
        <v>#NAME?</v>
      </c>
    </row>
    <row r="1155" spans="1:9" ht="11.25" customHeight="1" x14ac:dyDescent="0.3">
      <c r="A1155" s="10" t="str">
        <f t="shared" si="148"/>
        <v/>
      </c>
      <c r="B1155" s="11">
        <f>Weekly!$G$3</f>
        <v>45919</v>
      </c>
      <c r="C1155" s="12">
        <v>3.472222222222222E-3</v>
      </c>
      <c r="D1155" s="13">
        <f>Weekly!G5</f>
        <v>0</v>
      </c>
      <c r="E1155" s="13" t="str">
        <f t="shared" si="149"/>
        <v/>
      </c>
      <c r="F1155" s="13" t="str">
        <f t="shared" ref="F1155:F1218" si="152">IFERROR((MID(D1155,FIND("&lt;",D1155)+1,4))*1,"")</f>
        <v/>
      </c>
      <c r="G1155" s="13" t="str">
        <f t="shared" si="150"/>
        <v/>
      </c>
      <c r="H1155" s="13" t="str">
        <f t="shared" si="151"/>
        <v/>
      </c>
      <c r="I1155" s="14" t="e">
        <f t="array" aca="1" ref="I1155" ca="1">IF(getRGB1(Weekly!G5)="FFFF00","초방","재방")</f>
        <v>#NAME?</v>
      </c>
    </row>
    <row r="1156" spans="1:9" ht="11.25" customHeight="1" x14ac:dyDescent="0.3">
      <c r="A1156" s="10" t="str">
        <f t="shared" si="148"/>
        <v/>
      </c>
      <c r="B1156" s="11">
        <f>Weekly!$G$3</f>
        <v>45919</v>
      </c>
      <c r="C1156" s="12">
        <v>6.9444444444444397E-3</v>
      </c>
      <c r="D1156" s="13">
        <f>Weekly!G6</f>
        <v>0</v>
      </c>
      <c r="E1156" s="13" t="str">
        <f t="shared" si="149"/>
        <v/>
      </c>
      <c r="F1156" s="13" t="str">
        <f t="shared" si="152"/>
        <v/>
      </c>
      <c r="G1156" s="13" t="str">
        <f t="shared" si="150"/>
        <v/>
      </c>
      <c r="H1156" s="13" t="str">
        <f t="shared" si="151"/>
        <v/>
      </c>
      <c r="I1156" s="14" t="e">
        <f t="array" aca="1" ref="I1156" ca="1">IF(getRGB1(Weekly!G6)="FFFF00","초방","재방")</f>
        <v>#NAME?</v>
      </c>
    </row>
    <row r="1157" spans="1:9" ht="11.25" customHeight="1" x14ac:dyDescent="0.3">
      <c r="A1157" s="10" t="str">
        <f t="shared" si="148"/>
        <v/>
      </c>
      <c r="B1157" s="11">
        <f>Weekly!$G$3</f>
        <v>45919</v>
      </c>
      <c r="C1157" s="12">
        <v>1.0416666666666701E-2</v>
      </c>
      <c r="D1157" s="13">
        <f>Weekly!G7</f>
        <v>0</v>
      </c>
      <c r="E1157" s="13" t="str">
        <f t="shared" si="149"/>
        <v/>
      </c>
      <c r="F1157" s="13" t="str">
        <f t="shared" si="152"/>
        <v/>
      </c>
      <c r="G1157" s="13" t="str">
        <f t="shared" si="150"/>
        <v/>
      </c>
      <c r="H1157" s="13" t="str">
        <f t="shared" si="151"/>
        <v/>
      </c>
      <c r="I1157" s="14" t="e">
        <f t="array" aca="1" ref="I1157" ca="1">IF(getRGB1(Weekly!G7)="FFFF00","초방","재방")</f>
        <v>#NAME?</v>
      </c>
    </row>
    <row r="1158" spans="1:9" ht="11.25" customHeight="1" x14ac:dyDescent="0.3">
      <c r="A1158" s="10" t="str">
        <f t="shared" si="148"/>
        <v/>
      </c>
      <c r="B1158" s="11">
        <f>Weekly!$G$3</f>
        <v>45919</v>
      </c>
      <c r="C1158" s="12">
        <v>1.38888888888889E-2</v>
      </c>
      <c r="D1158" s="13">
        <f>Weekly!G8</f>
        <v>0</v>
      </c>
      <c r="E1158" s="13" t="str">
        <f t="shared" si="149"/>
        <v/>
      </c>
      <c r="F1158" s="13" t="str">
        <f t="shared" si="152"/>
        <v/>
      </c>
      <c r="G1158" s="13" t="str">
        <f t="shared" si="150"/>
        <v/>
      </c>
      <c r="H1158" s="13" t="str">
        <f t="shared" si="151"/>
        <v/>
      </c>
      <c r="I1158" s="14" t="e">
        <f t="array" aca="1" ref="I1158" ca="1">IF(getRGB1(Weekly!G8)="FFFF00","초방","재방")</f>
        <v>#NAME?</v>
      </c>
    </row>
    <row r="1159" spans="1:9" ht="11.25" customHeight="1" x14ac:dyDescent="0.3">
      <c r="A1159" s="10" t="str">
        <f t="shared" si="148"/>
        <v/>
      </c>
      <c r="B1159" s="11">
        <f>Weekly!$G$3</f>
        <v>45919</v>
      </c>
      <c r="C1159" s="12">
        <v>1.7361111111111101E-2</v>
      </c>
      <c r="D1159" s="13">
        <f>Weekly!G9</f>
        <v>0</v>
      </c>
      <c r="E1159" s="13" t="str">
        <f t="shared" si="149"/>
        <v/>
      </c>
      <c r="F1159" s="13" t="str">
        <f t="shared" si="152"/>
        <v/>
      </c>
      <c r="G1159" s="13" t="str">
        <f t="shared" si="150"/>
        <v/>
      </c>
      <c r="H1159" s="13" t="str">
        <f t="shared" si="151"/>
        <v/>
      </c>
      <c r="I1159" s="14" t="e">
        <f t="array" aca="1" ref="I1159" ca="1">IF(getRGB1(Weekly!G9)="FFFF00","초방","재방")</f>
        <v>#NAME?</v>
      </c>
    </row>
    <row r="1160" spans="1:9" ht="11.25" customHeight="1" x14ac:dyDescent="0.3">
      <c r="A1160" s="10" t="str">
        <f t="shared" si="148"/>
        <v/>
      </c>
      <c r="B1160" s="11">
        <f>Weekly!$G$3</f>
        <v>45919</v>
      </c>
      <c r="C1160" s="12">
        <v>2.0833333333333301E-2</v>
      </c>
      <c r="D1160" s="13">
        <f>Weekly!G10</f>
        <v>0</v>
      </c>
      <c r="E1160" s="13" t="str">
        <f t="shared" si="149"/>
        <v/>
      </c>
      <c r="F1160" s="13" t="str">
        <f t="shared" si="152"/>
        <v/>
      </c>
      <c r="G1160" s="13" t="str">
        <f t="shared" si="150"/>
        <v/>
      </c>
      <c r="H1160" s="13" t="str">
        <f t="shared" si="151"/>
        <v/>
      </c>
      <c r="I1160" s="14" t="e">
        <f t="array" aca="1" ref="I1160" ca="1">IF(getRGB1(Weekly!G10)="FFFF00","초방","재방")</f>
        <v>#NAME?</v>
      </c>
    </row>
    <row r="1161" spans="1:9" ht="11.25" customHeight="1" x14ac:dyDescent="0.3">
      <c r="A1161" s="10" t="str">
        <f t="shared" si="148"/>
        <v/>
      </c>
      <c r="B1161" s="11">
        <f>Weekly!$G$3</f>
        <v>45919</v>
      </c>
      <c r="C1161" s="12">
        <v>2.4305555555555601E-2</v>
      </c>
      <c r="D1161" s="13">
        <f>Weekly!G11</f>
        <v>0</v>
      </c>
      <c r="E1161" s="13" t="str">
        <f t="shared" si="149"/>
        <v/>
      </c>
      <c r="F1161" s="13" t="str">
        <f t="shared" si="152"/>
        <v/>
      </c>
      <c r="G1161" s="13" t="str">
        <f t="shared" si="150"/>
        <v/>
      </c>
      <c r="H1161" s="13" t="str">
        <f t="shared" si="151"/>
        <v/>
      </c>
      <c r="I1161" s="14" t="e">
        <f t="array" aca="1" ref="I1161" ca="1">IF(getRGB1(Weekly!G11)="FFFF00","초방","재방")</f>
        <v>#NAME?</v>
      </c>
    </row>
    <row r="1162" spans="1:9" ht="11.25" customHeight="1" x14ac:dyDescent="0.3">
      <c r="A1162" s="10" t="str">
        <f t="shared" si="148"/>
        <v/>
      </c>
      <c r="B1162" s="11">
        <f>Weekly!$G$3</f>
        <v>45919</v>
      </c>
      <c r="C1162" s="12">
        <v>2.7777777777777801E-2</v>
      </c>
      <c r="D1162" s="13">
        <f>Weekly!G12</f>
        <v>0</v>
      </c>
      <c r="E1162" s="13" t="str">
        <f t="shared" si="149"/>
        <v/>
      </c>
      <c r="F1162" s="13" t="str">
        <f t="shared" si="152"/>
        <v/>
      </c>
      <c r="G1162" s="13" t="str">
        <f t="shared" si="150"/>
        <v/>
      </c>
      <c r="H1162" s="13" t="str">
        <f t="shared" si="151"/>
        <v/>
      </c>
      <c r="I1162" s="14" t="e">
        <f t="array" aca="1" ref="I1162" ca="1">IF(getRGB1(Weekly!G12)="FFFF00","초방","재방")</f>
        <v>#NAME?</v>
      </c>
    </row>
    <row r="1163" spans="1:9" ht="11.25" customHeight="1" x14ac:dyDescent="0.3">
      <c r="A1163" s="10" t="str">
        <f t="shared" si="148"/>
        <v/>
      </c>
      <c r="B1163" s="11">
        <f>Weekly!$G$3</f>
        <v>45919</v>
      </c>
      <c r="C1163" s="12">
        <v>3.125E-2</v>
      </c>
      <c r="D1163" s="13">
        <f>Weekly!G13</f>
        <v>0</v>
      </c>
      <c r="E1163" s="13" t="str">
        <f t="shared" si="149"/>
        <v/>
      </c>
      <c r="F1163" s="13" t="str">
        <f t="shared" si="152"/>
        <v/>
      </c>
      <c r="G1163" s="13" t="str">
        <f t="shared" si="150"/>
        <v/>
      </c>
      <c r="H1163" s="13" t="str">
        <f t="shared" si="151"/>
        <v/>
      </c>
      <c r="I1163" s="14" t="e">
        <f t="array" aca="1" ref="I1163" ca="1">IF(getRGB1(Weekly!G13)="FFFF00","초방","재방")</f>
        <v>#NAME?</v>
      </c>
    </row>
    <row r="1164" spans="1:9" ht="11.25" customHeight="1" x14ac:dyDescent="0.3">
      <c r="A1164" s="10" t="str">
        <f t="shared" si="148"/>
        <v/>
      </c>
      <c r="B1164" s="11">
        <f>Weekly!$G$3</f>
        <v>45919</v>
      </c>
      <c r="C1164" s="12">
        <v>3.4722222222222203E-2</v>
      </c>
      <c r="D1164" s="13">
        <f>Weekly!G14</f>
        <v>0</v>
      </c>
      <c r="E1164" s="13" t="str">
        <f t="shared" si="149"/>
        <v/>
      </c>
      <c r="F1164" s="13" t="str">
        <f t="shared" si="152"/>
        <v/>
      </c>
      <c r="G1164" s="13" t="str">
        <f t="shared" si="150"/>
        <v/>
      </c>
      <c r="H1164" s="13" t="str">
        <f t="shared" si="151"/>
        <v/>
      </c>
      <c r="I1164" s="14" t="e">
        <f t="array" aca="1" ref="I1164" ca="1">IF(getRGB1(Weekly!G14)="FFFF00","초방","재방")</f>
        <v>#NAME?</v>
      </c>
    </row>
    <row r="1165" spans="1:9" ht="11.25" customHeight="1" x14ac:dyDescent="0.3">
      <c r="A1165" s="10" t="str">
        <f t="shared" si="148"/>
        <v/>
      </c>
      <c r="B1165" s="11">
        <f>Weekly!$G$3</f>
        <v>45919</v>
      </c>
      <c r="C1165" s="12">
        <v>3.8194444444444399E-2</v>
      </c>
      <c r="D1165" s="13">
        <f>Weekly!G15</f>
        <v>0</v>
      </c>
      <c r="E1165" s="13" t="str">
        <f t="shared" si="149"/>
        <v/>
      </c>
      <c r="F1165" s="13" t="str">
        <f t="shared" si="152"/>
        <v/>
      </c>
      <c r="G1165" s="13" t="str">
        <f t="shared" si="150"/>
        <v/>
      </c>
      <c r="H1165" s="13" t="str">
        <f t="shared" si="151"/>
        <v/>
      </c>
      <c r="I1165" s="14" t="e">
        <f t="array" aca="1" ref="I1165" ca="1">IF(getRGB1(Weekly!G15)="FFFF00","초방","재방")</f>
        <v>#NAME?</v>
      </c>
    </row>
    <row r="1166" spans="1:9" ht="11.25" customHeight="1" x14ac:dyDescent="0.3">
      <c r="A1166" s="10">
        <f t="shared" si="148"/>
        <v>45919.041666666664</v>
      </c>
      <c r="B1166" s="11">
        <f>Weekly!$G$3</f>
        <v>45919</v>
      </c>
      <c r="C1166" s="12">
        <v>4.1666666666666699E-2</v>
      </c>
      <c r="D1166" s="13" t="str">
        <f>Weekly!G16</f>
        <v>특집 2026 지방선거_경기도의회 생생중계_상임위
&lt;17</v>
      </c>
      <c r="E1166" s="13" t="str">
        <f t="shared" si="149"/>
        <v>특집 2026 지방선거_경기도의회 생생중계_상임위</v>
      </c>
      <c r="F1166" s="13">
        <f t="shared" si="152"/>
        <v>17</v>
      </c>
      <c r="G1166" s="13" t="str">
        <f t="shared" si="150"/>
        <v/>
      </c>
      <c r="H1166" s="13" t="str">
        <f t="shared" si="151"/>
        <v/>
      </c>
      <c r="I1166" s="14" t="e">
        <f t="array" aca="1" ref="I1166" ca="1">IF(getRGB1(Weekly!G16)="FFFF00","초방","재방")</f>
        <v>#NAME?</v>
      </c>
    </row>
    <row r="1167" spans="1:9" ht="11.25" customHeight="1" x14ac:dyDescent="0.3">
      <c r="A1167" s="10" t="str">
        <f t="shared" si="148"/>
        <v/>
      </c>
      <c r="B1167" s="11">
        <f>Weekly!$G$3</f>
        <v>45919</v>
      </c>
      <c r="C1167" s="12">
        <v>4.5138888888888902E-2</v>
      </c>
      <c r="D1167" s="13">
        <f>Weekly!G17</f>
        <v>0</v>
      </c>
      <c r="E1167" s="13" t="str">
        <f t="shared" si="149"/>
        <v/>
      </c>
      <c r="F1167" s="13" t="str">
        <f t="shared" si="152"/>
        <v/>
      </c>
      <c r="G1167" s="13" t="str">
        <f t="shared" si="150"/>
        <v/>
      </c>
      <c r="H1167" s="13" t="str">
        <f t="shared" si="151"/>
        <v/>
      </c>
      <c r="I1167" s="14" t="e">
        <f t="array" aca="1" ref="I1167" ca="1">IF(getRGB1(Weekly!G17)="FFFF00","초방","재방")</f>
        <v>#NAME?</v>
      </c>
    </row>
    <row r="1168" spans="1:9" ht="11.25" customHeight="1" x14ac:dyDescent="0.3">
      <c r="A1168" s="10" t="str">
        <f t="shared" si="148"/>
        <v/>
      </c>
      <c r="B1168" s="11">
        <f>Weekly!$G$3</f>
        <v>45919</v>
      </c>
      <c r="C1168" s="12">
        <v>4.8611111111111098E-2</v>
      </c>
      <c r="D1168" s="13">
        <f>Weekly!G18</f>
        <v>0</v>
      </c>
      <c r="E1168" s="13" t="str">
        <f t="shared" si="149"/>
        <v/>
      </c>
      <c r="F1168" s="13" t="str">
        <f t="shared" si="152"/>
        <v/>
      </c>
      <c r="G1168" s="13" t="str">
        <f t="shared" si="150"/>
        <v/>
      </c>
      <c r="H1168" s="13" t="str">
        <f t="shared" si="151"/>
        <v/>
      </c>
      <c r="I1168" s="14" t="e">
        <f t="array" aca="1" ref="I1168" ca="1">IF(getRGB1(Weekly!G18)="FFFF00","초방","재방")</f>
        <v>#NAME?</v>
      </c>
    </row>
    <row r="1169" spans="1:9" ht="11.25" customHeight="1" x14ac:dyDescent="0.3">
      <c r="A1169" s="10" t="str">
        <f t="shared" si="148"/>
        <v/>
      </c>
      <c r="B1169" s="11">
        <f>Weekly!$G$3</f>
        <v>45919</v>
      </c>
      <c r="C1169" s="12">
        <v>5.2083333333333301E-2</v>
      </c>
      <c r="D1169" s="13">
        <f>Weekly!G19</f>
        <v>0</v>
      </c>
      <c r="E1169" s="13" t="str">
        <f t="shared" si="149"/>
        <v/>
      </c>
      <c r="F1169" s="13" t="str">
        <f t="shared" si="152"/>
        <v/>
      </c>
      <c r="G1169" s="13" t="str">
        <f t="shared" si="150"/>
        <v/>
      </c>
      <c r="H1169" s="13" t="str">
        <f t="shared" si="151"/>
        <v/>
      </c>
      <c r="I1169" s="14" t="e">
        <f t="array" aca="1" ref="I1169" ca="1">IF(getRGB1(Weekly!G19)="FFFF00","초방","재방")</f>
        <v>#NAME?</v>
      </c>
    </row>
    <row r="1170" spans="1:9" ht="11.25" customHeight="1" x14ac:dyDescent="0.3">
      <c r="A1170" s="10" t="str">
        <f t="shared" si="148"/>
        <v/>
      </c>
      <c r="B1170" s="11">
        <f>Weekly!$G$3</f>
        <v>45919</v>
      </c>
      <c r="C1170" s="12">
        <v>5.5555555555555601E-2</v>
      </c>
      <c r="D1170" s="13">
        <f>Weekly!G20</f>
        <v>0</v>
      </c>
      <c r="E1170" s="13" t="str">
        <f t="shared" si="149"/>
        <v/>
      </c>
      <c r="F1170" s="13" t="str">
        <f t="shared" si="152"/>
        <v/>
      </c>
      <c r="G1170" s="13" t="str">
        <f t="shared" si="150"/>
        <v/>
      </c>
      <c r="H1170" s="13" t="str">
        <f t="shared" si="151"/>
        <v/>
      </c>
      <c r="I1170" s="14" t="e">
        <f t="array" aca="1" ref="I1170" ca="1">IF(getRGB1(Weekly!G20)="FFFF00","초방","재방")</f>
        <v>#NAME?</v>
      </c>
    </row>
    <row r="1171" spans="1:9" ht="11.25" customHeight="1" x14ac:dyDescent="0.3">
      <c r="A1171" s="10" t="str">
        <f t="shared" si="148"/>
        <v/>
      </c>
      <c r="B1171" s="11">
        <f>Weekly!$G$3</f>
        <v>45919</v>
      </c>
      <c r="C1171" s="12">
        <v>5.9027777777777797E-2</v>
      </c>
      <c r="D1171" s="13">
        <f>Weekly!G21</f>
        <v>0</v>
      </c>
      <c r="E1171" s="13" t="str">
        <f t="shared" si="149"/>
        <v/>
      </c>
      <c r="F1171" s="13" t="str">
        <f t="shared" si="152"/>
        <v/>
      </c>
      <c r="G1171" s="13" t="str">
        <f t="shared" si="150"/>
        <v/>
      </c>
      <c r="H1171" s="13" t="str">
        <f t="shared" si="151"/>
        <v/>
      </c>
      <c r="I1171" s="14" t="e">
        <f t="array" aca="1" ref="I1171" ca="1">IF(getRGB1(Weekly!G21)="FFFF00","초방","재방")</f>
        <v>#NAME?</v>
      </c>
    </row>
    <row r="1172" spans="1:9" ht="11.25" customHeight="1" x14ac:dyDescent="0.3">
      <c r="A1172" s="10" t="str">
        <f t="shared" si="148"/>
        <v/>
      </c>
      <c r="B1172" s="11">
        <f>Weekly!$G$3</f>
        <v>45919</v>
      </c>
      <c r="C1172" s="12">
        <v>6.25E-2</v>
      </c>
      <c r="D1172" s="13">
        <f>Weekly!G22</f>
        <v>0</v>
      </c>
      <c r="E1172" s="13" t="str">
        <f t="shared" si="149"/>
        <v/>
      </c>
      <c r="F1172" s="13" t="str">
        <f t="shared" si="152"/>
        <v/>
      </c>
      <c r="G1172" s="13" t="str">
        <f t="shared" si="150"/>
        <v/>
      </c>
      <c r="H1172" s="13" t="str">
        <f t="shared" si="151"/>
        <v/>
      </c>
      <c r="I1172" s="14" t="e">
        <f t="array" aca="1" ref="I1172" ca="1">IF(getRGB1(Weekly!G22)="FFFF00","초방","재방")</f>
        <v>#NAME?</v>
      </c>
    </row>
    <row r="1173" spans="1:9" ht="11.25" customHeight="1" x14ac:dyDescent="0.3">
      <c r="A1173" s="10" t="str">
        <f t="shared" si="148"/>
        <v/>
      </c>
      <c r="B1173" s="11">
        <f>Weekly!$G$3</f>
        <v>45919</v>
      </c>
      <c r="C1173" s="12">
        <v>6.5972222222222196E-2</v>
      </c>
      <c r="D1173" s="13">
        <f>Weekly!G23</f>
        <v>0</v>
      </c>
      <c r="E1173" s="13" t="str">
        <f t="shared" si="149"/>
        <v/>
      </c>
      <c r="F1173" s="13" t="str">
        <f t="shared" si="152"/>
        <v/>
      </c>
      <c r="G1173" s="13" t="str">
        <f t="shared" si="150"/>
        <v/>
      </c>
      <c r="H1173" s="13" t="str">
        <f t="shared" si="151"/>
        <v/>
      </c>
      <c r="I1173" s="14" t="e">
        <f t="array" aca="1" ref="I1173" ca="1">IF(getRGB1(Weekly!G23)="FFFF00","초방","재방")</f>
        <v>#NAME?</v>
      </c>
    </row>
    <row r="1174" spans="1:9" ht="11.25" customHeight="1" x14ac:dyDescent="0.3">
      <c r="A1174" s="10" t="str">
        <f t="shared" si="148"/>
        <v/>
      </c>
      <c r="B1174" s="11">
        <f>Weekly!$G$3</f>
        <v>45919</v>
      </c>
      <c r="C1174" s="12">
        <v>6.9444444444444406E-2</v>
      </c>
      <c r="D1174" s="13">
        <f>Weekly!G24</f>
        <v>0</v>
      </c>
      <c r="E1174" s="13" t="str">
        <f t="shared" si="149"/>
        <v/>
      </c>
      <c r="F1174" s="13" t="str">
        <f t="shared" si="152"/>
        <v/>
      </c>
      <c r="G1174" s="13" t="str">
        <f t="shared" si="150"/>
        <v/>
      </c>
      <c r="H1174" s="13" t="str">
        <f t="shared" si="151"/>
        <v/>
      </c>
      <c r="I1174" s="14" t="e">
        <f t="array" aca="1" ref="I1174" ca="1">IF(getRGB1(Weekly!G24)="FFFF00","초방","재방")</f>
        <v>#NAME?</v>
      </c>
    </row>
    <row r="1175" spans="1:9" ht="11.25" customHeight="1" x14ac:dyDescent="0.3">
      <c r="A1175" s="10" t="str">
        <f t="shared" si="148"/>
        <v/>
      </c>
      <c r="B1175" s="11">
        <f>Weekly!$G$3</f>
        <v>45919</v>
      </c>
      <c r="C1175" s="12">
        <v>7.2916666666666699E-2</v>
      </c>
      <c r="D1175" s="13">
        <f>Weekly!G25</f>
        <v>0</v>
      </c>
      <c r="E1175" s="13" t="str">
        <f t="shared" si="149"/>
        <v/>
      </c>
      <c r="F1175" s="13" t="str">
        <f t="shared" si="152"/>
        <v/>
      </c>
      <c r="G1175" s="13" t="str">
        <f t="shared" si="150"/>
        <v/>
      </c>
      <c r="H1175" s="13" t="str">
        <f t="shared" si="151"/>
        <v/>
      </c>
      <c r="I1175" s="14" t="e">
        <f t="array" aca="1" ref="I1175" ca="1">IF(getRGB1(Weekly!G25)="FFFF00","초방","재방")</f>
        <v>#NAME?</v>
      </c>
    </row>
    <row r="1176" spans="1:9" ht="11.25" customHeight="1" x14ac:dyDescent="0.3">
      <c r="A1176" s="10" t="str">
        <f t="shared" si="148"/>
        <v/>
      </c>
      <c r="B1176" s="11">
        <f>Weekly!$G$3</f>
        <v>45919</v>
      </c>
      <c r="C1176" s="12">
        <v>7.6388888888888895E-2</v>
      </c>
      <c r="D1176" s="13">
        <f>Weekly!G26</f>
        <v>0</v>
      </c>
      <c r="E1176" s="13" t="str">
        <f t="shared" si="149"/>
        <v/>
      </c>
      <c r="F1176" s="13" t="str">
        <f t="shared" si="152"/>
        <v/>
      </c>
      <c r="G1176" s="13" t="str">
        <f t="shared" si="150"/>
        <v/>
      </c>
      <c r="H1176" s="13" t="str">
        <f t="shared" si="151"/>
        <v/>
      </c>
      <c r="I1176" s="14" t="e">
        <f t="array" aca="1" ref="I1176" ca="1">IF(getRGB1(Weekly!G26)="FFFF00","초방","재방")</f>
        <v>#NAME?</v>
      </c>
    </row>
    <row r="1177" spans="1:9" ht="11.25" customHeight="1" x14ac:dyDescent="0.3">
      <c r="A1177" s="10" t="str">
        <f t="shared" si="148"/>
        <v/>
      </c>
      <c r="B1177" s="11">
        <f>Weekly!$G$3</f>
        <v>45919</v>
      </c>
      <c r="C1177" s="12">
        <v>7.9861111111111105E-2</v>
      </c>
      <c r="D1177" s="13">
        <f>Weekly!G27</f>
        <v>0</v>
      </c>
      <c r="E1177" s="13" t="str">
        <f t="shared" si="149"/>
        <v/>
      </c>
      <c r="F1177" s="13" t="str">
        <f t="shared" si="152"/>
        <v/>
      </c>
      <c r="G1177" s="13" t="str">
        <f t="shared" si="150"/>
        <v/>
      </c>
      <c r="H1177" s="13" t="str">
        <f t="shared" si="151"/>
        <v/>
      </c>
      <c r="I1177" s="14" t="e">
        <f t="array" aca="1" ref="I1177" ca="1">IF(getRGB1(Weekly!G27)="FFFF00","초방","재방")</f>
        <v>#NAME?</v>
      </c>
    </row>
    <row r="1178" spans="1:9" ht="11.25" customHeight="1" x14ac:dyDescent="0.3">
      <c r="A1178" s="10">
        <f t="shared" si="148"/>
        <v>45919.083333333336</v>
      </c>
      <c r="B1178" s="11">
        <f>Weekly!$G$3</f>
        <v>45919</v>
      </c>
      <c r="C1178" s="12">
        <v>8.3333333333333301E-2</v>
      </c>
      <c r="D1178" s="13" t="str">
        <f>Weekly!G28</f>
        <v>휴먼다큐 시장사람들
&lt;19</v>
      </c>
      <c r="E1178" s="13" t="str">
        <f t="shared" si="149"/>
        <v>휴먼다큐 시장사람들</v>
      </c>
      <c r="F1178" s="13">
        <f t="shared" si="152"/>
        <v>19</v>
      </c>
      <c r="G1178" s="13" t="str">
        <f t="shared" si="150"/>
        <v/>
      </c>
      <c r="H1178" s="13" t="str">
        <f t="shared" si="151"/>
        <v/>
      </c>
      <c r="I1178" s="14" t="str">
        <f t="array" ref="I1178">IF(getRGB1(Weekly!G28)="FFFF00","초방","재방")</f>
        <v>재방</v>
      </c>
    </row>
    <row r="1179" spans="1:9" ht="11.25" customHeight="1" x14ac:dyDescent="0.3">
      <c r="A1179" s="10" t="str">
        <f t="shared" si="148"/>
        <v/>
      </c>
      <c r="B1179" s="11">
        <f>Weekly!$G$3</f>
        <v>45919</v>
      </c>
      <c r="C1179" s="12">
        <v>8.6805555555555594E-2</v>
      </c>
      <c r="D1179" s="13">
        <f>Weekly!G29</f>
        <v>0</v>
      </c>
      <c r="E1179" s="13" t="str">
        <f t="shared" si="149"/>
        <v/>
      </c>
      <c r="F1179" s="13" t="str">
        <f t="shared" si="152"/>
        <v/>
      </c>
      <c r="G1179" s="13" t="str">
        <f t="shared" si="150"/>
        <v/>
      </c>
      <c r="H1179" s="13" t="str">
        <f t="shared" si="151"/>
        <v/>
      </c>
      <c r="I1179" s="14" t="str">
        <f t="array" ref="I1179">IF(getRGB1(Weekly!G29)="FFFF00","초방","재방")</f>
        <v>재방</v>
      </c>
    </row>
    <row r="1180" spans="1:9" ht="11.25" customHeight="1" x14ac:dyDescent="0.3">
      <c r="A1180" s="10" t="str">
        <f t="shared" si="148"/>
        <v/>
      </c>
      <c r="B1180" s="11">
        <f>Weekly!$G$3</f>
        <v>45919</v>
      </c>
      <c r="C1180" s="12">
        <v>9.0277777777777804E-2</v>
      </c>
      <c r="D1180" s="13">
        <f>Weekly!G30</f>
        <v>0</v>
      </c>
      <c r="E1180" s="13" t="str">
        <f t="shared" si="149"/>
        <v/>
      </c>
      <c r="F1180" s="13" t="str">
        <f t="shared" si="152"/>
        <v/>
      </c>
      <c r="G1180" s="13" t="str">
        <f t="shared" si="150"/>
        <v/>
      </c>
      <c r="H1180" s="13" t="str">
        <f t="shared" si="151"/>
        <v/>
      </c>
      <c r="I1180" s="14" t="str">
        <f t="array" ref="I1180">IF(getRGB1(Weekly!G30)="FFFF00","초방","재방")</f>
        <v>재방</v>
      </c>
    </row>
    <row r="1181" spans="1:9" ht="11.25" customHeight="1" x14ac:dyDescent="0.3">
      <c r="A1181" s="10" t="str">
        <f t="shared" si="148"/>
        <v/>
      </c>
      <c r="B1181" s="11">
        <f>Weekly!$G$3</f>
        <v>45919</v>
      </c>
      <c r="C1181" s="12">
        <v>9.375E-2</v>
      </c>
      <c r="D1181" s="13">
        <f>Weekly!G31</f>
        <v>0</v>
      </c>
      <c r="E1181" s="13" t="str">
        <f t="shared" si="149"/>
        <v/>
      </c>
      <c r="F1181" s="13" t="str">
        <f t="shared" si="152"/>
        <v/>
      </c>
      <c r="G1181" s="13" t="str">
        <f t="shared" si="150"/>
        <v/>
      </c>
      <c r="H1181" s="13" t="str">
        <f t="shared" si="151"/>
        <v/>
      </c>
      <c r="I1181" s="14" t="str">
        <f t="array" ref="I1181">IF(getRGB1(Weekly!G31)="FFFF00","초방","재방")</f>
        <v>재방</v>
      </c>
    </row>
    <row r="1182" spans="1:9" ht="11.25" customHeight="1" x14ac:dyDescent="0.3">
      <c r="A1182" s="10" t="str">
        <f t="shared" si="148"/>
        <v/>
      </c>
      <c r="B1182" s="11">
        <f>Weekly!$G$3</f>
        <v>45919</v>
      </c>
      <c r="C1182" s="12">
        <v>9.7222222222222196E-2</v>
      </c>
      <c r="D1182" s="13">
        <f>Weekly!G32</f>
        <v>0</v>
      </c>
      <c r="E1182" s="13" t="str">
        <f t="shared" si="149"/>
        <v/>
      </c>
      <c r="F1182" s="13" t="str">
        <f t="shared" si="152"/>
        <v/>
      </c>
      <c r="G1182" s="13" t="str">
        <f t="shared" si="150"/>
        <v/>
      </c>
      <c r="H1182" s="13" t="str">
        <f t="shared" si="151"/>
        <v/>
      </c>
      <c r="I1182" s="14" t="str">
        <f t="array" ref="I1182">IF(getRGB1(Weekly!G32)="FFFF00","초방","재방")</f>
        <v>재방</v>
      </c>
    </row>
    <row r="1183" spans="1:9" ht="11.25" customHeight="1" x14ac:dyDescent="0.3">
      <c r="A1183" s="10" t="str">
        <f t="shared" si="148"/>
        <v/>
      </c>
      <c r="B1183" s="11">
        <f>Weekly!$G$3</f>
        <v>45919</v>
      </c>
      <c r="C1183" s="12">
        <v>0.100694444444444</v>
      </c>
      <c r="D1183" s="13">
        <f>Weekly!G33</f>
        <v>0</v>
      </c>
      <c r="E1183" s="13" t="str">
        <f t="shared" si="149"/>
        <v/>
      </c>
      <c r="F1183" s="13" t="str">
        <f t="shared" si="152"/>
        <v/>
      </c>
      <c r="G1183" s="13" t="str">
        <f t="shared" si="150"/>
        <v/>
      </c>
      <c r="H1183" s="13" t="str">
        <f t="shared" si="151"/>
        <v/>
      </c>
      <c r="I1183" s="14" t="str">
        <f t="array" ref="I1183">IF(getRGB1(Weekly!G33)="FFFF00","초방","재방")</f>
        <v>재방</v>
      </c>
    </row>
    <row r="1184" spans="1:9" ht="11.25" customHeight="1" x14ac:dyDescent="0.3">
      <c r="A1184" s="10" t="str">
        <f t="shared" si="148"/>
        <v/>
      </c>
      <c r="B1184" s="11">
        <f>Weekly!$G$3</f>
        <v>45919</v>
      </c>
      <c r="C1184" s="12">
        <v>0.104166666666667</v>
      </c>
      <c r="D1184" s="13">
        <f>Weekly!G34</f>
        <v>0</v>
      </c>
      <c r="E1184" s="13" t="str">
        <f t="shared" si="149"/>
        <v/>
      </c>
      <c r="F1184" s="13" t="str">
        <f t="shared" si="152"/>
        <v/>
      </c>
      <c r="G1184" s="13" t="str">
        <f t="shared" si="150"/>
        <v/>
      </c>
      <c r="H1184" s="13" t="str">
        <f t="shared" si="151"/>
        <v/>
      </c>
      <c r="I1184" s="14" t="str">
        <f t="array" ref="I1184">IF(getRGB1(Weekly!G34)="FFFF00","초방","재방")</f>
        <v>재방</v>
      </c>
    </row>
    <row r="1185" spans="1:9" ht="11.25" customHeight="1" x14ac:dyDescent="0.3">
      <c r="A1185" s="10" t="str">
        <f t="shared" si="148"/>
        <v/>
      </c>
      <c r="B1185" s="11">
        <f>Weekly!$G$3</f>
        <v>45919</v>
      </c>
      <c r="C1185" s="12">
        <v>0.10763888888888901</v>
      </c>
      <c r="D1185" s="13">
        <f>Weekly!G35</f>
        <v>0</v>
      </c>
      <c r="E1185" s="13" t="str">
        <f t="shared" si="149"/>
        <v/>
      </c>
      <c r="F1185" s="13" t="str">
        <f t="shared" si="152"/>
        <v/>
      </c>
      <c r="G1185" s="13" t="str">
        <f t="shared" si="150"/>
        <v/>
      </c>
      <c r="H1185" s="13" t="str">
        <f t="shared" si="151"/>
        <v/>
      </c>
      <c r="I1185" s="14" t="str">
        <f t="array" ref="I1185">IF(getRGB1(Weekly!G35)="FFFF00","초방","재방")</f>
        <v>재방</v>
      </c>
    </row>
    <row r="1186" spans="1:9" ht="11.25" customHeight="1" x14ac:dyDescent="0.3">
      <c r="A1186" s="10">
        <f t="shared" si="148"/>
        <v>45919.111111111109</v>
      </c>
      <c r="B1186" s="11">
        <f>Weekly!$G$3</f>
        <v>45919</v>
      </c>
      <c r="C1186" s="12">
        <v>0.11111111111111099</v>
      </c>
      <c r="D1186" s="13" t="str">
        <f>Weekly!G36</f>
        <v>최선규의 이제는 지방시대 시즌2
&lt;08</v>
      </c>
      <c r="E1186" s="13" t="str">
        <f t="shared" si="149"/>
        <v>최선규의 이제는 지방시대 시즌2</v>
      </c>
      <c r="F1186" s="13">
        <f t="shared" si="152"/>
        <v>8</v>
      </c>
      <c r="G1186" s="13" t="str">
        <f t="shared" si="150"/>
        <v/>
      </c>
      <c r="H1186" s="13" t="str">
        <f t="shared" si="151"/>
        <v/>
      </c>
      <c r="I1186" s="14" t="str">
        <f t="array" ref="I1186">IF(getRGB1(Weekly!G36)="FFFF00","초방","재방")</f>
        <v>재방</v>
      </c>
    </row>
    <row r="1187" spans="1:9" ht="11.25" customHeight="1" x14ac:dyDescent="0.3">
      <c r="A1187" s="10" t="str">
        <f t="shared" si="148"/>
        <v/>
      </c>
      <c r="B1187" s="11">
        <f>Weekly!$G$3</f>
        <v>45919</v>
      </c>
      <c r="C1187" s="12">
        <v>0.114583333333333</v>
      </c>
      <c r="D1187" s="13">
        <f>Weekly!G37</f>
        <v>0</v>
      </c>
      <c r="E1187" s="13" t="str">
        <f t="shared" si="149"/>
        <v/>
      </c>
      <c r="F1187" s="13" t="str">
        <f t="shared" si="152"/>
        <v/>
      </c>
      <c r="G1187" s="13" t="str">
        <f t="shared" si="150"/>
        <v/>
      </c>
      <c r="H1187" s="13" t="str">
        <f t="shared" si="151"/>
        <v/>
      </c>
      <c r="I1187" s="14" t="str">
        <f t="array" ref="I1187">IF(getRGB1(Weekly!G37)="FFFF00","초방","재방")</f>
        <v>재방</v>
      </c>
    </row>
    <row r="1188" spans="1:9" ht="11.25" customHeight="1" x14ac:dyDescent="0.3">
      <c r="A1188" s="10" t="str">
        <f t="shared" si="148"/>
        <v/>
      </c>
      <c r="B1188" s="11">
        <f>Weekly!$G$3</f>
        <v>45919</v>
      </c>
      <c r="C1188" s="12">
        <v>0.118055555555556</v>
      </c>
      <c r="D1188" s="13">
        <f>Weekly!G38</f>
        <v>0</v>
      </c>
      <c r="E1188" s="13" t="str">
        <f t="shared" si="149"/>
        <v/>
      </c>
      <c r="F1188" s="13" t="str">
        <f t="shared" si="152"/>
        <v/>
      </c>
      <c r="G1188" s="13" t="str">
        <f t="shared" si="150"/>
        <v/>
      </c>
      <c r="H1188" s="13" t="str">
        <f t="shared" si="151"/>
        <v/>
      </c>
      <c r="I1188" s="14" t="str">
        <f t="array" ref="I1188">IF(getRGB1(Weekly!G38)="FFFF00","초방","재방")</f>
        <v>재방</v>
      </c>
    </row>
    <row r="1189" spans="1:9" ht="11.25" customHeight="1" x14ac:dyDescent="0.3">
      <c r="A1189" s="10" t="str">
        <f t="shared" si="148"/>
        <v/>
      </c>
      <c r="B1189" s="11">
        <f>Weekly!$G$3</f>
        <v>45919</v>
      </c>
      <c r="C1189" s="12">
        <v>0.121527777777778</v>
      </c>
      <c r="D1189" s="13">
        <f>Weekly!G39</f>
        <v>0</v>
      </c>
      <c r="E1189" s="13" t="str">
        <f t="shared" si="149"/>
        <v/>
      </c>
      <c r="F1189" s="13" t="str">
        <f t="shared" si="152"/>
        <v/>
      </c>
      <c r="G1189" s="13" t="str">
        <f t="shared" si="150"/>
        <v/>
      </c>
      <c r="H1189" s="13" t="str">
        <f t="shared" si="151"/>
        <v/>
      </c>
      <c r="I1189" s="14" t="str">
        <f t="array" ref="I1189">IF(getRGB1(Weekly!G39)="FFFF00","초방","재방")</f>
        <v>재방</v>
      </c>
    </row>
    <row r="1190" spans="1:9" ht="11.25" customHeight="1" x14ac:dyDescent="0.3">
      <c r="A1190" s="10" t="str">
        <f t="shared" si="148"/>
        <v/>
      </c>
      <c r="B1190" s="11">
        <f>Weekly!$G$3</f>
        <v>45919</v>
      </c>
      <c r="C1190" s="12">
        <v>0.125</v>
      </c>
      <c r="D1190" s="13">
        <f>Weekly!G40</f>
        <v>0</v>
      </c>
      <c r="E1190" s="13" t="str">
        <f t="shared" si="149"/>
        <v/>
      </c>
      <c r="F1190" s="13" t="str">
        <f t="shared" si="152"/>
        <v/>
      </c>
      <c r="G1190" s="13" t="str">
        <f t="shared" si="150"/>
        <v/>
      </c>
      <c r="H1190" s="13" t="str">
        <f t="shared" si="151"/>
        <v/>
      </c>
      <c r="I1190" s="14" t="str">
        <f t="array" ref="I1190">IF(getRGB1(Weekly!G40)="FFFF00","초방","재방")</f>
        <v>재방</v>
      </c>
    </row>
    <row r="1191" spans="1:9" ht="11.25" customHeight="1" x14ac:dyDescent="0.3">
      <c r="A1191" s="10" t="str">
        <f t="shared" si="148"/>
        <v/>
      </c>
      <c r="B1191" s="11">
        <f>Weekly!$G$3</f>
        <v>45919</v>
      </c>
      <c r="C1191" s="12">
        <v>0.12847222222222199</v>
      </c>
      <c r="D1191" s="13">
        <f>Weekly!G41</f>
        <v>0</v>
      </c>
      <c r="E1191" s="13" t="str">
        <f t="shared" si="149"/>
        <v/>
      </c>
      <c r="F1191" s="13" t="str">
        <f t="shared" si="152"/>
        <v/>
      </c>
      <c r="G1191" s="13" t="str">
        <f t="shared" si="150"/>
        <v/>
      </c>
      <c r="H1191" s="13" t="str">
        <f t="shared" si="151"/>
        <v/>
      </c>
      <c r="I1191" s="14" t="str">
        <f t="array" ref="I1191">IF(getRGB1(Weekly!G41)="FFFF00","초방","재방")</f>
        <v>재방</v>
      </c>
    </row>
    <row r="1192" spans="1:9" ht="11.25" customHeight="1" x14ac:dyDescent="0.3">
      <c r="A1192" s="10" t="str">
        <f t="shared" si="148"/>
        <v/>
      </c>
      <c r="B1192" s="11">
        <f>Weekly!$G$3</f>
        <v>45919</v>
      </c>
      <c r="C1192" s="12">
        <v>0.131944444444444</v>
      </c>
      <c r="D1192" s="13">
        <f>Weekly!G42</f>
        <v>0</v>
      </c>
      <c r="E1192" s="13" t="str">
        <f t="shared" si="149"/>
        <v/>
      </c>
      <c r="F1192" s="13" t="str">
        <f t="shared" si="152"/>
        <v/>
      </c>
      <c r="G1192" s="13" t="str">
        <f t="shared" si="150"/>
        <v/>
      </c>
      <c r="H1192" s="13" t="str">
        <f t="shared" si="151"/>
        <v/>
      </c>
      <c r="I1192" s="14" t="str">
        <f t="array" ref="I1192">IF(getRGB1(Weekly!G42)="FFFF00","초방","재방")</f>
        <v>재방</v>
      </c>
    </row>
    <row r="1193" spans="1:9" ht="11.25" customHeight="1" x14ac:dyDescent="0.3">
      <c r="A1193" s="10" t="str">
        <f t="shared" si="148"/>
        <v/>
      </c>
      <c r="B1193" s="11">
        <f>Weekly!$G$3</f>
        <v>45919</v>
      </c>
      <c r="C1193" s="12">
        <v>0.13541666666666699</v>
      </c>
      <c r="D1193" s="13">
        <f>Weekly!G43</f>
        <v>0</v>
      </c>
      <c r="E1193" s="13" t="str">
        <f t="shared" si="149"/>
        <v/>
      </c>
      <c r="F1193" s="13" t="str">
        <f t="shared" si="152"/>
        <v/>
      </c>
      <c r="G1193" s="13" t="str">
        <f t="shared" si="150"/>
        <v/>
      </c>
      <c r="H1193" s="13" t="str">
        <f t="shared" si="151"/>
        <v/>
      </c>
      <c r="I1193" s="14" t="str">
        <f t="array" ref="I1193">IF(getRGB1(Weekly!G43)="FFFF00","초방","재방")</f>
        <v>재방</v>
      </c>
    </row>
    <row r="1194" spans="1:9" ht="11.25" customHeight="1" x14ac:dyDescent="0.3">
      <c r="A1194" s="10" t="str">
        <f t="shared" si="148"/>
        <v/>
      </c>
      <c r="B1194" s="11">
        <f>Weekly!$G$3</f>
        <v>45919</v>
      </c>
      <c r="C1194" s="12">
        <v>0.13888888888888901</v>
      </c>
      <c r="D1194" s="13">
        <f>Weekly!G44</f>
        <v>0</v>
      </c>
      <c r="E1194" s="13" t="str">
        <f t="shared" si="149"/>
        <v/>
      </c>
      <c r="F1194" s="13" t="str">
        <f t="shared" si="152"/>
        <v/>
      </c>
      <c r="G1194" s="13" t="str">
        <f t="shared" si="150"/>
        <v/>
      </c>
      <c r="H1194" s="13" t="str">
        <f t="shared" si="151"/>
        <v/>
      </c>
      <c r="I1194" s="14" t="str">
        <f t="array" ref="I1194">IF(getRGB1(Weekly!G44)="FFFF00","초방","재방")</f>
        <v>재방</v>
      </c>
    </row>
    <row r="1195" spans="1:9" ht="11.25" customHeight="1" x14ac:dyDescent="0.3">
      <c r="A1195" s="10" t="str">
        <f t="shared" si="148"/>
        <v/>
      </c>
      <c r="B1195" s="11">
        <f>Weekly!$G$3</f>
        <v>45919</v>
      </c>
      <c r="C1195" s="12">
        <v>0.14236111111111099</v>
      </c>
      <c r="D1195" s="13">
        <f>Weekly!G45</f>
        <v>0</v>
      </c>
      <c r="E1195" s="13" t="str">
        <f t="shared" si="149"/>
        <v/>
      </c>
      <c r="F1195" s="13" t="str">
        <f t="shared" si="152"/>
        <v/>
      </c>
      <c r="G1195" s="13" t="str">
        <f t="shared" si="150"/>
        <v/>
      </c>
      <c r="H1195" s="13" t="str">
        <f t="shared" si="151"/>
        <v/>
      </c>
      <c r="I1195" s="14" t="str">
        <f t="array" ref="I1195">IF(getRGB1(Weekly!G45)="FFFF00","초방","재방")</f>
        <v>재방</v>
      </c>
    </row>
    <row r="1196" spans="1:9" ht="11.25" customHeight="1" x14ac:dyDescent="0.3">
      <c r="A1196" s="10" t="str">
        <f t="shared" si="148"/>
        <v/>
      </c>
      <c r="B1196" s="11">
        <f>Weekly!$G$3</f>
        <v>45919</v>
      </c>
      <c r="C1196" s="12">
        <v>0.14583333333333301</v>
      </c>
      <c r="D1196" s="13">
        <f>Weekly!G46</f>
        <v>0</v>
      </c>
      <c r="E1196" s="13" t="str">
        <f t="shared" si="149"/>
        <v/>
      </c>
      <c r="F1196" s="13" t="str">
        <f t="shared" si="152"/>
        <v/>
      </c>
      <c r="G1196" s="13" t="str">
        <f t="shared" si="150"/>
        <v/>
      </c>
      <c r="H1196" s="13" t="str">
        <f t="shared" si="151"/>
        <v/>
      </c>
      <c r="I1196" s="14" t="str">
        <f t="array" ref="I1196">IF(getRGB1(Weekly!G46)="FFFF00","초방","재방")</f>
        <v>재방</v>
      </c>
    </row>
    <row r="1197" spans="1:9" ht="11.25" customHeight="1" x14ac:dyDescent="0.3">
      <c r="A1197" s="10" t="str">
        <f t="shared" si="148"/>
        <v/>
      </c>
      <c r="B1197" s="11">
        <f>Weekly!$G$3</f>
        <v>45919</v>
      </c>
      <c r="C1197" s="12">
        <v>0.149305555555556</v>
      </c>
      <c r="D1197" s="13">
        <f>Weekly!G47</f>
        <v>0</v>
      </c>
      <c r="E1197" s="13" t="str">
        <f t="shared" si="149"/>
        <v/>
      </c>
      <c r="F1197" s="13" t="str">
        <f t="shared" si="152"/>
        <v/>
      </c>
      <c r="G1197" s="13" t="str">
        <f t="shared" si="150"/>
        <v/>
      </c>
      <c r="H1197" s="13" t="str">
        <f t="shared" si="151"/>
        <v/>
      </c>
      <c r="I1197" s="14" t="str">
        <f t="array" ref="I1197">IF(getRGB1(Weekly!G47)="FFFF00","초방","재방")</f>
        <v>재방</v>
      </c>
    </row>
    <row r="1198" spans="1:9" ht="11.25" customHeight="1" x14ac:dyDescent="0.3">
      <c r="A1198" s="10">
        <f t="shared" si="148"/>
        <v>45919.152777777781</v>
      </c>
      <c r="B1198" s="11">
        <f>Weekly!$G$3</f>
        <v>45919</v>
      </c>
      <c r="C1198" s="12">
        <v>0.15277777777777801</v>
      </c>
      <c r="D1198" s="13" t="str">
        <f>Weekly!G48</f>
        <v>태군노래자랑
&lt;12</v>
      </c>
      <c r="E1198" s="13" t="str">
        <f t="shared" si="149"/>
        <v>태군노래자랑</v>
      </c>
      <c r="F1198" s="13">
        <f t="shared" si="152"/>
        <v>12</v>
      </c>
      <c r="G1198" s="13" t="str">
        <f t="shared" si="150"/>
        <v/>
      </c>
      <c r="H1198" s="13" t="str">
        <f t="shared" si="151"/>
        <v/>
      </c>
      <c r="I1198" s="14" t="str">
        <f t="array" ref="I1198">IF(getRGB1(Weekly!G48)="FFFF00","초방","재방")</f>
        <v>재방</v>
      </c>
    </row>
    <row r="1199" spans="1:9" ht="11.25" customHeight="1" x14ac:dyDescent="0.3">
      <c r="A1199" s="10" t="str">
        <f t="shared" si="148"/>
        <v/>
      </c>
      <c r="B1199" s="11">
        <f>Weekly!$G$3</f>
        <v>45919</v>
      </c>
      <c r="C1199" s="12">
        <v>0.15625</v>
      </c>
      <c r="D1199" s="13">
        <f>Weekly!G49</f>
        <v>0</v>
      </c>
      <c r="E1199" s="13" t="str">
        <f t="shared" si="149"/>
        <v/>
      </c>
      <c r="F1199" s="13" t="str">
        <f t="shared" si="152"/>
        <v/>
      </c>
      <c r="G1199" s="13" t="str">
        <f t="shared" si="150"/>
        <v/>
      </c>
      <c r="H1199" s="13" t="str">
        <f t="shared" si="151"/>
        <v/>
      </c>
      <c r="I1199" s="14" t="str">
        <f t="array" ref="I1199">IF(getRGB1(Weekly!G49)="FFFF00","초방","재방")</f>
        <v>재방</v>
      </c>
    </row>
    <row r="1200" spans="1:9" ht="11.25" customHeight="1" x14ac:dyDescent="0.3">
      <c r="A1200" s="10" t="str">
        <f t="shared" si="148"/>
        <v/>
      </c>
      <c r="B1200" s="11">
        <f>Weekly!$G$3</f>
        <v>45919</v>
      </c>
      <c r="C1200" s="12">
        <v>0.15972222222222199</v>
      </c>
      <c r="D1200" s="13">
        <f>Weekly!G50</f>
        <v>0</v>
      </c>
      <c r="E1200" s="13" t="str">
        <f t="shared" si="149"/>
        <v/>
      </c>
      <c r="F1200" s="13" t="str">
        <f t="shared" si="152"/>
        <v/>
      </c>
      <c r="G1200" s="13" t="str">
        <f t="shared" si="150"/>
        <v/>
      </c>
      <c r="H1200" s="13" t="str">
        <f t="shared" si="151"/>
        <v/>
      </c>
      <c r="I1200" s="14" t="str">
        <f t="array" ref="I1200">IF(getRGB1(Weekly!G50)="FFFF00","초방","재방")</f>
        <v>재방</v>
      </c>
    </row>
    <row r="1201" spans="1:9" ht="11.25" customHeight="1" x14ac:dyDescent="0.3">
      <c r="A1201" s="10" t="str">
        <f t="shared" si="148"/>
        <v/>
      </c>
      <c r="B1201" s="11">
        <f>Weekly!$G$3</f>
        <v>45919</v>
      </c>
      <c r="C1201" s="12">
        <v>0.163194444444444</v>
      </c>
      <c r="D1201" s="13">
        <f>Weekly!G51</f>
        <v>0</v>
      </c>
      <c r="E1201" s="13" t="str">
        <f t="shared" si="149"/>
        <v/>
      </c>
      <c r="F1201" s="13" t="str">
        <f t="shared" si="152"/>
        <v/>
      </c>
      <c r="G1201" s="13" t="str">
        <f t="shared" si="150"/>
        <v/>
      </c>
      <c r="H1201" s="13" t="str">
        <f t="shared" si="151"/>
        <v/>
      </c>
      <c r="I1201" s="14" t="str">
        <f t="array" ref="I1201">IF(getRGB1(Weekly!G51)="FFFF00","초방","재방")</f>
        <v>재방</v>
      </c>
    </row>
    <row r="1202" spans="1:9" ht="11.25" customHeight="1" x14ac:dyDescent="0.3">
      <c r="A1202" s="10" t="str">
        <f t="shared" si="148"/>
        <v/>
      </c>
      <c r="B1202" s="11">
        <f>Weekly!$G$3</f>
        <v>45919</v>
      </c>
      <c r="C1202" s="12">
        <v>0.16666666666666699</v>
      </c>
      <c r="D1202" s="13">
        <f>Weekly!G52</f>
        <v>0</v>
      </c>
      <c r="E1202" s="13" t="str">
        <f t="shared" si="149"/>
        <v/>
      </c>
      <c r="F1202" s="13" t="str">
        <f t="shared" si="152"/>
        <v/>
      </c>
      <c r="G1202" s="13" t="str">
        <f t="shared" si="150"/>
        <v/>
      </c>
      <c r="H1202" s="13" t="str">
        <f t="shared" si="151"/>
        <v/>
      </c>
      <c r="I1202" s="14" t="str">
        <f t="array" ref="I1202">IF(getRGB1(Weekly!G52)="FFFF00","초방","재방")</f>
        <v>재방</v>
      </c>
    </row>
    <row r="1203" spans="1:9" ht="11.25" customHeight="1" x14ac:dyDescent="0.3">
      <c r="A1203" s="10" t="str">
        <f t="shared" si="148"/>
        <v/>
      </c>
      <c r="B1203" s="11">
        <f>Weekly!$G$3</f>
        <v>45919</v>
      </c>
      <c r="C1203" s="12">
        <v>0.17013888888888901</v>
      </c>
      <c r="D1203" s="13">
        <f>Weekly!G53</f>
        <v>0</v>
      </c>
      <c r="E1203" s="13" t="str">
        <f t="shared" si="149"/>
        <v/>
      </c>
      <c r="F1203" s="13" t="str">
        <f t="shared" si="152"/>
        <v/>
      </c>
      <c r="G1203" s="13" t="str">
        <f t="shared" si="150"/>
        <v/>
      </c>
      <c r="H1203" s="13" t="str">
        <f t="shared" si="151"/>
        <v/>
      </c>
      <c r="I1203" s="14" t="str">
        <f t="array" ref="I1203">IF(getRGB1(Weekly!G53)="FFFF00","초방","재방")</f>
        <v>재방</v>
      </c>
    </row>
    <row r="1204" spans="1:9" ht="11.25" customHeight="1" x14ac:dyDescent="0.3">
      <c r="A1204" s="10" t="str">
        <f t="shared" si="148"/>
        <v/>
      </c>
      <c r="B1204" s="11">
        <f>Weekly!$G$3</f>
        <v>45919</v>
      </c>
      <c r="C1204" s="12">
        <v>0.17361111111111099</v>
      </c>
      <c r="D1204" s="13">
        <f>Weekly!G54</f>
        <v>0</v>
      </c>
      <c r="E1204" s="13" t="str">
        <f t="shared" si="149"/>
        <v/>
      </c>
      <c r="F1204" s="13" t="str">
        <f t="shared" si="152"/>
        <v/>
      </c>
      <c r="G1204" s="13" t="str">
        <f t="shared" si="150"/>
        <v/>
      </c>
      <c r="H1204" s="13" t="str">
        <f t="shared" si="151"/>
        <v/>
      </c>
      <c r="I1204" s="14" t="str">
        <f t="array" ref="I1204">IF(getRGB1(Weekly!G54)="FFFF00","초방","재방")</f>
        <v>재방</v>
      </c>
    </row>
    <row r="1205" spans="1:9" ht="11.25" customHeight="1" x14ac:dyDescent="0.3">
      <c r="A1205" s="10" t="str">
        <f t="shared" si="148"/>
        <v/>
      </c>
      <c r="B1205" s="11">
        <f>Weekly!$G$3</f>
        <v>45919</v>
      </c>
      <c r="C1205" s="12">
        <v>0.17708333333333301</v>
      </c>
      <c r="D1205" s="13">
        <f>Weekly!G55</f>
        <v>0</v>
      </c>
      <c r="E1205" s="13" t="str">
        <f t="shared" si="149"/>
        <v/>
      </c>
      <c r="F1205" s="13" t="str">
        <f t="shared" si="152"/>
        <v/>
      </c>
      <c r="G1205" s="13" t="str">
        <f t="shared" si="150"/>
        <v/>
      </c>
      <c r="H1205" s="13" t="str">
        <f t="shared" si="151"/>
        <v/>
      </c>
      <c r="I1205" s="14" t="str">
        <f t="array" ref="I1205">IF(getRGB1(Weekly!G55)="FFFF00","초방","재방")</f>
        <v>재방</v>
      </c>
    </row>
    <row r="1206" spans="1:9" ht="11.25" customHeight="1" x14ac:dyDescent="0.3">
      <c r="A1206" s="10" t="str">
        <f t="shared" si="148"/>
        <v/>
      </c>
      <c r="B1206" s="11">
        <f>Weekly!$G$3</f>
        <v>45919</v>
      </c>
      <c r="C1206" s="12">
        <v>0.180555555555556</v>
      </c>
      <c r="D1206" s="13">
        <f>Weekly!G56</f>
        <v>0</v>
      </c>
      <c r="E1206" s="13" t="str">
        <f t="shared" si="149"/>
        <v/>
      </c>
      <c r="F1206" s="13" t="str">
        <f t="shared" si="152"/>
        <v/>
      </c>
      <c r="G1206" s="13" t="str">
        <f t="shared" si="150"/>
        <v/>
      </c>
      <c r="H1206" s="13" t="str">
        <f t="shared" si="151"/>
        <v/>
      </c>
      <c r="I1206" s="14" t="str">
        <f t="array" ref="I1206">IF(getRGB1(Weekly!G56)="FFFF00","초방","재방")</f>
        <v>재방</v>
      </c>
    </row>
    <row r="1207" spans="1:9" ht="11.25" customHeight="1" x14ac:dyDescent="0.3">
      <c r="A1207" s="10" t="str">
        <f t="shared" si="148"/>
        <v/>
      </c>
      <c r="B1207" s="11">
        <f>Weekly!$G$3</f>
        <v>45919</v>
      </c>
      <c r="C1207" s="12">
        <v>0.18402777777777801</v>
      </c>
      <c r="D1207" s="13">
        <f>Weekly!G57</f>
        <v>0</v>
      </c>
      <c r="E1207" s="13" t="str">
        <f t="shared" si="149"/>
        <v/>
      </c>
      <c r="F1207" s="13" t="str">
        <f t="shared" si="152"/>
        <v/>
      </c>
      <c r="G1207" s="13" t="str">
        <f t="shared" si="150"/>
        <v/>
      </c>
      <c r="H1207" s="13" t="str">
        <f t="shared" si="151"/>
        <v/>
      </c>
      <c r="I1207" s="14" t="str">
        <f t="array" ref="I1207">IF(getRGB1(Weekly!G57)="FFFF00","초방","재방")</f>
        <v>재방</v>
      </c>
    </row>
    <row r="1208" spans="1:9" ht="11.25" customHeight="1" x14ac:dyDescent="0.3">
      <c r="A1208" s="10" t="str">
        <f t="shared" si="148"/>
        <v/>
      </c>
      <c r="B1208" s="11">
        <f>Weekly!$G$3</f>
        <v>45919</v>
      </c>
      <c r="C1208" s="12">
        <v>0.1875</v>
      </c>
      <c r="D1208" s="13">
        <f>Weekly!G58</f>
        <v>0</v>
      </c>
      <c r="E1208" s="13" t="str">
        <f t="shared" si="149"/>
        <v/>
      </c>
      <c r="F1208" s="13" t="str">
        <f t="shared" si="152"/>
        <v/>
      </c>
      <c r="G1208" s="13" t="str">
        <f t="shared" si="150"/>
        <v/>
      </c>
      <c r="H1208" s="13" t="str">
        <f t="shared" si="151"/>
        <v/>
      </c>
      <c r="I1208" s="14" t="str">
        <f t="array" ref="I1208">IF(getRGB1(Weekly!G58)="FFFF00","초방","재방")</f>
        <v>재방</v>
      </c>
    </row>
    <row r="1209" spans="1:9" ht="11.25" customHeight="1" x14ac:dyDescent="0.3">
      <c r="A1209" s="10" t="str">
        <f t="shared" si="148"/>
        <v/>
      </c>
      <c r="B1209" s="11">
        <f>Weekly!$G$3</f>
        <v>45919</v>
      </c>
      <c r="C1209" s="12">
        <v>0.19097222222222199</v>
      </c>
      <c r="D1209" s="13">
        <f>Weekly!G59</f>
        <v>0</v>
      </c>
      <c r="E1209" s="13" t="str">
        <f t="shared" si="149"/>
        <v/>
      </c>
      <c r="F1209" s="13" t="str">
        <f t="shared" si="152"/>
        <v/>
      </c>
      <c r="G1209" s="13" t="str">
        <f t="shared" si="150"/>
        <v/>
      </c>
      <c r="H1209" s="13" t="str">
        <f t="shared" si="151"/>
        <v/>
      </c>
      <c r="I1209" s="14" t="str">
        <f t="array" ref="I1209">IF(getRGB1(Weekly!G59)="FFFF00","초방","재방")</f>
        <v>재방</v>
      </c>
    </row>
    <row r="1210" spans="1:9" ht="11.25" customHeight="1" x14ac:dyDescent="0.3">
      <c r="A1210" s="10">
        <f t="shared" si="148"/>
        <v>45919.194444444445</v>
      </c>
      <c r="B1210" s="11">
        <f>Weekly!$G$3</f>
        <v>45919</v>
      </c>
      <c r="C1210" s="12">
        <v>0.194444444444444</v>
      </c>
      <c r="D1210" s="13" t="str">
        <f>Weekly!G60</f>
        <v xml:space="preserve"> NEWS4
&lt;64</v>
      </c>
      <c r="E1210" s="13" t="str">
        <f t="shared" si="149"/>
        <v>NEWS4</v>
      </c>
      <c r="F1210" s="13">
        <f t="shared" si="152"/>
        <v>64</v>
      </c>
      <c r="G1210" s="13" t="str">
        <f t="shared" si="150"/>
        <v/>
      </c>
      <c r="H1210" s="13" t="str">
        <f t="shared" si="151"/>
        <v/>
      </c>
      <c r="I1210" s="14" t="str">
        <f t="array" ref="I1210">IF(getRGB1(Weekly!G60)="FFFF00","초방","재방")</f>
        <v>재방</v>
      </c>
    </row>
    <row r="1211" spans="1:9" ht="11.25" customHeight="1" x14ac:dyDescent="0.3">
      <c r="A1211" s="10" t="str">
        <f t="shared" si="148"/>
        <v/>
      </c>
      <c r="B1211" s="11">
        <f>Weekly!$G$3</f>
        <v>45919</v>
      </c>
      <c r="C1211" s="12">
        <v>0.19791666666666699</v>
      </c>
      <c r="D1211" s="13">
        <f>Weekly!G61</f>
        <v>0</v>
      </c>
      <c r="E1211" s="13" t="str">
        <f t="shared" si="149"/>
        <v/>
      </c>
      <c r="F1211" s="13" t="str">
        <f t="shared" si="152"/>
        <v/>
      </c>
      <c r="G1211" s="13" t="str">
        <f t="shared" si="150"/>
        <v/>
      </c>
      <c r="H1211" s="13" t="str">
        <f t="shared" si="151"/>
        <v/>
      </c>
      <c r="I1211" s="14" t="str">
        <f t="array" ref="I1211">IF(getRGB1(Weekly!G61)="FFFF00","초방","재방")</f>
        <v>재방</v>
      </c>
    </row>
    <row r="1212" spans="1:9" ht="11.25" customHeight="1" x14ac:dyDescent="0.3">
      <c r="A1212" s="10" t="str">
        <f t="shared" si="148"/>
        <v/>
      </c>
      <c r="B1212" s="11">
        <f>Weekly!$G$3</f>
        <v>45919</v>
      </c>
      <c r="C1212" s="12">
        <v>0.20138888888888901</v>
      </c>
      <c r="D1212" s="13">
        <f>Weekly!G62</f>
        <v>0</v>
      </c>
      <c r="E1212" s="13" t="str">
        <f t="shared" si="149"/>
        <v/>
      </c>
      <c r="F1212" s="13" t="str">
        <f t="shared" si="152"/>
        <v/>
      </c>
      <c r="G1212" s="13" t="str">
        <f t="shared" si="150"/>
        <v/>
      </c>
      <c r="H1212" s="13" t="str">
        <f t="shared" si="151"/>
        <v/>
      </c>
      <c r="I1212" s="14" t="str">
        <f t="array" ref="I1212">IF(getRGB1(Weekly!G62)="FFFF00","초방","재방")</f>
        <v>재방</v>
      </c>
    </row>
    <row r="1213" spans="1:9" ht="11.25" customHeight="1" x14ac:dyDescent="0.3">
      <c r="A1213" s="10" t="str">
        <f t="shared" si="148"/>
        <v/>
      </c>
      <c r="B1213" s="11">
        <f>Weekly!$G$3</f>
        <v>45919</v>
      </c>
      <c r="C1213" s="12">
        <v>0.20486111111111099</v>
      </c>
      <c r="D1213" s="13">
        <f>Weekly!G63</f>
        <v>0</v>
      </c>
      <c r="E1213" s="13" t="str">
        <f t="shared" si="149"/>
        <v/>
      </c>
      <c r="F1213" s="13" t="str">
        <f t="shared" si="152"/>
        <v/>
      </c>
      <c r="G1213" s="13" t="str">
        <f t="shared" si="150"/>
        <v/>
      </c>
      <c r="H1213" s="13" t="str">
        <f t="shared" si="151"/>
        <v/>
      </c>
      <c r="I1213" s="14" t="str">
        <f t="array" ref="I1213">IF(getRGB1(Weekly!G63)="FFFF00","초방","재방")</f>
        <v>재방</v>
      </c>
    </row>
    <row r="1214" spans="1:9" ht="11.25" customHeight="1" x14ac:dyDescent="0.3">
      <c r="A1214" s="10" t="str">
        <f t="shared" si="148"/>
        <v/>
      </c>
      <c r="B1214" s="11">
        <f>Weekly!$G$3</f>
        <v>45919</v>
      </c>
      <c r="C1214" s="12">
        <v>0.20833333333333301</v>
      </c>
      <c r="D1214" s="13">
        <f>Weekly!G64</f>
        <v>0</v>
      </c>
      <c r="E1214" s="13" t="str">
        <f t="shared" si="149"/>
        <v/>
      </c>
      <c r="F1214" s="13" t="str">
        <f t="shared" si="152"/>
        <v/>
      </c>
      <c r="G1214" s="13" t="str">
        <f t="shared" si="150"/>
        <v/>
      </c>
      <c r="H1214" s="13" t="str">
        <f t="shared" si="151"/>
        <v/>
      </c>
      <c r="I1214" s="14" t="str">
        <f t="array" ref="I1214">IF(getRGB1(Weekly!G64)="FFFF00","초방","재방")</f>
        <v>재방</v>
      </c>
    </row>
    <row r="1215" spans="1:9" ht="11.25" customHeight="1" x14ac:dyDescent="0.3">
      <c r="A1215" s="10" t="str">
        <f t="shared" si="148"/>
        <v/>
      </c>
      <c r="B1215" s="11">
        <f>Weekly!$G$3</f>
        <v>45919</v>
      </c>
      <c r="C1215" s="12">
        <v>0.211805555555556</v>
      </c>
      <c r="D1215" s="13">
        <f>Weekly!G65</f>
        <v>0</v>
      </c>
      <c r="E1215" s="13" t="str">
        <f t="shared" si="149"/>
        <v/>
      </c>
      <c r="F1215" s="13" t="str">
        <f t="shared" si="152"/>
        <v/>
      </c>
      <c r="G1215" s="13" t="str">
        <f t="shared" si="150"/>
        <v/>
      </c>
      <c r="H1215" s="13" t="str">
        <f t="shared" si="151"/>
        <v/>
      </c>
      <c r="I1215" s="14" t="str">
        <f t="array" ref="I1215">IF(getRGB1(Weekly!G65)="FFFF00","초방","재방")</f>
        <v>재방</v>
      </c>
    </row>
    <row r="1216" spans="1:9" ht="11.25" customHeight="1" x14ac:dyDescent="0.3">
      <c r="A1216" s="10">
        <f t="shared" si="148"/>
        <v>45919.215277777781</v>
      </c>
      <c r="B1216" s="11">
        <f>Weekly!$G$3</f>
        <v>45919</v>
      </c>
      <c r="C1216" s="12">
        <v>0.21527777777777801</v>
      </c>
      <c r="D1216" s="13" t="str">
        <f>Weekly!G66</f>
        <v xml:space="preserve"> 내삶을바꾸는정책
&lt;2193</v>
      </c>
      <c r="E1216" s="13" t="str">
        <f t="shared" si="149"/>
        <v>내삶을바꾸는정책</v>
      </c>
      <c r="F1216" s="13">
        <f t="shared" si="152"/>
        <v>2193</v>
      </c>
      <c r="G1216" s="13" t="str">
        <f t="shared" si="150"/>
        <v/>
      </c>
      <c r="H1216" s="13" t="str">
        <f t="shared" si="151"/>
        <v/>
      </c>
      <c r="I1216" s="14" t="str">
        <f t="array" ref="I1216">IF(getRGB1(Weekly!G66)="FFFF00","초방","재방")</f>
        <v>초방</v>
      </c>
    </row>
    <row r="1217" spans="1:9" ht="11.25" customHeight="1" x14ac:dyDescent="0.3">
      <c r="A1217" s="10" t="str">
        <f t="shared" si="148"/>
        <v/>
      </c>
      <c r="B1217" s="11">
        <f>Weekly!$G$3</f>
        <v>45919</v>
      </c>
      <c r="C1217" s="12">
        <v>0.21875</v>
      </c>
      <c r="D1217" s="13">
        <f>Weekly!G67</f>
        <v>0</v>
      </c>
      <c r="E1217" s="13" t="str">
        <f t="shared" si="149"/>
        <v/>
      </c>
      <c r="F1217" s="13" t="str">
        <f t="shared" si="152"/>
        <v/>
      </c>
      <c r="G1217" s="13" t="str">
        <f t="shared" si="150"/>
        <v/>
      </c>
      <c r="H1217" s="13" t="str">
        <f t="shared" si="151"/>
        <v/>
      </c>
      <c r="I1217" s="14" t="str">
        <f t="array" ref="I1217">IF(getRGB1(Weekly!G67)="FFFF00","초방","재방")</f>
        <v>초방</v>
      </c>
    </row>
    <row r="1218" spans="1:9" ht="11.25" customHeight="1" x14ac:dyDescent="0.3">
      <c r="A1218" s="10" t="str">
        <f t="shared" ref="A1218:A1281" si="153">IF(D1218&lt;&gt;0,B1218+C1218,"")</f>
        <v/>
      </c>
      <c r="B1218" s="11">
        <f>Weekly!$G$3</f>
        <v>45919</v>
      </c>
      <c r="C1218" s="12">
        <v>0.22222222222222199</v>
      </c>
      <c r="D1218" s="13">
        <f>Weekly!G68</f>
        <v>0</v>
      </c>
      <c r="E1218" s="13" t="str">
        <f t="shared" ref="E1218:E1281" si="154">IFERROR(SUBSTITUTE(SUBSTITUTE(TRIM(LEFT(D1218,FIND("&lt;",D1218)-1)),CHAR(10),""),"⑮ ",""),"")</f>
        <v/>
      </c>
      <c r="F1218" s="13" t="str">
        <f t="shared" si="152"/>
        <v/>
      </c>
      <c r="G1218" s="13" t="str">
        <f t="shared" ref="G1218:G1281" si="155">IFERROR(MID(D1218,FIND("&gt;",D1218)+1,10),"")</f>
        <v/>
      </c>
      <c r="H1218" s="13" t="str">
        <f t="shared" ref="H1218:H1281" si="156">IFERROR(VLOOKUP(LEFT(D1218,2),$W$1:$X$6,2,0),"")</f>
        <v/>
      </c>
      <c r="I1218" s="14" t="str">
        <f t="array" ref="I1218">IF(getRGB1(Weekly!G68)="FFFF00","초방","재방")</f>
        <v>초방</v>
      </c>
    </row>
    <row r="1219" spans="1:9" ht="11.25" customHeight="1" x14ac:dyDescent="0.3">
      <c r="A1219" s="10" t="str">
        <f t="shared" si="153"/>
        <v/>
      </c>
      <c r="B1219" s="11">
        <f>Weekly!$G$3</f>
        <v>45919</v>
      </c>
      <c r="C1219" s="12">
        <v>0.225694444444444</v>
      </c>
      <c r="D1219" s="13">
        <f>Weekly!G69</f>
        <v>0</v>
      </c>
      <c r="E1219" s="13" t="str">
        <f t="shared" si="154"/>
        <v/>
      </c>
      <c r="F1219" s="13" t="str">
        <f t="shared" ref="F1219:F1282" si="157">IFERROR((MID(D1219,FIND("&lt;",D1219)+1,4))*1,"")</f>
        <v/>
      </c>
      <c r="G1219" s="13" t="str">
        <f t="shared" si="155"/>
        <v/>
      </c>
      <c r="H1219" s="13" t="str">
        <f t="shared" si="156"/>
        <v/>
      </c>
      <c r="I1219" s="14" t="str">
        <f t="array" ref="I1219">IF(getRGB1(Weekly!G69)="FFFF00","초방","재방")</f>
        <v>초방</v>
      </c>
    </row>
    <row r="1220" spans="1:9" ht="11.25" customHeight="1" x14ac:dyDescent="0.3">
      <c r="A1220" s="10" t="str">
        <f t="shared" si="153"/>
        <v/>
      </c>
      <c r="B1220" s="11">
        <f>Weekly!$G$3</f>
        <v>45919</v>
      </c>
      <c r="C1220" s="12">
        <v>0.22916666666666699</v>
      </c>
      <c r="D1220" s="13">
        <f>Weekly!G70</f>
        <v>0</v>
      </c>
      <c r="E1220" s="13" t="str">
        <f t="shared" si="154"/>
        <v/>
      </c>
      <c r="F1220" s="13" t="str">
        <f t="shared" si="157"/>
        <v/>
      </c>
      <c r="G1220" s="13" t="str">
        <f t="shared" si="155"/>
        <v/>
      </c>
      <c r="H1220" s="13" t="str">
        <f t="shared" si="156"/>
        <v/>
      </c>
      <c r="I1220" s="14" t="str">
        <f t="array" ref="I1220">IF(getRGB1(Weekly!G70)="FFFF00","초방","재방")</f>
        <v>초방</v>
      </c>
    </row>
    <row r="1221" spans="1:9" ht="11.25" customHeight="1" x14ac:dyDescent="0.3">
      <c r="A1221" s="10" t="str">
        <f t="shared" si="153"/>
        <v/>
      </c>
      <c r="B1221" s="11">
        <f>Weekly!$G$3</f>
        <v>45919</v>
      </c>
      <c r="C1221" s="12">
        <v>0.23263888888888901</v>
      </c>
      <c r="D1221" s="13">
        <f>Weekly!G71</f>
        <v>0</v>
      </c>
      <c r="E1221" s="13" t="str">
        <f t="shared" si="154"/>
        <v/>
      </c>
      <c r="F1221" s="13" t="str">
        <f t="shared" si="157"/>
        <v/>
      </c>
      <c r="G1221" s="13" t="str">
        <f t="shared" si="155"/>
        <v/>
      </c>
      <c r="H1221" s="13" t="str">
        <f t="shared" si="156"/>
        <v/>
      </c>
      <c r="I1221" s="14" t="str">
        <f t="array" ref="I1221">IF(getRGB1(Weekly!G71)="FFFF00","초방","재방")</f>
        <v>초방</v>
      </c>
    </row>
    <row r="1222" spans="1:9" ht="11.25" customHeight="1" x14ac:dyDescent="0.3">
      <c r="A1222" s="10" t="str">
        <f t="shared" si="153"/>
        <v/>
      </c>
      <c r="B1222" s="11">
        <f>Weekly!$G$3</f>
        <v>45919</v>
      </c>
      <c r="C1222" s="12">
        <v>0.23611111111111099</v>
      </c>
      <c r="D1222" s="13">
        <f>Weekly!G72</f>
        <v>0</v>
      </c>
      <c r="E1222" s="13" t="str">
        <f t="shared" si="154"/>
        <v/>
      </c>
      <c r="F1222" s="13" t="str">
        <f t="shared" si="157"/>
        <v/>
      </c>
      <c r="G1222" s="13" t="str">
        <f t="shared" si="155"/>
        <v/>
      </c>
      <c r="H1222" s="13" t="str">
        <f t="shared" si="156"/>
        <v/>
      </c>
      <c r="I1222" s="14" t="str">
        <f t="array" ref="I1222">IF(getRGB1(Weekly!G72)="FFFF00","초방","재방")</f>
        <v>초방</v>
      </c>
    </row>
    <row r="1223" spans="1:9" ht="11.25" customHeight="1" x14ac:dyDescent="0.3">
      <c r="A1223" s="10" t="str">
        <f t="shared" si="153"/>
        <v/>
      </c>
      <c r="B1223" s="11">
        <f>Weekly!$G$3</f>
        <v>45919</v>
      </c>
      <c r="C1223" s="12">
        <v>0.23958333333333301</v>
      </c>
      <c r="D1223" s="13">
        <f>Weekly!G73</f>
        <v>0</v>
      </c>
      <c r="E1223" s="13" t="str">
        <f t="shared" si="154"/>
        <v/>
      </c>
      <c r="F1223" s="13" t="str">
        <f t="shared" si="157"/>
        <v/>
      </c>
      <c r="G1223" s="13" t="str">
        <f t="shared" si="155"/>
        <v/>
      </c>
      <c r="H1223" s="13" t="str">
        <f t="shared" si="156"/>
        <v/>
      </c>
      <c r="I1223" s="14" t="str">
        <f t="array" ref="I1223">IF(getRGB1(Weekly!G73)="FFFF00","초방","재방")</f>
        <v>초방</v>
      </c>
    </row>
    <row r="1224" spans="1:9" ht="11.25" customHeight="1" x14ac:dyDescent="0.3">
      <c r="A1224" s="10" t="str">
        <f t="shared" si="153"/>
        <v/>
      </c>
      <c r="B1224" s="11">
        <f>Weekly!$G$3</f>
        <v>45919</v>
      </c>
      <c r="C1224" s="12">
        <v>0.243055555555556</v>
      </c>
      <c r="D1224" s="13">
        <f>Weekly!G74</f>
        <v>0</v>
      </c>
      <c r="E1224" s="13" t="str">
        <f t="shared" si="154"/>
        <v/>
      </c>
      <c r="F1224" s="13" t="str">
        <f t="shared" si="157"/>
        <v/>
      </c>
      <c r="G1224" s="13" t="str">
        <f t="shared" si="155"/>
        <v/>
      </c>
      <c r="H1224" s="13" t="str">
        <f t="shared" si="156"/>
        <v/>
      </c>
      <c r="I1224" s="14" t="str">
        <f t="array" ref="I1224">IF(getRGB1(Weekly!G74)="FFFF00","초방","재방")</f>
        <v>초방</v>
      </c>
    </row>
    <row r="1225" spans="1:9" ht="11.25" customHeight="1" x14ac:dyDescent="0.3">
      <c r="A1225" s="10" t="str">
        <f t="shared" si="153"/>
        <v/>
      </c>
      <c r="B1225" s="11">
        <f>Weekly!$G$3</f>
        <v>45919</v>
      </c>
      <c r="C1225" s="12">
        <v>0.24652777777777801</v>
      </c>
      <c r="D1225" s="13">
        <f>Weekly!G75</f>
        <v>0</v>
      </c>
      <c r="E1225" s="13" t="str">
        <f t="shared" si="154"/>
        <v/>
      </c>
      <c r="F1225" s="13" t="str">
        <f t="shared" si="157"/>
        <v/>
      </c>
      <c r="G1225" s="13" t="str">
        <f t="shared" si="155"/>
        <v/>
      </c>
      <c r="H1225" s="13" t="str">
        <f t="shared" si="156"/>
        <v/>
      </c>
      <c r="I1225" s="14" t="str">
        <f t="array" ref="I1225">IF(getRGB1(Weekly!G75)="FFFF00","초방","재방")</f>
        <v>초방</v>
      </c>
    </row>
    <row r="1226" spans="1:9" ht="11.25" customHeight="1" x14ac:dyDescent="0.3">
      <c r="A1226" s="10" t="str">
        <f t="shared" si="153"/>
        <v/>
      </c>
      <c r="B1226" s="11">
        <f>Weekly!$G$3</f>
        <v>45919</v>
      </c>
      <c r="C1226" s="12">
        <v>0.25</v>
      </c>
      <c r="D1226" s="13">
        <f>Weekly!G76</f>
        <v>0</v>
      </c>
      <c r="E1226" s="13" t="str">
        <f t="shared" si="154"/>
        <v/>
      </c>
      <c r="F1226" s="13" t="str">
        <f t="shared" si="157"/>
        <v/>
      </c>
      <c r="G1226" s="13" t="str">
        <f t="shared" si="155"/>
        <v/>
      </c>
      <c r="H1226" s="13" t="str">
        <f t="shared" si="156"/>
        <v/>
      </c>
      <c r="I1226" s="14" t="str">
        <f t="array" ref="I1226">IF(getRGB1(Weekly!G76)="FFFF00","초방","재방")</f>
        <v>초방</v>
      </c>
    </row>
    <row r="1227" spans="1:9" ht="11.25" customHeight="1" x14ac:dyDescent="0.3">
      <c r="A1227" s="10" t="str">
        <f t="shared" si="153"/>
        <v/>
      </c>
      <c r="B1227" s="11">
        <f>Weekly!$G$3</f>
        <v>45919</v>
      </c>
      <c r="C1227" s="12">
        <v>0.25347222222222199</v>
      </c>
      <c r="D1227" s="13">
        <f>Weekly!G77</f>
        <v>0</v>
      </c>
      <c r="E1227" s="13" t="str">
        <f t="shared" si="154"/>
        <v/>
      </c>
      <c r="F1227" s="13" t="str">
        <f t="shared" si="157"/>
        <v/>
      </c>
      <c r="G1227" s="13" t="str">
        <f t="shared" si="155"/>
        <v/>
      </c>
      <c r="H1227" s="13" t="str">
        <f t="shared" si="156"/>
        <v/>
      </c>
      <c r="I1227" s="14" t="str">
        <f t="array" ref="I1227">IF(getRGB1(Weekly!G77)="FFFF00","초방","재방")</f>
        <v>초방</v>
      </c>
    </row>
    <row r="1228" spans="1:9" ht="11.25" customHeight="1" x14ac:dyDescent="0.3">
      <c r="A1228" s="10">
        <f t="shared" si="153"/>
        <v>45919.256944444445</v>
      </c>
      <c r="B1228" s="11">
        <f>Weekly!$G$3</f>
        <v>45919</v>
      </c>
      <c r="C1228" s="12">
        <v>0.25694444444444398</v>
      </c>
      <c r="D1228" s="13" t="str">
        <f>Weekly!G78</f>
        <v>내고향 전파
&lt;07</v>
      </c>
      <c r="E1228" s="13" t="str">
        <f t="shared" si="154"/>
        <v>내고향 전파</v>
      </c>
      <c r="F1228" s="13">
        <f t="shared" si="157"/>
        <v>7</v>
      </c>
      <c r="G1228" s="13" t="str">
        <f t="shared" si="155"/>
        <v/>
      </c>
      <c r="H1228" s="13" t="str">
        <f t="shared" si="156"/>
        <v/>
      </c>
      <c r="I1228" s="14" t="str">
        <f t="array" ref="I1228">IF(getRGB1(Weekly!G78)="FFFF00","초방","재방")</f>
        <v>재방</v>
      </c>
    </row>
    <row r="1229" spans="1:9" ht="11.25" customHeight="1" x14ac:dyDescent="0.3">
      <c r="A1229" s="10" t="str">
        <f t="shared" si="153"/>
        <v/>
      </c>
      <c r="B1229" s="11">
        <f>Weekly!$G$3</f>
        <v>45919</v>
      </c>
      <c r="C1229" s="12">
        <v>0.26041666666666702</v>
      </c>
      <c r="D1229" s="13">
        <f>Weekly!G79</f>
        <v>0</v>
      </c>
      <c r="E1229" s="13" t="str">
        <f t="shared" si="154"/>
        <v/>
      </c>
      <c r="F1229" s="13" t="str">
        <f t="shared" si="157"/>
        <v/>
      </c>
      <c r="G1229" s="13" t="str">
        <f t="shared" si="155"/>
        <v/>
      </c>
      <c r="H1229" s="13" t="str">
        <f t="shared" si="156"/>
        <v/>
      </c>
      <c r="I1229" s="14" t="str">
        <f t="array" ref="I1229">IF(getRGB1(Weekly!G79)="FFFF00","초방","재방")</f>
        <v>재방</v>
      </c>
    </row>
    <row r="1230" spans="1:9" ht="11.25" customHeight="1" x14ac:dyDescent="0.3">
      <c r="A1230" s="10" t="str">
        <f t="shared" si="153"/>
        <v/>
      </c>
      <c r="B1230" s="11">
        <f>Weekly!$G$3</f>
        <v>45919</v>
      </c>
      <c r="C1230" s="12">
        <v>0.26388888888888901</v>
      </c>
      <c r="D1230" s="13">
        <f>Weekly!G80</f>
        <v>0</v>
      </c>
      <c r="E1230" s="13" t="str">
        <f t="shared" si="154"/>
        <v/>
      </c>
      <c r="F1230" s="13" t="str">
        <f t="shared" si="157"/>
        <v/>
      </c>
      <c r="G1230" s="13" t="str">
        <f t="shared" si="155"/>
        <v/>
      </c>
      <c r="H1230" s="13" t="str">
        <f t="shared" si="156"/>
        <v/>
      </c>
      <c r="I1230" s="14" t="str">
        <f t="array" ref="I1230">IF(getRGB1(Weekly!G80)="FFFF00","초방","재방")</f>
        <v>재방</v>
      </c>
    </row>
    <row r="1231" spans="1:9" ht="11.25" customHeight="1" x14ac:dyDescent="0.3">
      <c r="A1231" s="10" t="str">
        <f t="shared" si="153"/>
        <v/>
      </c>
      <c r="B1231" s="11">
        <f>Weekly!$G$3</f>
        <v>45919</v>
      </c>
      <c r="C1231" s="12">
        <v>0.26736111111111099</v>
      </c>
      <c r="D1231" s="13">
        <f>Weekly!G81</f>
        <v>0</v>
      </c>
      <c r="E1231" s="13" t="str">
        <f t="shared" si="154"/>
        <v/>
      </c>
      <c r="F1231" s="13" t="str">
        <f t="shared" si="157"/>
        <v/>
      </c>
      <c r="G1231" s="13" t="str">
        <f t="shared" si="155"/>
        <v/>
      </c>
      <c r="H1231" s="13" t="str">
        <f t="shared" si="156"/>
        <v/>
      </c>
      <c r="I1231" s="14" t="str">
        <f t="array" ref="I1231">IF(getRGB1(Weekly!G81)="FFFF00","초방","재방")</f>
        <v>재방</v>
      </c>
    </row>
    <row r="1232" spans="1:9" ht="11.25" customHeight="1" x14ac:dyDescent="0.3">
      <c r="A1232" s="10" t="str">
        <f t="shared" si="153"/>
        <v/>
      </c>
      <c r="B1232" s="11">
        <f>Weekly!$G$3</f>
        <v>45919</v>
      </c>
      <c r="C1232" s="12">
        <v>0.27083333333333298</v>
      </c>
      <c r="D1232" s="13">
        <f>Weekly!G82</f>
        <v>0</v>
      </c>
      <c r="E1232" s="13" t="str">
        <f t="shared" si="154"/>
        <v/>
      </c>
      <c r="F1232" s="13" t="str">
        <f t="shared" si="157"/>
        <v/>
      </c>
      <c r="G1232" s="13" t="str">
        <f t="shared" si="155"/>
        <v/>
      </c>
      <c r="H1232" s="13" t="str">
        <f t="shared" si="156"/>
        <v/>
      </c>
      <c r="I1232" s="14" t="str">
        <f t="array" ref="I1232">IF(getRGB1(Weekly!G82)="FFFF00","초방","재방")</f>
        <v>재방</v>
      </c>
    </row>
    <row r="1233" spans="1:9" ht="11.25" customHeight="1" x14ac:dyDescent="0.3">
      <c r="A1233" s="10" t="str">
        <f t="shared" si="153"/>
        <v/>
      </c>
      <c r="B1233" s="11">
        <f>Weekly!$G$3</f>
        <v>45919</v>
      </c>
      <c r="C1233" s="12">
        <v>0.27430555555555602</v>
      </c>
      <c r="D1233" s="13">
        <f>Weekly!G83</f>
        <v>0</v>
      </c>
      <c r="E1233" s="13" t="str">
        <f t="shared" si="154"/>
        <v/>
      </c>
      <c r="F1233" s="13" t="str">
        <f t="shared" si="157"/>
        <v/>
      </c>
      <c r="G1233" s="13" t="str">
        <f t="shared" si="155"/>
        <v/>
      </c>
      <c r="H1233" s="13" t="str">
        <f t="shared" si="156"/>
        <v/>
      </c>
      <c r="I1233" s="14" t="str">
        <f t="array" ref="I1233">IF(getRGB1(Weekly!G83)="FFFF00","초방","재방")</f>
        <v>재방</v>
      </c>
    </row>
    <row r="1234" spans="1:9" ht="11.25" customHeight="1" x14ac:dyDescent="0.3">
      <c r="A1234" s="10" t="str">
        <f t="shared" si="153"/>
        <v/>
      </c>
      <c r="B1234" s="11">
        <f>Weekly!$G$3</f>
        <v>45919</v>
      </c>
      <c r="C1234" s="12">
        <v>0.27777777777777801</v>
      </c>
      <c r="D1234" s="13">
        <f>Weekly!G84</f>
        <v>0</v>
      </c>
      <c r="E1234" s="13" t="str">
        <f t="shared" si="154"/>
        <v/>
      </c>
      <c r="F1234" s="13" t="str">
        <f t="shared" si="157"/>
        <v/>
      </c>
      <c r="G1234" s="13" t="str">
        <f t="shared" si="155"/>
        <v/>
      </c>
      <c r="H1234" s="13" t="str">
        <f t="shared" si="156"/>
        <v/>
      </c>
      <c r="I1234" s="14" t="str">
        <f t="array" ref="I1234">IF(getRGB1(Weekly!G84)="FFFF00","초방","재방")</f>
        <v>재방</v>
      </c>
    </row>
    <row r="1235" spans="1:9" ht="11.25" customHeight="1" x14ac:dyDescent="0.3">
      <c r="A1235" s="10" t="str">
        <f t="shared" si="153"/>
        <v/>
      </c>
      <c r="B1235" s="11">
        <f>Weekly!$G$3</f>
        <v>45919</v>
      </c>
      <c r="C1235" s="12">
        <v>0.28125</v>
      </c>
      <c r="D1235" s="13">
        <f>Weekly!G85</f>
        <v>0</v>
      </c>
      <c r="E1235" s="13" t="str">
        <f t="shared" si="154"/>
        <v/>
      </c>
      <c r="F1235" s="13" t="str">
        <f t="shared" si="157"/>
        <v/>
      </c>
      <c r="G1235" s="13" t="str">
        <f t="shared" si="155"/>
        <v/>
      </c>
      <c r="H1235" s="13" t="str">
        <f t="shared" si="156"/>
        <v/>
      </c>
      <c r="I1235" s="14" t="str">
        <f t="array" ref="I1235">IF(getRGB1(Weekly!G85)="FFFF00","초방","재방")</f>
        <v>재방</v>
      </c>
    </row>
    <row r="1236" spans="1:9" ht="11.25" customHeight="1" x14ac:dyDescent="0.3">
      <c r="A1236" s="10" t="str">
        <f t="shared" si="153"/>
        <v/>
      </c>
      <c r="B1236" s="11">
        <f>Weekly!$G$3</f>
        <v>45919</v>
      </c>
      <c r="C1236" s="12">
        <v>0.28472222222222199</v>
      </c>
      <c r="D1236" s="13">
        <f>Weekly!G86</f>
        <v>0</v>
      </c>
      <c r="E1236" s="13" t="str">
        <f t="shared" si="154"/>
        <v/>
      </c>
      <c r="F1236" s="13" t="str">
        <f t="shared" si="157"/>
        <v/>
      </c>
      <c r="G1236" s="13" t="str">
        <f t="shared" si="155"/>
        <v/>
      </c>
      <c r="H1236" s="13" t="str">
        <f t="shared" si="156"/>
        <v/>
      </c>
      <c r="I1236" s="14" t="str">
        <f t="array" ref="I1236">IF(getRGB1(Weekly!G86)="FFFF00","초방","재방")</f>
        <v>재방</v>
      </c>
    </row>
    <row r="1237" spans="1:9" ht="11.25" customHeight="1" x14ac:dyDescent="0.3">
      <c r="A1237" s="10" t="str">
        <f t="shared" si="153"/>
        <v/>
      </c>
      <c r="B1237" s="11">
        <f>Weekly!$G$3</f>
        <v>45919</v>
      </c>
      <c r="C1237" s="12">
        <v>0.28819444444444398</v>
      </c>
      <c r="D1237" s="13">
        <f>Weekly!G87</f>
        <v>0</v>
      </c>
      <c r="E1237" s="13" t="str">
        <f t="shared" si="154"/>
        <v/>
      </c>
      <c r="F1237" s="13" t="str">
        <f t="shared" si="157"/>
        <v/>
      </c>
      <c r="G1237" s="13" t="str">
        <f t="shared" si="155"/>
        <v/>
      </c>
      <c r="H1237" s="13" t="str">
        <f t="shared" si="156"/>
        <v/>
      </c>
      <c r="I1237" s="14" t="str">
        <f t="array" ref="I1237">IF(getRGB1(Weekly!G87)="FFFF00","초방","재방")</f>
        <v>재방</v>
      </c>
    </row>
    <row r="1238" spans="1:9" ht="11.25" customHeight="1" x14ac:dyDescent="0.3">
      <c r="A1238" s="10">
        <f t="shared" si="153"/>
        <v>45919.291666666664</v>
      </c>
      <c r="B1238" s="11">
        <f>Weekly!$G$3</f>
        <v>45919</v>
      </c>
      <c r="C1238" s="12">
        <v>0.29166666666666702</v>
      </c>
      <c r="D1238" s="13" t="str">
        <f>Weekly!G88</f>
        <v>최선규의 이제는 지방시대
&lt;02</v>
      </c>
      <c r="E1238" s="13" t="str">
        <f t="shared" si="154"/>
        <v>최선규의 이제는 지방시대</v>
      </c>
      <c r="F1238" s="13">
        <f t="shared" si="157"/>
        <v>2</v>
      </c>
      <c r="G1238" s="13" t="str">
        <f t="shared" si="155"/>
        <v/>
      </c>
      <c r="H1238" s="13" t="str">
        <f t="shared" si="156"/>
        <v/>
      </c>
      <c r="I1238" s="14" t="str">
        <f t="array" ref="I1238">IF(getRGB1(Weekly!G88)="FFFF00","초방","재방")</f>
        <v>재방</v>
      </c>
    </row>
    <row r="1239" spans="1:9" ht="11.25" customHeight="1" x14ac:dyDescent="0.3">
      <c r="A1239" s="10" t="str">
        <f t="shared" si="153"/>
        <v/>
      </c>
      <c r="B1239" s="11">
        <f>Weekly!$G$3</f>
        <v>45919</v>
      </c>
      <c r="C1239" s="12">
        <v>0.29513888888888901</v>
      </c>
      <c r="D1239" s="13">
        <f>Weekly!G89</f>
        <v>0</v>
      </c>
      <c r="E1239" s="13" t="str">
        <f t="shared" si="154"/>
        <v/>
      </c>
      <c r="F1239" s="13" t="str">
        <f t="shared" si="157"/>
        <v/>
      </c>
      <c r="G1239" s="13" t="str">
        <f t="shared" si="155"/>
        <v/>
      </c>
      <c r="H1239" s="13" t="str">
        <f t="shared" si="156"/>
        <v/>
      </c>
      <c r="I1239" s="14" t="str">
        <f t="array" ref="I1239">IF(getRGB1(Weekly!G89)="FFFF00","초방","재방")</f>
        <v>재방</v>
      </c>
    </row>
    <row r="1240" spans="1:9" ht="11.25" customHeight="1" x14ac:dyDescent="0.3">
      <c r="A1240" s="10" t="str">
        <f t="shared" si="153"/>
        <v/>
      </c>
      <c r="B1240" s="11">
        <f>Weekly!$G$3</f>
        <v>45919</v>
      </c>
      <c r="C1240" s="12">
        <v>0.29861111111111099</v>
      </c>
      <c r="D1240" s="13">
        <f>Weekly!G90</f>
        <v>0</v>
      </c>
      <c r="E1240" s="13" t="str">
        <f t="shared" si="154"/>
        <v/>
      </c>
      <c r="F1240" s="13" t="str">
        <f t="shared" si="157"/>
        <v/>
      </c>
      <c r="G1240" s="13" t="str">
        <f t="shared" si="155"/>
        <v/>
      </c>
      <c r="H1240" s="13" t="str">
        <f t="shared" si="156"/>
        <v/>
      </c>
      <c r="I1240" s="14" t="str">
        <f t="array" ref="I1240">IF(getRGB1(Weekly!G90)="FFFF00","초방","재방")</f>
        <v>재방</v>
      </c>
    </row>
    <row r="1241" spans="1:9" ht="11.25" customHeight="1" x14ac:dyDescent="0.3">
      <c r="A1241" s="10" t="str">
        <f t="shared" si="153"/>
        <v/>
      </c>
      <c r="B1241" s="11">
        <f>Weekly!$G$3</f>
        <v>45919</v>
      </c>
      <c r="C1241" s="12">
        <v>0.30208333333333298</v>
      </c>
      <c r="D1241" s="13">
        <f>Weekly!G91</f>
        <v>0</v>
      </c>
      <c r="E1241" s="13" t="str">
        <f t="shared" si="154"/>
        <v/>
      </c>
      <c r="F1241" s="13" t="str">
        <f t="shared" si="157"/>
        <v/>
      </c>
      <c r="G1241" s="13" t="str">
        <f t="shared" si="155"/>
        <v/>
      </c>
      <c r="H1241" s="13" t="str">
        <f t="shared" si="156"/>
        <v/>
      </c>
      <c r="I1241" s="14" t="str">
        <f t="array" ref="I1241">IF(getRGB1(Weekly!G91)="FFFF00","초방","재방")</f>
        <v>재방</v>
      </c>
    </row>
    <row r="1242" spans="1:9" ht="11.25" customHeight="1" x14ac:dyDescent="0.3">
      <c r="A1242" s="10" t="str">
        <f t="shared" si="153"/>
        <v/>
      </c>
      <c r="B1242" s="11">
        <f>Weekly!$G$3</f>
        <v>45919</v>
      </c>
      <c r="C1242" s="12">
        <v>0.30555555555555602</v>
      </c>
      <c r="D1242" s="13">
        <f>Weekly!G92</f>
        <v>0</v>
      </c>
      <c r="E1242" s="13" t="str">
        <f t="shared" si="154"/>
        <v/>
      </c>
      <c r="F1242" s="13" t="str">
        <f t="shared" si="157"/>
        <v/>
      </c>
      <c r="G1242" s="13" t="str">
        <f t="shared" si="155"/>
        <v/>
      </c>
      <c r="H1242" s="13" t="str">
        <f t="shared" si="156"/>
        <v/>
      </c>
      <c r="I1242" s="14" t="str">
        <f t="array" ref="I1242">IF(getRGB1(Weekly!G92)="FFFF00","초방","재방")</f>
        <v>재방</v>
      </c>
    </row>
    <row r="1243" spans="1:9" ht="11.25" customHeight="1" x14ac:dyDescent="0.3">
      <c r="A1243" s="10" t="str">
        <f t="shared" si="153"/>
        <v/>
      </c>
      <c r="B1243" s="11">
        <f>Weekly!$G$3</f>
        <v>45919</v>
      </c>
      <c r="C1243" s="12">
        <v>0.30902777777777801</v>
      </c>
      <c r="D1243" s="13">
        <f>Weekly!G93</f>
        <v>0</v>
      </c>
      <c r="E1243" s="13" t="str">
        <f t="shared" si="154"/>
        <v/>
      </c>
      <c r="F1243" s="13" t="str">
        <f t="shared" si="157"/>
        <v/>
      </c>
      <c r="G1243" s="13" t="str">
        <f t="shared" si="155"/>
        <v/>
      </c>
      <c r="H1243" s="13" t="str">
        <f t="shared" si="156"/>
        <v/>
      </c>
      <c r="I1243" s="14" t="str">
        <f t="array" ref="I1243">IF(getRGB1(Weekly!G93)="FFFF00","초방","재방")</f>
        <v>재방</v>
      </c>
    </row>
    <row r="1244" spans="1:9" ht="11.25" customHeight="1" x14ac:dyDescent="0.3">
      <c r="A1244" s="10" t="str">
        <f t="shared" si="153"/>
        <v/>
      </c>
      <c r="B1244" s="11">
        <f>Weekly!$G$3</f>
        <v>45919</v>
      </c>
      <c r="C1244" s="12">
        <v>0.3125</v>
      </c>
      <c r="D1244" s="13">
        <f>Weekly!G94</f>
        <v>0</v>
      </c>
      <c r="E1244" s="13" t="str">
        <f t="shared" si="154"/>
        <v/>
      </c>
      <c r="F1244" s="13" t="str">
        <f t="shared" si="157"/>
        <v/>
      </c>
      <c r="G1244" s="13" t="str">
        <f t="shared" si="155"/>
        <v/>
      </c>
      <c r="H1244" s="13" t="str">
        <f t="shared" si="156"/>
        <v/>
      </c>
      <c r="I1244" s="14" t="str">
        <f t="array" ref="I1244">IF(getRGB1(Weekly!G94)="FFFF00","초방","재방")</f>
        <v>재방</v>
      </c>
    </row>
    <row r="1245" spans="1:9" ht="11.25" customHeight="1" x14ac:dyDescent="0.3">
      <c r="A1245" s="10" t="str">
        <f t="shared" si="153"/>
        <v/>
      </c>
      <c r="B1245" s="11">
        <f>Weekly!$G$3</f>
        <v>45919</v>
      </c>
      <c r="C1245" s="12">
        <v>0.31597222222222199</v>
      </c>
      <c r="D1245" s="13">
        <f>Weekly!G95</f>
        <v>0</v>
      </c>
      <c r="E1245" s="13" t="str">
        <f t="shared" si="154"/>
        <v/>
      </c>
      <c r="F1245" s="13" t="str">
        <f t="shared" si="157"/>
        <v/>
      </c>
      <c r="G1245" s="13" t="str">
        <f t="shared" si="155"/>
        <v/>
      </c>
      <c r="H1245" s="13" t="str">
        <f t="shared" si="156"/>
        <v/>
      </c>
      <c r="I1245" s="14" t="str">
        <f t="array" ref="I1245">IF(getRGB1(Weekly!G95)="FFFF00","초방","재방")</f>
        <v>재방</v>
      </c>
    </row>
    <row r="1246" spans="1:9" ht="11.25" customHeight="1" x14ac:dyDescent="0.3">
      <c r="A1246" s="10" t="str">
        <f t="shared" si="153"/>
        <v/>
      </c>
      <c r="B1246" s="11">
        <f>Weekly!$G$3</f>
        <v>45919</v>
      </c>
      <c r="C1246" s="12">
        <v>0.31944444444444398</v>
      </c>
      <c r="D1246" s="13">
        <f>Weekly!G96</f>
        <v>0</v>
      </c>
      <c r="E1246" s="13" t="str">
        <f t="shared" si="154"/>
        <v/>
      </c>
      <c r="F1246" s="13" t="str">
        <f t="shared" si="157"/>
        <v/>
      </c>
      <c r="G1246" s="13" t="str">
        <f t="shared" si="155"/>
        <v/>
      </c>
      <c r="H1246" s="13" t="str">
        <f t="shared" si="156"/>
        <v/>
      </c>
      <c r="I1246" s="14" t="str">
        <f t="array" ref="I1246">IF(getRGB1(Weekly!G96)="FFFF00","초방","재방")</f>
        <v>재방</v>
      </c>
    </row>
    <row r="1247" spans="1:9" ht="11.25" customHeight="1" x14ac:dyDescent="0.3">
      <c r="A1247" s="10" t="str">
        <f t="shared" si="153"/>
        <v/>
      </c>
      <c r="B1247" s="11">
        <f>Weekly!$G$3</f>
        <v>45919</v>
      </c>
      <c r="C1247" s="12">
        <v>0.32291666666666702</v>
      </c>
      <c r="D1247" s="13">
        <f>Weekly!G97</f>
        <v>0</v>
      </c>
      <c r="E1247" s="13" t="str">
        <f t="shared" si="154"/>
        <v/>
      </c>
      <c r="F1247" s="13" t="str">
        <f t="shared" si="157"/>
        <v/>
      </c>
      <c r="G1247" s="13" t="str">
        <f t="shared" si="155"/>
        <v/>
      </c>
      <c r="H1247" s="13" t="str">
        <f t="shared" si="156"/>
        <v/>
      </c>
      <c r="I1247" s="14" t="str">
        <f t="array" ref="I1247">IF(getRGB1(Weekly!G97)="FFFF00","초방","재방")</f>
        <v>재방</v>
      </c>
    </row>
    <row r="1248" spans="1:9" ht="11.25" customHeight="1" x14ac:dyDescent="0.3">
      <c r="A1248" s="10" t="str">
        <f t="shared" si="153"/>
        <v/>
      </c>
      <c r="B1248" s="11">
        <f>Weekly!$G$3</f>
        <v>45919</v>
      </c>
      <c r="C1248" s="12">
        <v>0.32638888888888901</v>
      </c>
      <c r="D1248" s="13">
        <f>Weekly!G98</f>
        <v>0</v>
      </c>
      <c r="E1248" s="13" t="str">
        <f t="shared" si="154"/>
        <v/>
      </c>
      <c r="F1248" s="13" t="str">
        <f t="shared" si="157"/>
        <v/>
      </c>
      <c r="G1248" s="13" t="str">
        <f t="shared" si="155"/>
        <v/>
      </c>
      <c r="H1248" s="13" t="str">
        <f t="shared" si="156"/>
        <v/>
      </c>
      <c r="I1248" s="14" t="str">
        <f t="array" ref="I1248">IF(getRGB1(Weekly!G98)="FFFF00","초방","재방")</f>
        <v>재방</v>
      </c>
    </row>
    <row r="1249" spans="1:9" ht="11.25" customHeight="1" x14ac:dyDescent="0.3">
      <c r="A1249" s="10" t="str">
        <f t="shared" si="153"/>
        <v/>
      </c>
      <c r="B1249" s="11">
        <f>Weekly!$G$3</f>
        <v>45919</v>
      </c>
      <c r="C1249" s="12">
        <v>0.32986111111111099</v>
      </c>
      <c r="D1249" s="13">
        <f>Weekly!G99</f>
        <v>0</v>
      </c>
      <c r="E1249" s="13" t="str">
        <f t="shared" si="154"/>
        <v/>
      </c>
      <c r="F1249" s="13" t="str">
        <f t="shared" si="157"/>
        <v/>
      </c>
      <c r="G1249" s="13" t="str">
        <f t="shared" si="155"/>
        <v/>
      </c>
      <c r="H1249" s="13" t="str">
        <f t="shared" si="156"/>
        <v/>
      </c>
      <c r="I1249" s="14" t="str">
        <f t="array" ref="I1249">IF(getRGB1(Weekly!G99)="FFFF00","초방","재방")</f>
        <v>재방</v>
      </c>
    </row>
    <row r="1250" spans="1:9" ht="11.25" customHeight="1" x14ac:dyDescent="0.3">
      <c r="A1250" s="10">
        <f t="shared" si="153"/>
        <v>45919.333333333336</v>
      </c>
      <c r="B1250" s="11">
        <f>Weekly!$G$3</f>
        <v>45919</v>
      </c>
      <c r="C1250" s="12">
        <v>0.33333333333333298</v>
      </c>
      <c r="D1250" s="13" t="str">
        <f>Weekly!G100</f>
        <v xml:space="preserve"> NEWSPLUS
&lt;64</v>
      </c>
      <c r="E1250" s="13" t="str">
        <f t="shared" si="154"/>
        <v>NEWSPLUS</v>
      </c>
      <c r="F1250" s="13">
        <f t="shared" si="157"/>
        <v>64</v>
      </c>
      <c r="G1250" s="13" t="str">
        <f t="shared" si="155"/>
        <v/>
      </c>
      <c r="H1250" s="13" t="str">
        <f t="shared" si="156"/>
        <v/>
      </c>
      <c r="I1250" s="14" t="str">
        <f t="array" ref="I1250">IF(getRGB1(Weekly!G100)="FFFF00","초방","재방")</f>
        <v>재방</v>
      </c>
    </row>
    <row r="1251" spans="1:9" ht="11.25" customHeight="1" x14ac:dyDescent="0.3">
      <c r="A1251" s="10" t="str">
        <f t="shared" si="153"/>
        <v/>
      </c>
      <c r="B1251" s="11">
        <f>Weekly!$G$3</f>
        <v>45919</v>
      </c>
      <c r="C1251" s="12">
        <v>0.33680555555555602</v>
      </c>
      <c r="D1251" s="13">
        <f>Weekly!G101</f>
        <v>0</v>
      </c>
      <c r="E1251" s="13" t="str">
        <f t="shared" si="154"/>
        <v/>
      </c>
      <c r="F1251" s="13" t="str">
        <f t="shared" si="157"/>
        <v/>
      </c>
      <c r="G1251" s="13" t="str">
        <f t="shared" si="155"/>
        <v/>
      </c>
      <c r="H1251" s="13" t="str">
        <f t="shared" si="156"/>
        <v/>
      </c>
      <c r="I1251" s="14" t="str">
        <f t="array" ref="I1251">IF(getRGB1(Weekly!G101)="FFFF00","초방","재방")</f>
        <v>재방</v>
      </c>
    </row>
    <row r="1252" spans="1:9" ht="11.25" customHeight="1" x14ac:dyDescent="0.3">
      <c r="A1252" s="10" t="str">
        <f t="shared" si="153"/>
        <v/>
      </c>
      <c r="B1252" s="11">
        <f>Weekly!$G$3</f>
        <v>45919</v>
      </c>
      <c r="C1252" s="12">
        <v>0.34027777777777801</v>
      </c>
      <c r="D1252" s="13">
        <f>Weekly!G102</f>
        <v>0</v>
      </c>
      <c r="E1252" s="13" t="str">
        <f t="shared" si="154"/>
        <v/>
      </c>
      <c r="F1252" s="13" t="str">
        <f t="shared" si="157"/>
        <v/>
      </c>
      <c r="G1252" s="13" t="str">
        <f t="shared" si="155"/>
        <v/>
      </c>
      <c r="H1252" s="13" t="str">
        <f t="shared" si="156"/>
        <v/>
      </c>
      <c r="I1252" s="14" t="str">
        <f t="array" ref="I1252">IF(getRGB1(Weekly!G102)="FFFF00","초방","재방")</f>
        <v>재방</v>
      </c>
    </row>
    <row r="1253" spans="1:9" ht="11.25" customHeight="1" x14ac:dyDescent="0.3">
      <c r="A1253" s="10" t="str">
        <f t="shared" si="153"/>
        <v/>
      </c>
      <c r="B1253" s="11">
        <f>Weekly!$G$3</f>
        <v>45919</v>
      </c>
      <c r="C1253" s="12">
        <v>0.34375</v>
      </c>
      <c r="D1253" s="13">
        <f>Weekly!G103</f>
        <v>0</v>
      </c>
      <c r="E1253" s="13" t="str">
        <f t="shared" si="154"/>
        <v/>
      </c>
      <c r="F1253" s="13" t="str">
        <f t="shared" si="157"/>
        <v/>
      </c>
      <c r="G1253" s="13" t="str">
        <f t="shared" si="155"/>
        <v/>
      </c>
      <c r="H1253" s="13" t="str">
        <f t="shared" si="156"/>
        <v/>
      </c>
      <c r="I1253" s="14" t="str">
        <f t="array" ref="I1253">IF(getRGB1(Weekly!G103)="FFFF00","초방","재방")</f>
        <v>재방</v>
      </c>
    </row>
    <row r="1254" spans="1:9" ht="11.25" customHeight="1" x14ac:dyDescent="0.3">
      <c r="A1254" s="10" t="str">
        <f t="shared" si="153"/>
        <v/>
      </c>
      <c r="B1254" s="11">
        <f>Weekly!$G$3</f>
        <v>45919</v>
      </c>
      <c r="C1254" s="12">
        <v>0.34722222222222199</v>
      </c>
      <c r="D1254" s="13">
        <f>Weekly!G104</f>
        <v>0</v>
      </c>
      <c r="E1254" s="13" t="str">
        <f t="shared" si="154"/>
        <v/>
      </c>
      <c r="F1254" s="13" t="str">
        <f t="shared" si="157"/>
        <v/>
      </c>
      <c r="G1254" s="13" t="str">
        <f t="shared" si="155"/>
        <v/>
      </c>
      <c r="H1254" s="13" t="str">
        <f t="shared" si="156"/>
        <v/>
      </c>
      <c r="I1254" s="14" t="str">
        <f t="array" ref="I1254">IF(getRGB1(Weekly!G104)="FFFF00","초방","재방")</f>
        <v>재방</v>
      </c>
    </row>
    <row r="1255" spans="1:9" ht="11.25" customHeight="1" x14ac:dyDescent="0.3">
      <c r="A1255" s="10" t="str">
        <f t="shared" si="153"/>
        <v/>
      </c>
      <c r="B1255" s="11">
        <f>Weekly!$G$3</f>
        <v>45919</v>
      </c>
      <c r="C1255" s="12">
        <v>0.35069444444444398</v>
      </c>
      <c r="D1255" s="13">
        <f>Weekly!G105</f>
        <v>0</v>
      </c>
      <c r="E1255" s="13" t="str">
        <f t="shared" si="154"/>
        <v/>
      </c>
      <c r="F1255" s="13" t="str">
        <f t="shared" si="157"/>
        <v/>
      </c>
      <c r="G1255" s="13" t="str">
        <f t="shared" si="155"/>
        <v/>
      </c>
      <c r="H1255" s="13" t="str">
        <f t="shared" si="156"/>
        <v/>
      </c>
      <c r="I1255" s="14" t="str">
        <f t="array" ref="I1255">IF(getRGB1(Weekly!G105)="FFFF00","초방","재방")</f>
        <v>재방</v>
      </c>
    </row>
    <row r="1256" spans="1:9" ht="11.25" customHeight="1" x14ac:dyDescent="0.3">
      <c r="A1256" s="10">
        <f t="shared" si="153"/>
        <v>45919.354166666664</v>
      </c>
      <c r="B1256" s="11">
        <f>Weekly!$G$3</f>
        <v>45919</v>
      </c>
      <c r="C1256" s="12">
        <v>0.35416666666666702</v>
      </c>
      <c r="D1256" s="13" t="str">
        <f>Weekly!G106</f>
        <v>남도스럽게
&lt;04</v>
      </c>
      <c r="E1256" s="13" t="str">
        <f t="shared" si="154"/>
        <v>남도스럽게</v>
      </c>
      <c r="F1256" s="13">
        <f t="shared" si="157"/>
        <v>4</v>
      </c>
      <c r="G1256" s="13" t="str">
        <f t="shared" si="155"/>
        <v/>
      </c>
      <c r="H1256" s="13" t="str">
        <f t="shared" si="156"/>
        <v/>
      </c>
      <c r="I1256" s="14" t="str">
        <f t="array" ref="I1256">IF(getRGB1(Weekly!G106)="FFFF00","초방","재방")</f>
        <v>재방</v>
      </c>
    </row>
    <row r="1257" spans="1:9" ht="11.25" customHeight="1" x14ac:dyDescent="0.3">
      <c r="A1257" s="10" t="str">
        <f t="shared" si="153"/>
        <v/>
      </c>
      <c r="B1257" s="11">
        <f>Weekly!$G$3</f>
        <v>45919</v>
      </c>
      <c r="C1257" s="12">
        <v>0.35763888888888901</v>
      </c>
      <c r="D1257" s="13">
        <f>Weekly!G107</f>
        <v>0</v>
      </c>
      <c r="E1257" s="13" t="str">
        <f t="shared" si="154"/>
        <v/>
      </c>
      <c r="F1257" s="13" t="str">
        <f t="shared" si="157"/>
        <v/>
      </c>
      <c r="G1257" s="13" t="str">
        <f t="shared" si="155"/>
        <v/>
      </c>
      <c r="H1257" s="13" t="str">
        <f t="shared" si="156"/>
        <v/>
      </c>
      <c r="I1257" s="14" t="str">
        <f t="array" ref="I1257">IF(getRGB1(Weekly!G107)="FFFF00","초방","재방")</f>
        <v>재방</v>
      </c>
    </row>
    <row r="1258" spans="1:9" ht="11.25" customHeight="1" x14ac:dyDescent="0.3">
      <c r="A1258" s="10" t="str">
        <f t="shared" si="153"/>
        <v/>
      </c>
      <c r="B1258" s="11">
        <f>Weekly!$G$3</f>
        <v>45919</v>
      </c>
      <c r="C1258" s="12">
        <v>0.36111111111111099</v>
      </c>
      <c r="D1258" s="13">
        <f>Weekly!G108</f>
        <v>0</v>
      </c>
      <c r="E1258" s="13" t="str">
        <f t="shared" si="154"/>
        <v/>
      </c>
      <c r="F1258" s="13" t="str">
        <f t="shared" si="157"/>
        <v/>
      </c>
      <c r="G1258" s="13" t="str">
        <f t="shared" si="155"/>
        <v/>
      </c>
      <c r="H1258" s="13" t="str">
        <f t="shared" si="156"/>
        <v/>
      </c>
      <c r="I1258" s="14" t="str">
        <f t="array" ref="I1258">IF(getRGB1(Weekly!G108)="FFFF00","초방","재방")</f>
        <v>재방</v>
      </c>
    </row>
    <row r="1259" spans="1:9" ht="11.25" customHeight="1" x14ac:dyDescent="0.3">
      <c r="A1259" s="10" t="str">
        <f t="shared" si="153"/>
        <v/>
      </c>
      <c r="B1259" s="11">
        <f>Weekly!$G$3</f>
        <v>45919</v>
      </c>
      <c r="C1259" s="12">
        <v>0.36458333333333298</v>
      </c>
      <c r="D1259" s="13">
        <f>Weekly!G109</f>
        <v>0</v>
      </c>
      <c r="E1259" s="13" t="str">
        <f t="shared" si="154"/>
        <v/>
      </c>
      <c r="F1259" s="13" t="str">
        <f t="shared" si="157"/>
        <v/>
      </c>
      <c r="G1259" s="13" t="str">
        <f t="shared" si="155"/>
        <v/>
      </c>
      <c r="H1259" s="13" t="str">
        <f t="shared" si="156"/>
        <v/>
      </c>
      <c r="I1259" s="14" t="str">
        <f t="array" ref="I1259">IF(getRGB1(Weekly!G109)="FFFF00","초방","재방")</f>
        <v>재방</v>
      </c>
    </row>
    <row r="1260" spans="1:9" ht="11.25" customHeight="1" x14ac:dyDescent="0.3">
      <c r="A1260" s="10" t="str">
        <f t="shared" si="153"/>
        <v/>
      </c>
      <c r="B1260" s="11">
        <f>Weekly!$G$3</f>
        <v>45919</v>
      </c>
      <c r="C1260" s="12">
        <v>0.36805555555555602</v>
      </c>
      <c r="D1260" s="13">
        <f>Weekly!G110</f>
        <v>0</v>
      </c>
      <c r="E1260" s="13" t="str">
        <f t="shared" si="154"/>
        <v/>
      </c>
      <c r="F1260" s="13" t="str">
        <f t="shared" si="157"/>
        <v/>
      </c>
      <c r="G1260" s="13" t="str">
        <f t="shared" si="155"/>
        <v/>
      </c>
      <c r="H1260" s="13" t="str">
        <f t="shared" si="156"/>
        <v/>
      </c>
      <c r="I1260" s="14" t="str">
        <f t="array" ref="I1260">IF(getRGB1(Weekly!G110)="FFFF00","초방","재방")</f>
        <v>재방</v>
      </c>
    </row>
    <row r="1261" spans="1:9" ht="11.25" customHeight="1" x14ac:dyDescent="0.3">
      <c r="A1261" s="10" t="str">
        <f t="shared" si="153"/>
        <v/>
      </c>
      <c r="B1261" s="11">
        <f>Weekly!$G$3</f>
        <v>45919</v>
      </c>
      <c r="C1261" s="12">
        <v>0.37152777777777801</v>
      </c>
      <c r="D1261" s="13">
        <f>Weekly!G111</f>
        <v>0</v>
      </c>
      <c r="E1261" s="13" t="str">
        <f t="shared" si="154"/>
        <v/>
      </c>
      <c r="F1261" s="13" t="str">
        <f t="shared" si="157"/>
        <v/>
      </c>
      <c r="G1261" s="13" t="str">
        <f t="shared" si="155"/>
        <v/>
      </c>
      <c r="H1261" s="13" t="str">
        <f t="shared" si="156"/>
        <v/>
      </c>
      <c r="I1261" s="14" t="str">
        <f t="array" ref="I1261">IF(getRGB1(Weekly!G111)="FFFF00","초방","재방")</f>
        <v>재방</v>
      </c>
    </row>
    <row r="1262" spans="1:9" ht="11.25" customHeight="1" x14ac:dyDescent="0.3">
      <c r="A1262" s="10" t="str">
        <f t="shared" si="153"/>
        <v/>
      </c>
      <c r="B1262" s="11">
        <f>Weekly!$G$3</f>
        <v>45919</v>
      </c>
      <c r="C1262" s="12">
        <v>0.375</v>
      </c>
      <c r="D1262" s="13">
        <f>Weekly!G112</f>
        <v>0</v>
      </c>
      <c r="E1262" s="13" t="str">
        <f t="shared" si="154"/>
        <v/>
      </c>
      <c r="F1262" s="13" t="str">
        <f t="shared" si="157"/>
        <v/>
      </c>
      <c r="G1262" s="13" t="str">
        <f t="shared" si="155"/>
        <v/>
      </c>
      <c r="H1262" s="13" t="str">
        <f t="shared" si="156"/>
        <v/>
      </c>
      <c r="I1262" s="14" t="str">
        <f t="array" ref="I1262">IF(getRGB1(Weekly!G112)="FFFF00","초방","재방")</f>
        <v>재방</v>
      </c>
    </row>
    <row r="1263" spans="1:9" ht="11.25" customHeight="1" x14ac:dyDescent="0.3">
      <c r="A1263" s="10" t="str">
        <f t="shared" si="153"/>
        <v/>
      </c>
      <c r="B1263" s="11">
        <f>Weekly!$G$3</f>
        <v>45919</v>
      </c>
      <c r="C1263" s="12">
        <v>0.37847222222222199</v>
      </c>
      <c r="D1263" s="13">
        <f>Weekly!G113</f>
        <v>0</v>
      </c>
      <c r="E1263" s="13" t="str">
        <f t="shared" si="154"/>
        <v/>
      </c>
      <c r="F1263" s="13" t="str">
        <f t="shared" si="157"/>
        <v/>
      </c>
      <c r="G1263" s="13" t="str">
        <f t="shared" si="155"/>
        <v/>
      </c>
      <c r="H1263" s="13" t="str">
        <f t="shared" si="156"/>
        <v/>
      </c>
      <c r="I1263" s="14" t="str">
        <f t="array" ref="I1263">IF(getRGB1(Weekly!G113)="FFFF00","초방","재방")</f>
        <v>재방</v>
      </c>
    </row>
    <row r="1264" spans="1:9" ht="11.25" customHeight="1" x14ac:dyDescent="0.3">
      <c r="A1264" s="10" t="str">
        <f t="shared" si="153"/>
        <v/>
      </c>
      <c r="B1264" s="11">
        <f>Weekly!$G$3</f>
        <v>45919</v>
      </c>
      <c r="C1264" s="12">
        <v>0.38194444444444398</v>
      </c>
      <c r="D1264" s="13">
        <f>Weekly!G114</f>
        <v>0</v>
      </c>
      <c r="E1264" s="13" t="str">
        <f t="shared" si="154"/>
        <v/>
      </c>
      <c r="F1264" s="13" t="str">
        <f t="shared" si="157"/>
        <v/>
      </c>
      <c r="G1264" s="13" t="str">
        <f t="shared" si="155"/>
        <v/>
      </c>
      <c r="H1264" s="13" t="str">
        <f t="shared" si="156"/>
        <v/>
      </c>
      <c r="I1264" s="14" t="str">
        <f t="array" ref="I1264">IF(getRGB1(Weekly!G114)="FFFF00","초방","재방")</f>
        <v>재방</v>
      </c>
    </row>
    <row r="1265" spans="1:9" ht="11.25" customHeight="1" x14ac:dyDescent="0.3">
      <c r="A1265" s="10" t="str">
        <f t="shared" si="153"/>
        <v/>
      </c>
      <c r="B1265" s="11">
        <f>Weekly!$G$3</f>
        <v>45919</v>
      </c>
      <c r="C1265" s="12">
        <v>0.38541666666666702</v>
      </c>
      <c r="D1265" s="13">
        <f>Weekly!G115</f>
        <v>0</v>
      </c>
      <c r="E1265" s="13" t="str">
        <f t="shared" si="154"/>
        <v/>
      </c>
      <c r="F1265" s="13" t="str">
        <f t="shared" si="157"/>
        <v/>
      </c>
      <c r="G1265" s="13" t="str">
        <f t="shared" si="155"/>
        <v/>
      </c>
      <c r="H1265" s="13" t="str">
        <f t="shared" si="156"/>
        <v/>
      </c>
      <c r="I1265" s="14" t="str">
        <f t="array" ref="I1265">IF(getRGB1(Weekly!G115)="FFFF00","초방","재방")</f>
        <v>재방</v>
      </c>
    </row>
    <row r="1266" spans="1:9" ht="11.25" customHeight="1" x14ac:dyDescent="0.3">
      <c r="A1266" s="10">
        <f t="shared" si="153"/>
        <v>45919.388888888891</v>
      </c>
      <c r="B1266" s="11">
        <f>Weekly!$G$3</f>
        <v>45919</v>
      </c>
      <c r="C1266" s="12">
        <v>0.38888888888888901</v>
      </c>
      <c r="D1266" s="13" t="str">
        <f>Weekly!G116</f>
        <v>눈에 띄는 그녀들 시즌5
&lt;01</v>
      </c>
      <c r="E1266" s="13" t="str">
        <f t="shared" si="154"/>
        <v>눈에 띄는 그녀들 시즌5</v>
      </c>
      <c r="F1266" s="13">
        <f t="shared" si="157"/>
        <v>1</v>
      </c>
      <c r="G1266" s="13" t="str">
        <f t="shared" si="155"/>
        <v/>
      </c>
      <c r="H1266" s="13" t="str">
        <f t="shared" si="156"/>
        <v/>
      </c>
      <c r="I1266" s="14" t="str">
        <f t="array" ref="I1266">IF(getRGB1(Weekly!G116)="FFFF00","초방","재방")</f>
        <v>재방</v>
      </c>
    </row>
    <row r="1267" spans="1:9" ht="11.25" customHeight="1" x14ac:dyDescent="0.3">
      <c r="A1267" s="10" t="str">
        <f t="shared" si="153"/>
        <v/>
      </c>
      <c r="B1267" s="11">
        <f>Weekly!$G$3</f>
        <v>45919</v>
      </c>
      <c r="C1267" s="12">
        <v>0.39236111111111099</v>
      </c>
      <c r="D1267" s="13">
        <f>Weekly!G117</f>
        <v>0</v>
      </c>
      <c r="E1267" s="13" t="str">
        <f t="shared" si="154"/>
        <v/>
      </c>
      <c r="F1267" s="13" t="str">
        <f t="shared" si="157"/>
        <v/>
      </c>
      <c r="G1267" s="13" t="str">
        <f t="shared" si="155"/>
        <v/>
      </c>
      <c r="H1267" s="13" t="str">
        <f t="shared" si="156"/>
        <v/>
      </c>
      <c r="I1267" s="14" t="str">
        <f t="array" ref="I1267">IF(getRGB1(Weekly!G117)="FFFF00","초방","재방")</f>
        <v>재방</v>
      </c>
    </row>
    <row r="1268" spans="1:9" ht="11.25" customHeight="1" x14ac:dyDescent="0.3">
      <c r="A1268" s="10" t="str">
        <f t="shared" si="153"/>
        <v/>
      </c>
      <c r="B1268" s="11">
        <f>Weekly!$G$3</f>
        <v>45919</v>
      </c>
      <c r="C1268" s="12">
        <v>0.39583333333333298</v>
      </c>
      <c r="D1268" s="13">
        <f>Weekly!G118</f>
        <v>0</v>
      </c>
      <c r="E1268" s="13" t="str">
        <f t="shared" si="154"/>
        <v/>
      </c>
      <c r="F1268" s="13" t="str">
        <f t="shared" si="157"/>
        <v/>
      </c>
      <c r="G1268" s="13" t="str">
        <f t="shared" si="155"/>
        <v/>
      </c>
      <c r="H1268" s="13" t="str">
        <f t="shared" si="156"/>
        <v/>
      </c>
      <c r="I1268" s="14" t="str">
        <f t="array" ref="I1268">IF(getRGB1(Weekly!G118)="FFFF00","초방","재방")</f>
        <v>재방</v>
      </c>
    </row>
    <row r="1269" spans="1:9" ht="11.25" customHeight="1" x14ac:dyDescent="0.3">
      <c r="A1269" s="10" t="str">
        <f t="shared" si="153"/>
        <v/>
      </c>
      <c r="B1269" s="11">
        <f>Weekly!$G$3</f>
        <v>45919</v>
      </c>
      <c r="C1269" s="12">
        <v>0.39930555555555602</v>
      </c>
      <c r="D1269" s="13">
        <f>Weekly!G119</f>
        <v>0</v>
      </c>
      <c r="E1269" s="13" t="str">
        <f t="shared" si="154"/>
        <v/>
      </c>
      <c r="F1269" s="13" t="str">
        <f t="shared" si="157"/>
        <v/>
      </c>
      <c r="G1269" s="13" t="str">
        <f t="shared" si="155"/>
        <v/>
      </c>
      <c r="H1269" s="13" t="str">
        <f t="shared" si="156"/>
        <v/>
      </c>
      <c r="I1269" s="14" t="str">
        <f t="array" ref="I1269">IF(getRGB1(Weekly!G119)="FFFF00","초방","재방")</f>
        <v>재방</v>
      </c>
    </row>
    <row r="1270" spans="1:9" ht="11.25" customHeight="1" x14ac:dyDescent="0.3">
      <c r="A1270" s="10" t="str">
        <f t="shared" si="153"/>
        <v/>
      </c>
      <c r="B1270" s="11">
        <f>Weekly!$G$3</f>
        <v>45919</v>
      </c>
      <c r="C1270" s="12">
        <v>0.40277777777777801</v>
      </c>
      <c r="D1270" s="13">
        <f>Weekly!G120</f>
        <v>0</v>
      </c>
      <c r="E1270" s="13" t="str">
        <f t="shared" si="154"/>
        <v/>
      </c>
      <c r="F1270" s="13" t="str">
        <f t="shared" si="157"/>
        <v/>
      </c>
      <c r="G1270" s="13" t="str">
        <f t="shared" si="155"/>
        <v/>
      </c>
      <c r="H1270" s="13" t="str">
        <f t="shared" si="156"/>
        <v/>
      </c>
      <c r="I1270" s="14" t="str">
        <f t="array" ref="I1270">IF(getRGB1(Weekly!G120)="FFFF00","초방","재방")</f>
        <v>재방</v>
      </c>
    </row>
    <row r="1271" spans="1:9" ht="11.25" customHeight="1" x14ac:dyDescent="0.3">
      <c r="A1271" s="10" t="str">
        <f t="shared" si="153"/>
        <v/>
      </c>
      <c r="B1271" s="11">
        <f>Weekly!$G$3</f>
        <v>45919</v>
      </c>
      <c r="C1271" s="12">
        <v>0.40625</v>
      </c>
      <c r="D1271" s="13">
        <f>Weekly!G121</f>
        <v>0</v>
      </c>
      <c r="E1271" s="13" t="str">
        <f t="shared" si="154"/>
        <v/>
      </c>
      <c r="F1271" s="13" t="str">
        <f t="shared" si="157"/>
        <v/>
      </c>
      <c r="G1271" s="13" t="str">
        <f t="shared" si="155"/>
        <v/>
      </c>
      <c r="H1271" s="13" t="str">
        <f t="shared" si="156"/>
        <v/>
      </c>
      <c r="I1271" s="14" t="str">
        <f t="array" ref="I1271">IF(getRGB1(Weekly!G121)="FFFF00","초방","재방")</f>
        <v>재방</v>
      </c>
    </row>
    <row r="1272" spans="1:9" ht="11.25" customHeight="1" x14ac:dyDescent="0.3">
      <c r="A1272" s="10" t="str">
        <f t="shared" si="153"/>
        <v/>
      </c>
      <c r="B1272" s="11">
        <f>Weekly!$G$3</f>
        <v>45919</v>
      </c>
      <c r="C1272" s="12">
        <v>0.40972222222222199</v>
      </c>
      <c r="D1272" s="13">
        <f>Weekly!G122</f>
        <v>0</v>
      </c>
      <c r="E1272" s="13" t="str">
        <f t="shared" si="154"/>
        <v/>
      </c>
      <c r="F1272" s="13" t="str">
        <f t="shared" si="157"/>
        <v/>
      </c>
      <c r="G1272" s="13" t="str">
        <f t="shared" si="155"/>
        <v/>
      </c>
      <c r="H1272" s="13" t="str">
        <f t="shared" si="156"/>
        <v/>
      </c>
      <c r="I1272" s="14" t="str">
        <f t="array" ref="I1272">IF(getRGB1(Weekly!G122)="FFFF00","초방","재방")</f>
        <v>재방</v>
      </c>
    </row>
    <row r="1273" spans="1:9" ht="11.25" customHeight="1" x14ac:dyDescent="0.3">
      <c r="A1273" s="10" t="str">
        <f t="shared" si="153"/>
        <v/>
      </c>
      <c r="B1273" s="11">
        <f>Weekly!$G$3</f>
        <v>45919</v>
      </c>
      <c r="C1273" s="12">
        <v>0.41319444444444398</v>
      </c>
      <c r="D1273" s="13">
        <f>Weekly!G123</f>
        <v>0</v>
      </c>
      <c r="E1273" s="13" t="str">
        <f t="shared" si="154"/>
        <v/>
      </c>
      <c r="F1273" s="13" t="str">
        <f t="shared" si="157"/>
        <v/>
      </c>
      <c r="G1273" s="13" t="str">
        <f t="shared" si="155"/>
        <v/>
      </c>
      <c r="H1273" s="13" t="str">
        <f t="shared" si="156"/>
        <v/>
      </c>
      <c r="I1273" s="14" t="str">
        <f t="array" ref="I1273">IF(getRGB1(Weekly!G123)="FFFF00","초방","재방")</f>
        <v>재방</v>
      </c>
    </row>
    <row r="1274" spans="1:9" ht="11.25" customHeight="1" x14ac:dyDescent="0.3">
      <c r="A1274" s="10">
        <f t="shared" si="153"/>
        <v>45919.416666666664</v>
      </c>
      <c r="B1274" s="11">
        <f>Weekly!$G$3</f>
        <v>45919</v>
      </c>
      <c r="C1274" s="12">
        <v>0.41666666666666702</v>
      </c>
      <c r="D1274" s="13" t="str">
        <f>Weekly!G124</f>
        <v>특집 2026 지방선거_서울특별시의회 생생중계_본회의
&lt;06</v>
      </c>
      <c r="E1274" s="13" t="str">
        <f t="shared" si="154"/>
        <v>특집 2026 지방선거_서울특별시의회 생생중계_본회의</v>
      </c>
      <c r="F1274" s="13">
        <f t="shared" si="157"/>
        <v>6</v>
      </c>
      <c r="G1274" s="13" t="str">
        <f t="shared" si="155"/>
        <v/>
      </c>
      <c r="H1274" s="13" t="str">
        <f t="shared" si="156"/>
        <v/>
      </c>
      <c r="I1274" s="14" t="str">
        <f t="array" ref="I1274">IF(getRGB1(Weekly!G124)="FFFF00","초방","재방")</f>
        <v>재방</v>
      </c>
    </row>
    <row r="1275" spans="1:9" ht="11.25" customHeight="1" x14ac:dyDescent="0.3">
      <c r="A1275" s="10" t="str">
        <f t="shared" si="153"/>
        <v/>
      </c>
      <c r="B1275" s="11">
        <f>Weekly!$G$3</f>
        <v>45919</v>
      </c>
      <c r="C1275" s="12">
        <v>0.42013888888888901</v>
      </c>
      <c r="D1275" s="13">
        <f>Weekly!G125</f>
        <v>0</v>
      </c>
      <c r="E1275" s="13" t="str">
        <f t="shared" si="154"/>
        <v/>
      </c>
      <c r="F1275" s="13" t="str">
        <f t="shared" si="157"/>
        <v/>
      </c>
      <c r="G1275" s="13" t="str">
        <f t="shared" si="155"/>
        <v/>
      </c>
      <c r="H1275" s="13" t="str">
        <f t="shared" si="156"/>
        <v/>
      </c>
      <c r="I1275" s="14" t="str">
        <f t="array" ref="I1275">IF(getRGB1(Weekly!G125)="FFFF00","초방","재방")</f>
        <v>재방</v>
      </c>
    </row>
    <row r="1276" spans="1:9" ht="11.25" customHeight="1" x14ac:dyDescent="0.3">
      <c r="A1276" s="10" t="str">
        <f t="shared" si="153"/>
        <v/>
      </c>
      <c r="B1276" s="11">
        <f>Weekly!$G$3</f>
        <v>45919</v>
      </c>
      <c r="C1276" s="12">
        <v>0.42361111111111099</v>
      </c>
      <c r="D1276" s="13">
        <f>Weekly!G126</f>
        <v>0</v>
      </c>
      <c r="E1276" s="13" t="str">
        <f t="shared" si="154"/>
        <v/>
      </c>
      <c r="F1276" s="13" t="str">
        <f t="shared" si="157"/>
        <v/>
      </c>
      <c r="G1276" s="13" t="str">
        <f t="shared" si="155"/>
        <v/>
      </c>
      <c r="H1276" s="13" t="str">
        <f t="shared" si="156"/>
        <v/>
      </c>
      <c r="I1276" s="14" t="str">
        <f t="array" ref="I1276">IF(getRGB1(Weekly!G126)="FFFF00","초방","재방")</f>
        <v>재방</v>
      </c>
    </row>
    <row r="1277" spans="1:9" ht="11.25" customHeight="1" x14ac:dyDescent="0.3">
      <c r="A1277" s="10" t="str">
        <f t="shared" si="153"/>
        <v/>
      </c>
      <c r="B1277" s="11">
        <f>Weekly!$G$3</f>
        <v>45919</v>
      </c>
      <c r="C1277" s="12">
        <v>0.42708333333333298</v>
      </c>
      <c r="D1277" s="13">
        <f>Weekly!G127</f>
        <v>0</v>
      </c>
      <c r="E1277" s="13" t="str">
        <f t="shared" si="154"/>
        <v/>
      </c>
      <c r="F1277" s="13" t="str">
        <f t="shared" si="157"/>
        <v/>
      </c>
      <c r="G1277" s="13" t="str">
        <f t="shared" si="155"/>
        <v/>
      </c>
      <c r="H1277" s="13" t="str">
        <f t="shared" si="156"/>
        <v/>
      </c>
      <c r="I1277" s="14" t="str">
        <f t="array" ref="I1277">IF(getRGB1(Weekly!G127)="FFFF00","초방","재방")</f>
        <v>재방</v>
      </c>
    </row>
    <row r="1278" spans="1:9" ht="11.25" customHeight="1" x14ac:dyDescent="0.3">
      <c r="A1278" s="10" t="str">
        <f t="shared" si="153"/>
        <v/>
      </c>
      <c r="B1278" s="11">
        <f>Weekly!$G$3</f>
        <v>45919</v>
      </c>
      <c r="C1278" s="12">
        <v>0.43055555555555602</v>
      </c>
      <c r="D1278" s="13">
        <f>Weekly!G128</f>
        <v>0</v>
      </c>
      <c r="E1278" s="13" t="str">
        <f t="shared" si="154"/>
        <v/>
      </c>
      <c r="F1278" s="13" t="str">
        <f t="shared" si="157"/>
        <v/>
      </c>
      <c r="G1278" s="13" t="str">
        <f t="shared" si="155"/>
        <v/>
      </c>
      <c r="H1278" s="13" t="str">
        <f t="shared" si="156"/>
        <v/>
      </c>
      <c r="I1278" s="14" t="str">
        <f t="array" ref="I1278">IF(getRGB1(Weekly!G128)="FFFF00","초방","재방")</f>
        <v>재방</v>
      </c>
    </row>
    <row r="1279" spans="1:9" ht="11.25" customHeight="1" x14ac:dyDescent="0.3">
      <c r="A1279" s="10" t="str">
        <f t="shared" si="153"/>
        <v/>
      </c>
      <c r="B1279" s="11">
        <f>Weekly!$G$3</f>
        <v>45919</v>
      </c>
      <c r="C1279" s="12">
        <v>0.43402777777777801</v>
      </c>
      <c r="D1279" s="13">
        <f>Weekly!G129</f>
        <v>0</v>
      </c>
      <c r="E1279" s="13" t="str">
        <f t="shared" si="154"/>
        <v/>
      </c>
      <c r="F1279" s="13" t="str">
        <f t="shared" si="157"/>
        <v/>
      </c>
      <c r="G1279" s="13" t="str">
        <f t="shared" si="155"/>
        <v/>
      </c>
      <c r="H1279" s="13" t="str">
        <f t="shared" si="156"/>
        <v/>
      </c>
      <c r="I1279" s="14" t="str">
        <f t="array" ref="I1279">IF(getRGB1(Weekly!G129)="FFFF00","초방","재방")</f>
        <v>재방</v>
      </c>
    </row>
    <row r="1280" spans="1:9" ht="11.25" customHeight="1" x14ac:dyDescent="0.3">
      <c r="A1280" s="10" t="str">
        <f t="shared" si="153"/>
        <v/>
      </c>
      <c r="B1280" s="11">
        <f>Weekly!$G$3</f>
        <v>45919</v>
      </c>
      <c r="C1280" s="12">
        <v>0.4375</v>
      </c>
      <c r="D1280" s="13">
        <f>Weekly!G130</f>
        <v>0</v>
      </c>
      <c r="E1280" s="13" t="str">
        <f t="shared" si="154"/>
        <v/>
      </c>
      <c r="F1280" s="13" t="str">
        <f t="shared" si="157"/>
        <v/>
      </c>
      <c r="G1280" s="13" t="str">
        <f t="shared" si="155"/>
        <v/>
      </c>
      <c r="H1280" s="13" t="str">
        <f t="shared" si="156"/>
        <v/>
      </c>
      <c r="I1280" s="14" t="str">
        <f t="array" ref="I1280">IF(getRGB1(Weekly!G130)="FFFF00","초방","재방")</f>
        <v>재방</v>
      </c>
    </row>
    <row r="1281" spans="1:9" ht="11.25" customHeight="1" x14ac:dyDescent="0.3">
      <c r="A1281" s="10" t="str">
        <f t="shared" si="153"/>
        <v/>
      </c>
      <c r="B1281" s="11">
        <f>Weekly!$G$3</f>
        <v>45919</v>
      </c>
      <c r="C1281" s="12">
        <v>0.44097222222222199</v>
      </c>
      <c r="D1281" s="13">
        <f>Weekly!G131</f>
        <v>0</v>
      </c>
      <c r="E1281" s="13" t="str">
        <f t="shared" si="154"/>
        <v/>
      </c>
      <c r="F1281" s="13" t="str">
        <f t="shared" si="157"/>
        <v/>
      </c>
      <c r="G1281" s="13" t="str">
        <f t="shared" si="155"/>
        <v/>
      </c>
      <c r="H1281" s="13" t="str">
        <f t="shared" si="156"/>
        <v/>
      </c>
      <c r="I1281" s="14" t="str">
        <f t="array" ref="I1281">IF(getRGB1(Weekly!G131)="FFFF00","초방","재방")</f>
        <v>재방</v>
      </c>
    </row>
    <row r="1282" spans="1:9" ht="11.25" customHeight="1" x14ac:dyDescent="0.3">
      <c r="A1282" s="10" t="str">
        <f t="shared" ref="A1282:A1345" si="158">IF(D1282&lt;&gt;0,B1282+C1282,"")</f>
        <v/>
      </c>
      <c r="B1282" s="11">
        <f>Weekly!$G$3</f>
        <v>45919</v>
      </c>
      <c r="C1282" s="12">
        <v>0.44444444444444398</v>
      </c>
      <c r="D1282" s="13">
        <f>Weekly!G132</f>
        <v>0</v>
      </c>
      <c r="E1282" s="13" t="str">
        <f t="shared" ref="E1282:E1345" si="159">IFERROR(SUBSTITUTE(SUBSTITUTE(TRIM(LEFT(D1282,FIND("&lt;",D1282)-1)),CHAR(10),""),"⑮ ",""),"")</f>
        <v/>
      </c>
      <c r="F1282" s="13" t="str">
        <f t="shared" si="157"/>
        <v/>
      </c>
      <c r="G1282" s="13" t="str">
        <f t="shared" ref="G1282:G1345" si="160">IFERROR(MID(D1282,FIND("&gt;",D1282)+1,10),"")</f>
        <v/>
      </c>
      <c r="H1282" s="13" t="str">
        <f t="shared" ref="H1282:H1345" si="161">IFERROR(VLOOKUP(LEFT(D1282,2),$W$1:$X$6,2,0),"")</f>
        <v/>
      </c>
      <c r="I1282" s="14" t="str">
        <f t="array" ref="I1282">IF(getRGB1(Weekly!G132)="FFFF00","초방","재방")</f>
        <v>재방</v>
      </c>
    </row>
    <row r="1283" spans="1:9" ht="11.25" customHeight="1" x14ac:dyDescent="0.3">
      <c r="A1283" s="10" t="str">
        <f t="shared" si="158"/>
        <v/>
      </c>
      <c r="B1283" s="11">
        <f>Weekly!$G$3</f>
        <v>45919</v>
      </c>
      <c r="C1283" s="12">
        <v>0.44791666666666702</v>
      </c>
      <c r="D1283" s="13">
        <f>Weekly!G133</f>
        <v>0</v>
      </c>
      <c r="E1283" s="13" t="str">
        <f t="shared" si="159"/>
        <v/>
      </c>
      <c r="F1283" s="13" t="str">
        <f t="shared" ref="F1283:F1346" si="162">IFERROR((MID(D1283,FIND("&lt;",D1283)+1,4))*1,"")</f>
        <v/>
      </c>
      <c r="G1283" s="13" t="str">
        <f t="shared" si="160"/>
        <v/>
      </c>
      <c r="H1283" s="13" t="str">
        <f t="shared" si="161"/>
        <v/>
      </c>
      <c r="I1283" s="14" t="str">
        <f t="array" ref="I1283">IF(getRGB1(Weekly!G133)="FFFF00","초방","재방")</f>
        <v>재방</v>
      </c>
    </row>
    <row r="1284" spans="1:9" ht="11.25" customHeight="1" x14ac:dyDescent="0.3">
      <c r="A1284" s="10" t="str">
        <f t="shared" si="158"/>
        <v/>
      </c>
      <c r="B1284" s="11">
        <f>Weekly!$G$3</f>
        <v>45919</v>
      </c>
      <c r="C1284" s="12">
        <v>0.45138888888888901</v>
      </c>
      <c r="D1284" s="13">
        <f>Weekly!G134</f>
        <v>0</v>
      </c>
      <c r="E1284" s="13" t="str">
        <f t="shared" si="159"/>
        <v/>
      </c>
      <c r="F1284" s="13" t="str">
        <f t="shared" si="162"/>
        <v/>
      </c>
      <c r="G1284" s="13" t="str">
        <f t="shared" si="160"/>
        <v/>
      </c>
      <c r="H1284" s="13" t="str">
        <f t="shared" si="161"/>
        <v/>
      </c>
      <c r="I1284" s="14" t="str">
        <f t="array" ref="I1284">IF(getRGB1(Weekly!G134)="FFFF00","초방","재방")</f>
        <v>재방</v>
      </c>
    </row>
    <row r="1285" spans="1:9" ht="11.25" customHeight="1" x14ac:dyDescent="0.3">
      <c r="A1285" s="10" t="str">
        <f t="shared" si="158"/>
        <v/>
      </c>
      <c r="B1285" s="11">
        <f>Weekly!$G$3</f>
        <v>45919</v>
      </c>
      <c r="C1285" s="12">
        <v>0.45486111111111099</v>
      </c>
      <c r="D1285" s="13">
        <f>Weekly!G135</f>
        <v>0</v>
      </c>
      <c r="E1285" s="13" t="str">
        <f t="shared" si="159"/>
        <v/>
      </c>
      <c r="F1285" s="13" t="str">
        <f t="shared" si="162"/>
        <v/>
      </c>
      <c r="G1285" s="13" t="str">
        <f t="shared" si="160"/>
        <v/>
      </c>
      <c r="H1285" s="13" t="str">
        <f t="shared" si="161"/>
        <v/>
      </c>
      <c r="I1285" s="14" t="str">
        <f t="array" ref="I1285">IF(getRGB1(Weekly!G135)="FFFF00","초방","재방")</f>
        <v>재방</v>
      </c>
    </row>
    <row r="1286" spans="1:9" ht="11.25" customHeight="1" x14ac:dyDescent="0.3">
      <c r="A1286" s="10">
        <f t="shared" si="158"/>
        <v>45919.458333333336</v>
      </c>
      <c r="B1286" s="11">
        <f>Weekly!$G$3</f>
        <v>45919</v>
      </c>
      <c r="C1286" s="12">
        <v>0.45833333333333298</v>
      </c>
      <c r="D1286" s="13" t="str">
        <f>Weekly!G136</f>
        <v>특집 2026 지방선거_경기도의회 생생중계_본회의
&lt;18</v>
      </c>
      <c r="E1286" s="13" t="str">
        <f t="shared" si="159"/>
        <v>특집 2026 지방선거_경기도의회 생생중계_본회의</v>
      </c>
      <c r="F1286" s="13">
        <f t="shared" si="162"/>
        <v>18</v>
      </c>
      <c r="G1286" s="13" t="str">
        <f t="shared" si="160"/>
        <v/>
      </c>
      <c r="H1286" s="13" t="str">
        <f t="shared" si="161"/>
        <v/>
      </c>
      <c r="I1286" s="14" t="str">
        <f t="array" ref="I1286">IF(getRGB1(Weekly!G136)="FFFF00","초방","재방")</f>
        <v>초방</v>
      </c>
    </row>
    <row r="1287" spans="1:9" ht="11.25" customHeight="1" x14ac:dyDescent="0.3">
      <c r="A1287" s="10" t="str">
        <f t="shared" si="158"/>
        <v/>
      </c>
      <c r="B1287" s="11">
        <f>Weekly!$G$3</f>
        <v>45919</v>
      </c>
      <c r="C1287" s="12">
        <v>0.46180555555555602</v>
      </c>
      <c r="D1287" s="13">
        <f>Weekly!G137</f>
        <v>0</v>
      </c>
      <c r="E1287" s="13" t="str">
        <f t="shared" si="159"/>
        <v/>
      </c>
      <c r="F1287" s="13" t="str">
        <f t="shared" si="162"/>
        <v/>
      </c>
      <c r="G1287" s="13" t="str">
        <f t="shared" si="160"/>
        <v/>
      </c>
      <c r="H1287" s="13" t="str">
        <f t="shared" si="161"/>
        <v/>
      </c>
      <c r="I1287" s="14" t="str">
        <f t="array" ref="I1287">IF(getRGB1(Weekly!G137)="FFFF00","초방","재방")</f>
        <v>초방</v>
      </c>
    </row>
    <row r="1288" spans="1:9" ht="11.25" customHeight="1" x14ac:dyDescent="0.3">
      <c r="A1288" s="10" t="str">
        <f t="shared" si="158"/>
        <v/>
      </c>
      <c r="B1288" s="11">
        <f>Weekly!$G$3</f>
        <v>45919</v>
      </c>
      <c r="C1288" s="12">
        <v>0.46527777777777801</v>
      </c>
      <c r="D1288" s="13">
        <f>Weekly!G138</f>
        <v>0</v>
      </c>
      <c r="E1288" s="13" t="str">
        <f t="shared" si="159"/>
        <v/>
      </c>
      <c r="F1288" s="13" t="str">
        <f t="shared" si="162"/>
        <v/>
      </c>
      <c r="G1288" s="13" t="str">
        <f t="shared" si="160"/>
        <v/>
      </c>
      <c r="H1288" s="13" t="str">
        <f t="shared" si="161"/>
        <v/>
      </c>
      <c r="I1288" s="14" t="str">
        <f t="array" ref="I1288">IF(getRGB1(Weekly!G138)="FFFF00","초방","재방")</f>
        <v>초방</v>
      </c>
    </row>
    <row r="1289" spans="1:9" ht="11.25" customHeight="1" x14ac:dyDescent="0.3">
      <c r="A1289" s="10" t="str">
        <f t="shared" si="158"/>
        <v/>
      </c>
      <c r="B1289" s="11">
        <f>Weekly!$G$3</f>
        <v>45919</v>
      </c>
      <c r="C1289" s="12">
        <v>0.46875</v>
      </c>
      <c r="D1289" s="13">
        <f>Weekly!G139</f>
        <v>0</v>
      </c>
      <c r="E1289" s="13" t="str">
        <f t="shared" si="159"/>
        <v/>
      </c>
      <c r="F1289" s="13" t="str">
        <f t="shared" si="162"/>
        <v/>
      </c>
      <c r="G1289" s="13" t="str">
        <f t="shared" si="160"/>
        <v/>
      </c>
      <c r="H1289" s="13" t="str">
        <f t="shared" si="161"/>
        <v/>
      </c>
      <c r="I1289" s="14" t="str">
        <f t="array" ref="I1289">IF(getRGB1(Weekly!G139)="FFFF00","초방","재방")</f>
        <v>초방</v>
      </c>
    </row>
    <row r="1290" spans="1:9" ht="11.25" customHeight="1" x14ac:dyDescent="0.3">
      <c r="A1290" s="10" t="str">
        <f t="shared" si="158"/>
        <v/>
      </c>
      <c r="B1290" s="11">
        <f>Weekly!$G$3</f>
        <v>45919</v>
      </c>
      <c r="C1290" s="12">
        <v>0.47222222222222199</v>
      </c>
      <c r="D1290" s="13">
        <f>Weekly!G140</f>
        <v>0</v>
      </c>
      <c r="E1290" s="13" t="str">
        <f t="shared" si="159"/>
        <v/>
      </c>
      <c r="F1290" s="13" t="str">
        <f t="shared" si="162"/>
        <v/>
      </c>
      <c r="G1290" s="13" t="str">
        <f t="shared" si="160"/>
        <v/>
      </c>
      <c r="H1290" s="13" t="str">
        <f t="shared" si="161"/>
        <v/>
      </c>
      <c r="I1290" s="14" t="str">
        <f t="array" ref="I1290">IF(getRGB1(Weekly!G140)="FFFF00","초방","재방")</f>
        <v>초방</v>
      </c>
    </row>
    <row r="1291" spans="1:9" ht="11.25" customHeight="1" x14ac:dyDescent="0.3">
      <c r="A1291" s="10" t="str">
        <f t="shared" si="158"/>
        <v/>
      </c>
      <c r="B1291" s="11">
        <f>Weekly!$G$3</f>
        <v>45919</v>
      </c>
      <c r="C1291" s="12">
        <v>0.47569444444444398</v>
      </c>
      <c r="D1291" s="13">
        <f>Weekly!G141</f>
        <v>0</v>
      </c>
      <c r="E1291" s="13" t="str">
        <f t="shared" si="159"/>
        <v/>
      </c>
      <c r="F1291" s="13" t="str">
        <f t="shared" si="162"/>
        <v/>
      </c>
      <c r="G1291" s="13" t="str">
        <f t="shared" si="160"/>
        <v/>
      </c>
      <c r="H1291" s="13" t="str">
        <f t="shared" si="161"/>
        <v/>
      </c>
      <c r="I1291" s="14" t="str">
        <f t="array" ref="I1291">IF(getRGB1(Weekly!G141)="FFFF00","초방","재방")</f>
        <v>초방</v>
      </c>
    </row>
    <row r="1292" spans="1:9" ht="11.25" customHeight="1" x14ac:dyDescent="0.3">
      <c r="A1292" s="10" t="str">
        <f t="shared" si="158"/>
        <v/>
      </c>
      <c r="B1292" s="11">
        <f>Weekly!$G$3</f>
        <v>45919</v>
      </c>
      <c r="C1292" s="12">
        <v>0.47916666666666702</v>
      </c>
      <c r="D1292" s="13">
        <f>Weekly!G142</f>
        <v>0</v>
      </c>
      <c r="E1292" s="13" t="str">
        <f t="shared" si="159"/>
        <v/>
      </c>
      <c r="F1292" s="13" t="str">
        <f t="shared" si="162"/>
        <v/>
      </c>
      <c r="G1292" s="13" t="str">
        <f t="shared" si="160"/>
        <v/>
      </c>
      <c r="H1292" s="13" t="str">
        <f t="shared" si="161"/>
        <v/>
      </c>
      <c r="I1292" s="14" t="str">
        <f t="array" ref="I1292">IF(getRGB1(Weekly!G142)="FFFF00","초방","재방")</f>
        <v>초방</v>
      </c>
    </row>
    <row r="1293" spans="1:9" ht="11.25" customHeight="1" x14ac:dyDescent="0.3">
      <c r="A1293" s="10" t="str">
        <f t="shared" si="158"/>
        <v/>
      </c>
      <c r="B1293" s="11">
        <f>Weekly!$G$3</f>
        <v>45919</v>
      </c>
      <c r="C1293" s="12">
        <v>0.48263888888888901</v>
      </c>
      <c r="D1293" s="13">
        <f>Weekly!G143</f>
        <v>0</v>
      </c>
      <c r="E1293" s="13" t="str">
        <f t="shared" si="159"/>
        <v/>
      </c>
      <c r="F1293" s="13" t="str">
        <f t="shared" si="162"/>
        <v/>
      </c>
      <c r="G1293" s="13" t="str">
        <f t="shared" si="160"/>
        <v/>
      </c>
      <c r="H1293" s="13" t="str">
        <f t="shared" si="161"/>
        <v/>
      </c>
      <c r="I1293" s="14" t="str">
        <f t="array" ref="I1293">IF(getRGB1(Weekly!G143)="FFFF00","초방","재방")</f>
        <v>초방</v>
      </c>
    </row>
    <row r="1294" spans="1:9" ht="11.25" customHeight="1" x14ac:dyDescent="0.3">
      <c r="A1294" s="10" t="str">
        <f t="shared" si="158"/>
        <v/>
      </c>
      <c r="B1294" s="11">
        <f>Weekly!$G$3</f>
        <v>45919</v>
      </c>
      <c r="C1294" s="12">
        <v>0.48611111111111099</v>
      </c>
      <c r="D1294" s="13">
        <f>Weekly!G144</f>
        <v>0</v>
      </c>
      <c r="E1294" s="13" t="str">
        <f t="shared" si="159"/>
        <v/>
      </c>
      <c r="F1294" s="13" t="str">
        <f t="shared" si="162"/>
        <v/>
      </c>
      <c r="G1294" s="13" t="str">
        <f t="shared" si="160"/>
        <v/>
      </c>
      <c r="H1294" s="13" t="str">
        <f t="shared" si="161"/>
        <v/>
      </c>
      <c r="I1294" s="14" t="str">
        <f t="array" ref="I1294">IF(getRGB1(Weekly!G144)="FFFF00","초방","재방")</f>
        <v>초방</v>
      </c>
    </row>
    <row r="1295" spans="1:9" ht="11.25" customHeight="1" x14ac:dyDescent="0.3">
      <c r="A1295" s="10" t="str">
        <f t="shared" si="158"/>
        <v/>
      </c>
      <c r="B1295" s="11">
        <f>Weekly!$G$3</f>
        <v>45919</v>
      </c>
      <c r="C1295" s="12">
        <v>0.48958333333333298</v>
      </c>
      <c r="D1295" s="13">
        <f>Weekly!G145</f>
        <v>0</v>
      </c>
      <c r="E1295" s="13" t="str">
        <f t="shared" si="159"/>
        <v/>
      </c>
      <c r="F1295" s="13" t="str">
        <f t="shared" si="162"/>
        <v/>
      </c>
      <c r="G1295" s="13" t="str">
        <f t="shared" si="160"/>
        <v/>
      </c>
      <c r="H1295" s="13" t="str">
        <f t="shared" si="161"/>
        <v/>
      </c>
      <c r="I1295" s="14" t="str">
        <f t="array" ref="I1295">IF(getRGB1(Weekly!G145)="FFFF00","초방","재방")</f>
        <v>초방</v>
      </c>
    </row>
    <row r="1296" spans="1:9" ht="11.25" customHeight="1" x14ac:dyDescent="0.3">
      <c r="A1296" s="10" t="str">
        <f t="shared" si="158"/>
        <v/>
      </c>
      <c r="B1296" s="11">
        <f>Weekly!$G$3</f>
        <v>45919</v>
      </c>
      <c r="C1296" s="12">
        <v>0.49305555555555602</v>
      </c>
      <c r="D1296" s="13">
        <f>Weekly!G146</f>
        <v>0</v>
      </c>
      <c r="E1296" s="13" t="str">
        <f t="shared" si="159"/>
        <v/>
      </c>
      <c r="F1296" s="13" t="str">
        <f t="shared" si="162"/>
        <v/>
      </c>
      <c r="G1296" s="13" t="str">
        <f t="shared" si="160"/>
        <v/>
      </c>
      <c r="H1296" s="13" t="str">
        <f t="shared" si="161"/>
        <v/>
      </c>
      <c r="I1296" s="14" t="str">
        <f t="array" ref="I1296">IF(getRGB1(Weekly!G146)="FFFF00","초방","재방")</f>
        <v>초방</v>
      </c>
    </row>
    <row r="1297" spans="1:9" ht="11.25" customHeight="1" x14ac:dyDescent="0.3">
      <c r="A1297" s="10" t="str">
        <f t="shared" si="158"/>
        <v/>
      </c>
      <c r="B1297" s="11">
        <f>Weekly!$G$3</f>
        <v>45919</v>
      </c>
      <c r="C1297" s="12">
        <v>0.49652777777777801</v>
      </c>
      <c r="D1297" s="13">
        <f>Weekly!G147</f>
        <v>0</v>
      </c>
      <c r="E1297" s="13" t="str">
        <f t="shared" si="159"/>
        <v/>
      </c>
      <c r="F1297" s="13" t="str">
        <f t="shared" si="162"/>
        <v/>
      </c>
      <c r="G1297" s="13" t="str">
        <f t="shared" si="160"/>
        <v/>
      </c>
      <c r="H1297" s="13" t="str">
        <f t="shared" si="161"/>
        <v/>
      </c>
      <c r="I1297" s="14" t="str">
        <f t="array" ref="I1297">IF(getRGB1(Weekly!G147)="FFFF00","초방","재방")</f>
        <v>초방</v>
      </c>
    </row>
    <row r="1298" spans="1:9" ht="11.25" customHeight="1" x14ac:dyDescent="0.3">
      <c r="A1298" s="10">
        <f t="shared" si="158"/>
        <v>45919.5</v>
      </c>
      <c r="B1298" s="11">
        <f>Weekly!$G$3</f>
        <v>45919</v>
      </c>
      <c r="C1298" s="12">
        <v>0.5</v>
      </c>
      <c r="D1298" s="13" t="str">
        <f>Weekly!G148</f>
        <v>행복무지개
&lt;31</v>
      </c>
      <c r="E1298" s="13" t="str">
        <f t="shared" si="159"/>
        <v>행복무지개</v>
      </c>
      <c r="F1298" s="13">
        <f t="shared" si="162"/>
        <v>31</v>
      </c>
      <c r="G1298" s="13" t="str">
        <f t="shared" si="160"/>
        <v/>
      </c>
      <c r="H1298" s="13" t="str">
        <f t="shared" si="161"/>
        <v/>
      </c>
      <c r="I1298" s="14" t="str">
        <f t="array" ref="I1298">IF(getRGB1(Weekly!G148)="FFFF00","초방","재방")</f>
        <v>재방</v>
      </c>
    </row>
    <row r="1299" spans="1:9" ht="11.25" customHeight="1" x14ac:dyDescent="0.3">
      <c r="A1299" s="10" t="str">
        <f t="shared" si="158"/>
        <v/>
      </c>
      <c r="B1299" s="11">
        <f>Weekly!$G$3</f>
        <v>45919</v>
      </c>
      <c r="C1299" s="12">
        <v>0.50347222222222199</v>
      </c>
      <c r="D1299" s="13">
        <f>Weekly!G149</f>
        <v>0</v>
      </c>
      <c r="E1299" s="13" t="str">
        <f t="shared" si="159"/>
        <v/>
      </c>
      <c r="F1299" s="13" t="str">
        <f t="shared" si="162"/>
        <v/>
      </c>
      <c r="G1299" s="13" t="str">
        <f t="shared" si="160"/>
        <v/>
      </c>
      <c r="H1299" s="13" t="str">
        <f t="shared" si="161"/>
        <v/>
      </c>
      <c r="I1299" s="14" t="str">
        <f t="array" ref="I1299">IF(getRGB1(Weekly!G149)="FFFF00","초방","재방")</f>
        <v>재방</v>
      </c>
    </row>
    <row r="1300" spans="1:9" ht="11.25" customHeight="1" x14ac:dyDescent="0.3">
      <c r="A1300" s="10" t="str">
        <f t="shared" si="158"/>
        <v/>
      </c>
      <c r="B1300" s="11">
        <f>Weekly!$G$3</f>
        <v>45919</v>
      </c>
      <c r="C1300" s="12">
        <v>0.50694444444444398</v>
      </c>
      <c r="D1300" s="13">
        <f>Weekly!G150</f>
        <v>0</v>
      </c>
      <c r="E1300" s="13" t="str">
        <f t="shared" si="159"/>
        <v/>
      </c>
      <c r="F1300" s="13" t="str">
        <f t="shared" si="162"/>
        <v/>
      </c>
      <c r="G1300" s="13" t="str">
        <f t="shared" si="160"/>
        <v/>
      </c>
      <c r="H1300" s="13" t="str">
        <f t="shared" si="161"/>
        <v/>
      </c>
      <c r="I1300" s="14" t="str">
        <f t="array" ref="I1300">IF(getRGB1(Weekly!G150)="FFFF00","초방","재방")</f>
        <v>재방</v>
      </c>
    </row>
    <row r="1301" spans="1:9" ht="11.25" customHeight="1" x14ac:dyDescent="0.3">
      <c r="A1301" s="10" t="str">
        <f t="shared" si="158"/>
        <v/>
      </c>
      <c r="B1301" s="11">
        <f>Weekly!$G$3</f>
        <v>45919</v>
      </c>
      <c r="C1301" s="12">
        <v>0.51041666666666696</v>
      </c>
      <c r="D1301" s="13">
        <f>Weekly!G151</f>
        <v>0</v>
      </c>
      <c r="E1301" s="13" t="str">
        <f t="shared" si="159"/>
        <v/>
      </c>
      <c r="F1301" s="13" t="str">
        <f t="shared" si="162"/>
        <v/>
      </c>
      <c r="G1301" s="13" t="str">
        <f t="shared" si="160"/>
        <v/>
      </c>
      <c r="H1301" s="13" t="str">
        <f t="shared" si="161"/>
        <v/>
      </c>
      <c r="I1301" s="14" t="str">
        <f t="array" ref="I1301">IF(getRGB1(Weekly!G151)="FFFF00","초방","재방")</f>
        <v>재방</v>
      </c>
    </row>
    <row r="1302" spans="1:9" ht="11.25" customHeight="1" x14ac:dyDescent="0.3">
      <c r="A1302" s="10" t="str">
        <f t="shared" si="158"/>
        <v/>
      </c>
      <c r="B1302" s="11">
        <f>Weekly!$G$3</f>
        <v>45919</v>
      </c>
      <c r="C1302" s="12">
        <v>0.51388888888888895</v>
      </c>
      <c r="D1302" s="13">
        <f>Weekly!G152</f>
        <v>0</v>
      </c>
      <c r="E1302" s="13" t="str">
        <f t="shared" si="159"/>
        <v/>
      </c>
      <c r="F1302" s="13" t="str">
        <f t="shared" si="162"/>
        <v/>
      </c>
      <c r="G1302" s="13" t="str">
        <f t="shared" si="160"/>
        <v/>
      </c>
      <c r="H1302" s="13" t="str">
        <f t="shared" si="161"/>
        <v/>
      </c>
      <c r="I1302" s="14" t="str">
        <f t="array" ref="I1302">IF(getRGB1(Weekly!G152)="FFFF00","초방","재방")</f>
        <v>재방</v>
      </c>
    </row>
    <row r="1303" spans="1:9" ht="11.25" customHeight="1" x14ac:dyDescent="0.3">
      <c r="A1303" s="10" t="str">
        <f t="shared" si="158"/>
        <v/>
      </c>
      <c r="B1303" s="11">
        <f>Weekly!$G$3</f>
        <v>45919</v>
      </c>
      <c r="C1303" s="12">
        <v>0.51736111111111105</v>
      </c>
      <c r="D1303" s="13">
        <f>Weekly!G153</f>
        <v>0</v>
      </c>
      <c r="E1303" s="13" t="str">
        <f t="shared" si="159"/>
        <v/>
      </c>
      <c r="F1303" s="13" t="str">
        <f t="shared" si="162"/>
        <v/>
      </c>
      <c r="G1303" s="13" t="str">
        <f t="shared" si="160"/>
        <v/>
      </c>
      <c r="H1303" s="13" t="str">
        <f t="shared" si="161"/>
        <v/>
      </c>
      <c r="I1303" s="14" t="str">
        <f t="array" ref="I1303">IF(getRGB1(Weekly!G153)="FFFF00","초방","재방")</f>
        <v>재방</v>
      </c>
    </row>
    <row r="1304" spans="1:9" ht="11.25" customHeight="1" x14ac:dyDescent="0.3">
      <c r="A1304" s="10" t="str">
        <f t="shared" si="158"/>
        <v/>
      </c>
      <c r="B1304" s="11">
        <f>Weekly!$G$3</f>
        <v>45919</v>
      </c>
      <c r="C1304" s="12">
        <v>0.52083333333333304</v>
      </c>
      <c r="D1304" s="13">
        <f>Weekly!G154</f>
        <v>0</v>
      </c>
      <c r="E1304" s="13" t="str">
        <f t="shared" si="159"/>
        <v/>
      </c>
      <c r="F1304" s="13" t="str">
        <f t="shared" si="162"/>
        <v/>
      </c>
      <c r="G1304" s="13" t="str">
        <f t="shared" si="160"/>
        <v/>
      </c>
      <c r="H1304" s="13" t="str">
        <f t="shared" si="161"/>
        <v/>
      </c>
      <c r="I1304" s="14" t="str">
        <f t="array" ref="I1304">IF(getRGB1(Weekly!G154)="FFFF00","초방","재방")</f>
        <v>재방</v>
      </c>
    </row>
    <row r="1305" spans="1:9" ht="11.25" customHeight="1" x14ac:dyDescent="0.3">
      <c r="A1305" s="10" t="str">
        <f t="shared" si="158"/>
        <v/>
      </c>
      <c r="B1305" s="11">
        <f>Weekly!$G$3</f>
        <v>45919</v>
      </c>
      <c r="C1305" s="12">
        <v>0.52430555555555602</v>
      </c>
      <c r="D1305" s="13">
        <f>Weekly!G155</f>
        <v>0</v>
      </c>
      <c r="E1305" s="13" t="str">
        <f t="shared" si="159"/>
        <v/>
      </c>
      <c r="F1305" s="13" t="str">
        <f t="shared" si="162"/>
        <v/>
      </c>
      <c r="G1305" s="13" t="str">
        <f t="shared" si="160"/>
        <v/>
      </c>
      <c r="H1305" s="13" t="str">
        <f t="shared" si="161"/>
        <v/>
      </c>
      <c r="I1305" s="14" t="str">
        <f t="array" ref="I1305">IF(getRGB1(Weekly!G155)="FFFF00","초방","재방")</f>
        <v>재방</v>
      </c>
    </row>
    <row r="1306" spans="1:9" ht="11.25" customHeight="1" x14ac:dyDescent="0.3">
      <c r="A1306" s="10" t="str">
        <f t="shared" si="158"/>
        <v/>
      </c>
      <c r="B1306" s="11">
        <f>Weekly!$G$3</f>
        <v>45919</v>
      </c>
      <c r="C1306" s="12">
        <v>0.52777777777777801</v>
      </c>
      <c r="D1306" s="13">
        <f>Weekly!G156</f>
        <v>0</v>
      </c>
      <c r="E1306" s="13" t="str">
        <f t="shared" si="159"/>
        <v/>
      </c>
      <c r="F1306" s="13" t="str">
        <f t="shared" si="162"/>
        <v/>
      </c>
      <c r="G1306" s="13" t="str">
        <f t="shared" si="160"/>
        <v/>
      </c>
      <c r="H1306" s="13" t="str">
        <f t="shared" si="161"/>
        <v/>
      </c>
      <c r="I1306" s="14" t="str">
        <f t="array" ref="I1306">IF(getRGB1(Weekly!G156)="FFFF00","초방","재방")</f>
        <v>재방</v>
      </c>
    </row>
    <row r="1307" spans="1:9" ht="11.25" customHeight="1" x14ac:dyDescent="0.3">
      <c r="A1307" s="10" t="str">
        <f t="shared" si="158"/>
        <v/>
      </c>
      <c r="B1307" s="11">
        <f>Weekly!$G$3</f>
        <v>45919</v>
      </c>
      <c r="C1307" s="12">
        <v>0.53125</v>
      </c>
      <c r="D1307" s="13">
        <f>Weekly!G157</f>
        <v>0</v>
      </c>
      <c r="E1307" s="13" t="str">
        <f t="shared" si="159"/>
        <v/>
      </c>
      <c r="F1307" s="13" t="str">
        <f t="shared" si="162"/>
        <v/>
      </c>
      <c r="G1307" s="13" t="str">
        <f t="shared" si="160"/>
        <v/>
      </c>
      <c r="H1307" s="13" t="str">
        <f t="shared" si="161"/>
        <v/>
      </c>
      <c r="I1307" s="14" t="str">
        <f t="array" ref="I1307">IF(getRGB1(Weekly!G157)="FFFF00","초방","재방")</f>
        <v>재방</v>
      </c>
    </row>
    <row r="1308" spans="1:9" ht="11.25" customHeight="1" x14ac:dyDescent="0.3">
      <c r="A1308" s="10" t="str">
        <f t="shared" si="158"/>
        <v/>
      </c>
      <c r="B1308" s="11">
        <f>Weekly!$G$3</f>
        <v>45919</v>
      </c>
      <c r="C1308" s="12">
        <v>0.53472222222222199</v>
      </c>
      <c r="D1308" s="13">
        <f>Weekly!G158</f>
        <v>0</v>
      </c>
      <c r="E1308" s="13" t="str">
        <f t="shared" si="159"/>
        <v/>
      </c>
      <c r="F1308" s="13" t="str">
        <f t="shared" si="162"/>
        <v/>
      </c>
      <c r="G1308" s="13" t="str">
        <f t="shared" si="160"/>
        <v/>
      </c>
      <c r="H1308" s="13" t="str">
        <f t="shared" si="161"/>
        <v/>
      </c>
      <c r="I1308" s="14" t="str">
        <f t="array" ref="I1308">IF(getRGB1(Weekly!G158)="FFFF00","초방","재방")</f>
        <v>재방</v>
      </c>
    </row>
    <row r="1309" spans="1:9" ht="11.25" customHeight="1" x14ac:dyDescent="0.3">
      <c r="A1309" s="10" t="str">
        <f t="shared" si="158"/>
        <v/>
      </c>
      <c r="B1309" s="11">
        <f>Weekly!$G$3</f>
        <v>45919</v>
      </c>
      <c r="C1309" s="12">
        <v>0.53819444444444398</v>
      </c>
      <c r="D1309" s="13">
        <f>Weekly!G159</f>
        <v>0</v>
      </c>
      <c r="E1309" s="13" t="str">
        <f t="shared" si="159"/>
        <v/>
      </c>
      <c r="F1309" s="13" t="str">
        <f t="shared" si="162"/>
        <v/>
      </c>
      <c r="G1309" s="13" t="str">
        <f t="shared" si="160"/>
        <v/>
      </c>
      <c r="H1309" s="13" t="str">
        <f t="shared" si="161"/>
        <v/>
      </c>
      <c r="I1309" s="14" t="str">
        <f t="array" ref="I1309">IF(getRGB1(Weekly!G159)="FFFF00","초방","재방")</f>
        <v>재방</v>
      </c>
    </row>
    <row r="1310" spans="1:9" ht="11.25" customHeight="1" x14ac:dyDescent="0.3">
      <c r="A1310" s="10">
        <f t="shared" si="158"/>
        <v>45919.541666666664</v>
      </c>
      <c r="B1310" s="11">
        <f>Weekly!$G$3</f>
        <v>45919</v>
      </c>
      <c r="C1310" s="12">
        <v>0.54166666666666696</v>
      </c>
      <c r="D1310" s="13" t="str">
        <f>Weekly!G160</f>
        <v xml:space="preserve"> NEWSJ
&lt;66</v>
      </c>
      <c r="E1310" s="13" t="str">
        <f t="shared" si="159"/>
        <v>NEWSJ</v>
      </c>
      <c r="F1310" s="13">
        <f t="shared" si="162"/>
        <v>66</v>
      </c>
      <c r="G1310" s="13" t="str">
        <f t="shared" si="160"/>
        <v/>
      </c>
      <c r="H1310" s="13" t="str">
        <f t="shared" si="161"/>
        <v/>
      </c>
      <c r="I1310" s="14" t="str">
        <f t="array" ref="I1310">IF(getRGB1(Weekly!G160)="FFFF00","초방","재방")</f>
        <v>재방</v>
      </c>
    </row>
    <row r="1311" spans="1:9" ht="11.25" customHeight="1" x14ac:dyDescent="0.3">
      <c r="A1311" s="10" t="str">
        <f t="shared" si="158"/>
        <v/>
      </c>
      <c r="B1311" s="11">
        <f>Weekly!$G$3</f>
        <v>45919</v>
      </c>
      <c r="C1311" s="12">
        <v>0.54513888888888895</v>
      </c>
      <c r="D1311" s="13">
        <f>Weekly!G161</f>
        <v>0</v>
      </c>
      <c r="E1311" s="13" t="str">
        <f t="shared" si="159"/>
        <v/>
      </c>
      <c r="F1311" s="13" t="str">
        <f t="shared" si="162"/>
        <v/>
      </c>
      <c r="G1311" s="13" t="str">
        <f t="shared" si="160"/>
        <v/>
      </c>
      <c r="H1311" s="13" t="str">
        <f t="shared" si="161"/>
        <v/>
      </c>
      <c r="I1311" s="14" t="str">
        <f t="array" ref="I1311">IF(getRGB1(Weekly!G161)="FFFF00","초방","재방")</f>
        <v>재방</v>
      </c>
    </row>
    <row r="1312" spans="1:9" ht="11.25" customHeight="1" x14ac:dyDescent="0.3">
      <c r="A1312" s="10" t="str">
        <f t="shared" si="158"/>
        <v/>
      </c>
      <c r="B1312" s="11">
        <f>Weekly!$G$3</f>
        <v>45919</v>
      </c>
      <c r="C1312" s="12">
        <v>0.54861111111111105</v>
      </c>
      <c r="D1312" s="13">
        <f>Weekly!G162</f>
        <v>0</v>
      </c>
      <c r="E1312" s="13" t="str">
        <f t="shared" si="159"/>
        <v/>
      </c>
      <c r="F1312" s="13" t="str">
        <f t="shared" si="162"/>
        <v/>
      </c>
      <c r="G1312" s="13" t="str">
        <f t="shared" si="160"/>
        <v/>
      </c>
      <c r="H1312" s="13" t="str">
        <f t="shared" si="161"/>
        <v/>
      </c>
      <c r="I1312" s="14" t="str">
        <f t="array" ref="I1312">IF(getRGB1(Weekly!G162)="FFFF00","초방","재방")</f>
        <v>재방</v>
      </c>
    </row>
    <row r="1313" spans="1:9" ht="11.25" customHeight="1" x14ac:dyDescent="0.3">
      <c r="A1313" s="10" t="str">
        <f t="shared" si="158"/>
        <v/>
      </c>
      <c r="B1313" s="11">
        <f>Weekly!$G$3</f>
        <v>45919</v>
      </c>
      <c r="C1313" s="12">
        <v>0.55208333333333304</v>
      </c>
      <c r="D1313" s="13">
        <f>Weekly!G163</f>
        <v>0</v>
      </c>
      <c r="E1313" s="13" t="str">
        <f t="shared" si="159"/>
        <v/>
      </c>
      <c r="F1313" s="13" t="str">
        <f t="shared" si="162"/>
        <v/>
      </c>
      <c r="G1313" s="13" t="str">
        <f t="shared" si="160"/>
        <v/>
      </c>
      <c r="H1313" s="13" t="str">
        <f t="shared" si="161"/>
        <v/>
      </c>
      <c r="I1313" s="14" t="str">
        <f t="array" ref="I1313">IF(getRGB1(Weekly!G163)="FFFF00","초방","재방")</f>
        <v>재방</v>
      </c>
    </row>
    <row r="1314" spans="1:9" ht="11.25" customHeight="1" x14ac:dyDescent="0.3">
      <c r="A1314" s="10" t="str">
        <f t="shared" si="158"/>
        <v/>
      </c>
      <c r="B1314" s="11">
        <f>Weekly!$G$3</f>
        <v>45919</v>
      </c>
      <c r="C1314" s="12">
        <v>0.55555555555555602</v>
      </c>
      <c r="D1314" s="13">
        <f>Weekly!G164</f>
        <v>0</v>
      </c>
      <c r="E1314" s="13" t="str">
        <f t="shared" si="159"/>
        <v/>
      </c>
      <c r="F1314" s="13" t="str">
        <f t="shared" si="162"/>
        <v/>
      </c>
      <c r="G1314" s="13" t="str">
        <f t="shared" si="160"/>
        <v/>
      </c>
      <c r="H1314" s="13" t="str">
        <f t="shared" si="161"/>
        <v/>
      </c>
      <c r="I1314" s="14" t="str">
        <f t="array" ref="I1314">IF(getRGB1(Weekly!G164)="FFFF00","초방","재방")</f>
        <v>재방</v>
      </c>
    </row>
    <row r="1315" spans="1:9" ht="11.25" customHeight="1" x14ac:dyDescent="0.3">
      <c r="A1315" s="10" t="str">
        <f t="shared" si="158"/>
        <v/>
      </c>
      <c r="B1315" s="11">
        <f>Weekly!$G$3</f>
        <v>45919</v>
      </c>
      <c r="C1315" s="12">
        <v>0.55902777777777801</v>
      </c>
      <c r="D1315" s="13">
        <f>Weekly!G165</f>
        <v>0</v>
      </c>
      <c r="E1315" s="13" t="str">
        <f t="shared" si="159"/>
        <v/>
      </c>
      <c r="F1315" s="13" t="str">
        <f t="shared" si="162"/>
        <v/>
      </c>
      <c r="G1315" s="13" t="str">
        <f t="shared" si="160"/>
        <v/>
      </c>
      <c r="H1315" s="13" t="str">
        <f t="shared" si="161"/>
        <v/>
      </c>
      <c r="I1315" s="14" t="str">
        <f t="array" ref="I1315">IF(getRGB1(Weekly!G165)="FFFF00","초방","재방")</f>
        <v>재방</v>
      </c>
    </row>
    <row r="1316" spans="1:9" ht="11.25" customHeight="1" x14ac:dyDescent="0.3">
      <c r="A1316" s="10">
        <f t="shared" si="158"/>
        <v>45919.5625</v>
      </c>
      <c r="B1316" s="11">
        <f>Weekly!$G$3</f>
        <v>45919</v>
      </c>
      <c r="C1316" s="12">
        <v>0.5625</v>
      </c>
      <c r="D1316" s="13" t="str">
        <f>Weekly!G166</f>
        <v>더 人터뷰
&lt;54</v>
      </c>
      <c r="E1316" s="13" t="str">
        <f t="shared" si="159"/>
        <v>더 人터뷰</v>
      </c>
      <c r="F1316" s="13">
        <f t="shared" si="162"/>
        <v>54</v>
      </c>
      <c r="G1316" s="13" t="str">
        <f t="shared" si="160"/>
        <v/>
      </c>
      <c r="H1316" s="13" t="str">
        <f t="shared" si="161"/>
        <v/>
      </c>
      <c r="I1316" s="14" t="str">
        <f t="array" ref="I1316">IF(getRGB1(Weekly!G166)="FFFF00","초방","재방")</f>
        <v>초방</v>
      </c>
    </row>
    <row r="1317" spans="1:9" ht="11.25" customHeight="1" x14ac:dyDescent="0.3">
      <c r="A1317" s="10" t="str">
        <f t="shared" si="158"/>
        <v/>
      </c>
      <c r="B1317" s="11">
        <f>Weekly!$G$3</f>
        <v>45919</v>
      </c>
      <c r="C1317" s="12">
        <v>0.56597222222222199</v>
      </c>
      <c r="D1317" s="13">
        <f>Weekly!G167</f>
        <v>0</v>
      </c>
      <c r="E1317" s="13" t="str">
        <f t="shared" si="159"/>
        <v/>
      </c>
      <c r="F1317" s="13" t="str">
        <f t="shared" si="162"/>
        <v/>
      </c>
      <c r="G1317" s="13" t="str">
        <f t="shared" si="160"/>
        <v/>
      </c>
      <c r="H1317" s="13" t="str">
        <f t="shared" si="161"/>
        <v/>
      </c>
      <c r="I1317" s="14" t="str">
        <f t="array" ref="I1317">IF(getRGB1(Weekly!G167)="FFFF00","초방","재방")</f>
        <v>초방</v>
      </c>
    </row>
    <row r="1318" spans="1:9" ht="11.25" customHeight="1" x14ac:dyDescent="0.3">
      <c r="A1318" s="10" t="str">
        <f t="shared" si="158"/>
        <v/>
      </c>
      <c r="B1318" s="11">
        <f>Weekly!$G$3</f>
        <v>45919</v>
      </c>
      <c r="C1318" s="12">
        <v>0.56944444444444398</v>
      </c>
      <c r="D1318" s="13">
        <f>Weekly!G168</f>
        <v>0</v>
      </c>
      <c r="E1318" s="13" t="str">
        <f t="shared" si="159"/>
        <v/>
      </c>
      <c r="F1318" s="13" t="str">
        <f t="shared" si="162"/>
        <v/>
      </c>
      <c r="G1318" s="13" t="str">
        <f t="shared" si="160"/>
        <v/>
      </c>
      <c r="H1318" s="13" t="str">
        <f t="shared" si="161"/>
        <v/>
      </c>
      <c r="I1318" s="14" t="str">
        <f t="array" ref="I1318">IF(getRGB1(Weekly!G168)="FFFF00","초방","재방")</f>
        <v>초방</v>
      </c>
    </row>
    <row r="1319" spans="1:9" ht="11.25" customHeight="1" x14ac:dyDescent="0.3">
      <c r="A1319" s="10" t="str">
        <f t="shared" si="158"/>
        <v/>
      </c>
      <c r="B1319" s="11">
        <f>Weekly!$G$3</f>
        <v>45919</v>
      </c>
      <c r="C1319" s="12">
        <v>0.57291666666666696</v>
      </c>
      <c r="D1319" s="13">
        <f>Weekly!G169</f>
        <v>0</v>
      </c>
      <c r="E1319" s="13" t="str">
        <f t="shared" si="159"/>
        <v/>
      </c>
      <c r="F1319" s="13" t="str">
        <f t="shared" si="162"/>
        <v/>
      </c>
      <c r="G1319" s="13" t="str">
        <f t="shared" si="160"/>
        <v/>
      </c>
      <c r="H1319" s="13" t="str">
        <f t="shared" si="161"/>
        <v/>
      </c>
      <c r="I1319" s="14" t="str">
        <f t="array" ref="I1319">IF(getRGB1(Weekly!G169)="FFFF00","초방","재방")</f>
        <v>초방</v>
      </c>
    </row>
    <row r="1320" spans="1:9" ht="11.25" customHeight="1" x14ac:dyDescent="0.3">
      <c r="A1320" s="10" t="str">
        <f t="shared" si="158"/>
        <v/>
      </c>
      <c r="B1320" s="11">
        <f>Weekly!$G$3</f>
        <v>45919</v>
      </c>
      <c r="C1320" s="12">
        <v>0.57638888888888895</v>
      </c>
      <c r="D1320" s="13">
        <f>Weekly!G170</f>
        <v>0</v>
      </c>
      <c r="E1320" s="13" t="str">
        <f t="shared" si="159"/>
        <v/>
      </c>
      <c r="F1320" s="13" t="str">
        <f t="shared" si="162"/>
        <v/>
      </c>
      <c r="G1320" s="13" t="str">
        <f t="shared" si="160"/>
        <v/>
      </c>
      <c r="H1320" s="13" t="str">
        <f t="shared" si="161"/>
        <v/>
      </c>
      <c r="I1320" s="14" t="str">
        <f t="array" ref="I1320">IF(getRGB1(Weekly!G170)="FFFF00","초방","재방")</f>
        <v>초방</v>
      </c>
    </row>
    <row r="1321" spans="1:9" ht="11.25" customHeight="1" x14ac:dyDescent="0.3">
      <c r="A1321" s="10" t="str">
        <f t="shared" si="158"/>
        <v/>
      </c>
      <c r="B1321" s="11">
        <f>Weekly!$G$3</f>
        <v>45919</v>
      </c>
      <c r="C1321" s="12">
        <v>0.57986111111111105</v>
      </c>
      <c r="D1321" s="13">
        <f>Weekly!G171</f>
        <v>0</v>
      </c>
      <c r="E1321" s="13" t="str">
        <f t="shared" si="159"/>
        <v/>
      </c>
      <c r="F1321" s="13" t="str">
        <f t="shared" si="162"/>
        <v/>
      </c>
      <c r="G1321" s="13" t="str">
        <f t="shared" si="160"/>
        <v/>
      </c>
      <c r="H1321" s="13" t="str">
        <f t="shared" si="161"/>
        <v/>
      </c>
      <c r="I1321" s="14" t="str">
        <f t="array" ref="I1321">IF(getRGB1(Weekly!G171)="FFFF00","초방","재방")</f>
        <v>초방</v>
      </c>
    </row>
    <row r="1322" spans="1:9" ht="11.25" customHeight="1" x14ac:dyDescent="0.3">
      <c r="A1322" s="10">
        <f t="shared" si="158"/>
        <v>45919.583333333336</v>
      </c>
      <c r="B1322" s="11">
        <f>Weekly!$G$3</f>
        <v>45919</v>
      </c>
      <c r="C1322" s="12">
        <v>0.58333333333333304</v>
      </c>
      <c r="D1322" s="13" t="str">
        <f>Weekly!G172</f>
        <v>특집 2026 지방선거_서울특별시의회 생생중계_상임위
&lt;19</v>
      </c>
      <c r="E1322" s="13" t="str">
        <f t="shared" si="159"/>
        <v>특집 2026 지방선거_서울특별시의회 생생중계_상임위</v>
      </c>
      <c r="F1322" s="13">
        <f t="shared" si="162"/>
        <v>19</v>
      </c>
      <c r="G1322" s="13" t="str">
        <f t="shared" si="160"/>
        <v/>
      </c>
      <c r="H1322" s="13" t="str">
        <f t="shared" si="161"/>
        <v/>
      </c>
      <c r="I1322" s="14" t="str">
        <f t="array" ref="I1322">IF(getRGB1(Weekly!G172)="FFFF00","초방","재방")</f>
        <v>초방</v>
      </c>
    </row>
    <row r="1323" spans="1:9" ht="11.25" customHeight="1" x14ac:dyDescent="0.3">
      <c r="A1323" s="10" t="str">
        <f t="shared" ref="A1323:A1338" si="163">IF(D1323&lt;&gt;0,B1323+C1323,"")</f>
        <v/>
      </c>
      <c r="B1323" s="11">
        <f>Weekly!$G$3</f>
        <v>45919</v>
      </c>
      <c r="C1323" s="12">
        <v>0.625</v>
      </c>
      <c r="D1323" s="13">
        <f>Weekly!G173</f>
        <v>0</v>
      </c>
      <c r="E1323" s="13" t="str">
        <f t="shared" ref="E1323:E1338" si="164">IFERROR(SUBSTITUTE(SUBSTITUTE(TRIM(LEFT(D1323,FIND("&lt;",D1323)-1)),CHAR(10),""),"⑮ ",""),"")</f>
        <v/>
      </c>
      <c r="F1323" s="13" t="str">
        <f t="shared" ref="F1323:F1338" si="165">IFERROR((MID(D1323,FIND("&lt;",D1323)+1,4))*1,"")</f>
        <v/>
      </c>
      <c r="G1323" s="13" t="str">
        <f t="shared" ref="G1323:G1338" si="166">IFERROR(MID(D1323,FIND("&gt;",D1323)+1,10),"")</f>
        <v/>
      </c>
      <c r="H1323" s="13" t="str">
        <f t="shared" ref="H1323:H1338" si="167">IFERROR(VLOOKUP(LEFT(D1323,2),$W$1:$X$6,2,0),"")</f>
        <v/>
      </c>
      <c r="I1323" s="14" t="str">
        <f t="array" ref="I1323">IF(getRGB1(Weekly!G173)="FFFF00","초방","재방")</f>
        <v>초방</v>
      </c>
    </row>
    <row r="1324" spans="1:9" ht="11.25" customHeight="1" x14ac:dyDescent="0.3">
      <c r="A1324" s="10" t="str">
        <f t="shared" si="163"/>
        <v/>
      </c>
      <c r="B1324" s="11">
        <f>Weekly!$G$3</f>
        <v>45919</v>
      </c>
      <c r="C1324" s="12">
        <v>0.66666666666666596</v>
      </c>
      <c r="D1324" s="13">
        <f>Weekly!G174</f>
        <v>0</v>
      </c>
      <c r="E1324" s="13" t="str">
        <f t="shared" si="164"/>
        <v/>
      </c>
      <c r="F1324" s="13" t="str">
        <f t="shared" si="165"/>
        <v/>
      </c>
      <c r="G1324" s="13" t="str">
        <f t="shared" si="166"/>
        <v/>
      </c>
      <c r="H1324" s="13" t="str">
        <f t="shared" si="167"/>
        <v/>
      </c>
      <c r="I1324" s="14" t="str">
        <f t="array" ref="I1324">IF(getRGB1(Weekly!G174)="FFFF00","초방","재방")</f>
        <v>초방</v>
      </c>
    </row>
    <row r="1325" spans="1:9" ht="11.25" customHeight="1" x14ac:dyDescent="0.3">
      <c r="A1325" s="10" t="str">
        <f t="shared" si="163"/>
        <v/>
      </c>
      <c r="B1325" s="11">
        <f>Weekly!$G$3</f>
        <v>45919</v>
      </c>
      <c r="C1325" s="12">
        <v>0.70833333333333304</v>
      </c>
      <c r="D1325" s="13">
        <f>Weekly!G175</f>
        <v>0</v>
      </c>
      <c r="E1325" s="13" t="str">
        <f t="shared" si="164"/>
        <v/>
      </c>
      <c r="F1325" s="13" t="str">
        <f t="shared" si="165"/>
        <v/>
      </c>
      <c r="G1325" s="13" t="str">
        <f t="shared" si="166"/>
        <v/>
      </c>
      <c r="H1325" s="13" t="str">
        <f t="shared" si="167"/>
        <v/>
      </c>
      <c r="I1325" s="14" t="str">
        <f t="array" ref="I1325">IF(getRGB1(Weekly!G175)="FFFF00","초방","재방")</f>
        <v>초방</v>
      </c>
    </row>
    <row r="1326" spans="1:9" ht="11.25" customHeight="1" x14ac:dyDescent="0.3">
      <c r="A1326" s="10" t="str">
        <f t="shared" si="163"/>
        <v/>
      </c>
      <c r="B1326" s="11">
        <f>Weekly!$G$3</f>
        <v>45919</v>
      </c>
      <c r="C1326" s="12">
        <v>0.75</v>
      </c>
      <c r="D1326" s="13">
        <f>Weekly!G176</f>
        <v>0</v>
      </c>
      <c r="E1326" s="13" t="str">
        <f t="shared" si="164"/>
        <v/>
      </c>
      <c r="F1326" s="13" t="str">
        <f t="shared" si="165"/>
        <v/>
      </c>
      <c r="G1326" s="13" t="str">
        <f t="shared" si="166"/>
        <v/>
      </c>
      <c r="H1326" s="13" t="str">
        <f t="shared" si="167"/>
        <v/>
      </c>
      <c r="I1326" s="14" t="str">
        <f t="array" ref="I1326">IF(getRGB1(Weekly!G176)="FFFF00","초방","재방")</f>
        <v>초방</v>
      </c>
    </row>
    <row r="1327" spans="1:9" ht="11.25" customHeight="1" x14ac:dyDescent="0.3">
      <c r="A1327" s="10" t="str">
        <f t="shared" si="163"/>
        <v/>
      </c>
      <c r="B1327" s="11">
        <f>Weekly!$G$3</f>
        <v>45919</v>
      </c>
      <c r="C1327" s="12">
        <v>0.79166666666666596</v>
      </c>
      <c r="D1327" s="13">
        <f>Weekly!G177</f>
        <v>0</v>
      </c>
      <c r="E1327" s="13" t="str">
        <f t="shared" si="164"/>
        <v/>
      </c>
      <c r="F1327" s="13" t="str">
        <f t="shared" si="165"/>
        <v/>
      </c>
      <c r="G1327" s="13" t="str">
        <f t="shared" si="166"/>
        <v/>
      </c>
      <c r="H1327" s="13" t="str">
        <f t="shared" si="167"/>
        <v/>
      </c>
      <c r="I1327" s="14" t="str">
        <f t="array" ref="I1327">IF(getRGB1(Weekly!G177)="FFFF00","초방","재방")</f>
        <v>초방</v>
      </c>
    </row>
    <row r="1328" spans="1:9" ht="11.25" customHeight="1" x14ac:dyDescent="0.3">
      <c r="A1328" s="10" t="str">
        <f t="shared" si="163"/>
        <v/>
      </c>
      <c r="B1328" s="11">
        <f>Weekly!$G$3</f>
        <v>45919</v>
      </c>
      <c r="C1328" s="12">
        <v>0.83333333333333304</v>
      </c>
      <c r="D1328" s="13">
        <f>Weekly!G178</f>
        <v>0</v>
      </c>
      <c r="E1328" s="13" t="str">
        <f t="shared" si="164"/>
        <v/>
      </c>
      <c r="F1328" s="13" t="str">
        <f t="shared" si="165"/>
        <v/>
      </c>
      <c r="G1328" s="13" t="str">
        <f t="shared" si="166"/>
        <v/>
      </c>
      <c r="H1328" s="13" t="str">
        <f t="shared" si="167"/>
        <v/>
      </c>
      <c r="I1328" s="14" t="str">
        <f t="array" ref="I1328">IF(getRGB1(Weekly!G178)="FFFF00","초방","재방")</f>
        <v>초방</v>
      </c>
    </row>
    <row r="1329" spans="1:9" ht="11.25" customHeight="1" x14ac:dyDescent="0.3">
      <c r="A1329" s="10" t="str">
        <f t="shared" si="163"/>
        <v/>
      </c>
      <c r="B1329" s="11">
        <f>Weekly!$G$3</f>
        <v>45919</v>
      </c>
      <c r="C1329" s="12">
        <v>0.875</v>
      </c>
      <c r="D1329" s="13">
        <f>Weekly!G179</f>
        <v>0</v>
      </c>
      <c r="E1329" s="13" t="str">
        <f t="shared" si="164"/>
        <v/>
      </c>
      <c r="F1329" s="13" t="str">
        <f t="shared" si="165"/>
        <v/>
      </c>
      <c r="G1329" s="13" t="str">
        <f t="shared" si="166"/>
        <v/>
      </c>
      <c r="H1329" s="13" t="str">
        <f t="shared" si="167"/>
        <v/>
      </c>
      <c r="I1329" s="14" t="str">
        <f t="array" ref="I1329">IF(getRGB1(Weekly!G179)="FFFF00","초방","재방")</f>
        <v>초방</v>
      </c>
    </row>
    <row r="1330" spans="1:9" ht="11.25" customHeight="1" x14ac:dyDescent="0.3">
      <c r="A1330" s="10" t="str">
        <f t="shared" si="163"/>
        <v/>
      </c>
      <c r="B1330" s="11">
        <f>Weekly!$G$3</f>
        <v>45919</v>
      </c>
      <c r="C1330" s="12">
        <v>0.91666666666666596</v>
      </c>
      <c r="D1330" s="13">
        <f>Weekly!G180</f>
        <v>0</v>
      </c>
      <c r="E1330" s="13" t="str">
        <f t="shared" si="164"/>
        <v/>
      </c>
      <c r="F1330" s="13" t="str">
        <f t="shared" si="165"/>
        <v/>
      </c>
      <c r="G1330" s="13" t="str">
        <f t="shared" si="166"/>
        <v/>
      </c>
      <c r="H1330" s="13" t="str">
        <f t="shared" si="167"/>
        <v/>
      </c>
      <c r="I1330" s="14" t="str">
        <f t="array" ref="I1330">IF(getRGB1(Weekly!G180)="FFFF00","초방","재방")</f>
        <v>초방</v>
      </c>
    </row>
    <row r="1331" spans="1:9" ht="11.25" customHeight="1" x14ac:dyDescent="0.3">
      <c r="A1331" s="10" t="str">
        <f t="shared" si="163"/>
        <v/>
      </c>
      <c r="B1331" s="11">
        <f>Weekly!$G$3</f>
        <v>45919</v>
      </c>
      <c r="C1331" s="12">
        <v>0.95833333333333304</v>
      </c>
      <c r="D1331" s="13">
        <f>Weekly!G181</f>
        <v>0</v>
      </c>
      <c r="E1331" s="13" t="str">
        <f t="shared" si="164"/>
        <v/>
      </c>
      <c r="F1331" s="13" t="str">
        <f t="shared" si="165"/>
        <v/>
      </c>
      <c r="G1331" s="13" t="str">
        <f t="shared" si="166"/>
        <v/>
      </c>
      <c r="H1331" s="13" t="str">
        <f t="shared" si="167"/>
        <v/>
      </c>
      <c r="I1331" s="14" t="str">
        <f t="array" ref="I1331">IF(getRGB1(Weekly!G181)="FFFF00","초방","재방")</f>
        <v>초방</v>
      </c>
    </row>
    <row r="1332" spans="1:9" ht="11.25" customHeight="1" x14ac:dyDescent="0.3">
      <c r="A1332" s="10" t="str">
        <f t="shared" si="163"/>
        <v/>
      </c>
      <c r="B1332" s="11">
        <f>Weekly!$G$3</f>
        <v>45919</v>
      </c>
      <c r="C1332" s="12">
        <v>1</v>
      </c>
      <c r="D1332" s="13">
        <f>Weekly!G182</f>
        <v>0</v>
      </c>
      <c r="E1332" s="13" t="str">
        <f t="shared" si="164"/>
        <v/>
      </c>
      <c r="F1332" s="13" t="str">
        <f t="shared" si="165"/>
        <v/>
      </c>
      <c r="G1332" s="13" t="str">
        <f t="shared" si="166"/>
        <v/>
      </c>
      <c r="H1332" s="13" t="str">
        <f t="shared" si="167"/>
        <v/>
      </c>
      <c r="I1332" s="14" t="str">
        <f t="array" ref="I1332">IF(getRGB1(Weekly!G182)="FFFF00","초방","재방")</f>
        <v>초방</v>
      </c>
    </row>
    <row r="1333" spans="1:9" ht="11.25" customHeight="1" x14ac:dyDescent="0.3">
      <c r="A1333" s="10" t="str">
        <f t="shared" si="163"/>
        <v/>
      </c>
      <c r="B1333" s="11">
        <f>Weekly!$G$3</f>
        <v>45919</v>
      </c>
      <c r="C1333" s="12">
        <v>1.0416666666666701</v>
      </c>
      <c r="D1333" s="13">
        <f>Weekly!G183</f>
        <v>0</v>
      </c>
      <c r="E1333" s="13" t="str">
        <f t="shared" si="164"/>
        <v/>
      </c>
      <c r="F1333" s="13" t="str">
        <f t="shared" si="165"/>
        <v/>
      </c>
      <c r="G1333" s="13" t="str">
        <f t="shared" si="166"/>
        <v/>
      </c>
      <c r="H1333" s="13" t="str">
        <f t="shared" si="167"/>
        <v/>
      </c>
      <c r="I1333" s="14" t="str">
        <f t="array" ref="I1333">IF(getRGB1(Weekly!G183)="FFFF00","초방","재방")</f>
        <v>초방</v>
      </c>
    </row>
    <row r="1334" spans="1:9" ht="11.25" customHeight="1" x14ac:dyDescent="0.3">
      <c r="A1334" s="10">
        <f t="shared" si="163"/>
        <v>45920.083333333336</v>
      </c>
      <c r="B1334" s="11">
        <f>Weekly!$G$3</f>
        <v>45919</v>
      </c>
      <c r="C1334" s="12">
        <v>1.0833333333333299</v>
      </c>
      <c r="D1334" s="13" t="str">
        <f>Weekly!G184</f>
        <v>행복무지개
&lt;32</v>
      </c>
      <c r="E1334" s="13" t="str">
        <f t="shared" si="164"/>
        <v>행복무지개</v>
      </c>
      <c r="F1334" s="13">
        <f t="shared" si="165"/>
        <v>32</v>
      </c>
      <c r="G1334" s="13" t="str">
        <f t="shared" si="166"/>
        <v/>
      </c>
      <c r="H1334" s="13" t="str">
        <f t="shared" si="167"/>
        <v/>
      </c>
      <c r="I1334" s="14" t="str">
        <f t="array" ref="I1334">IF(getRGB1(Weekly!G184)="FFFF00","초방","재방")</f>
        <v>재방</v>
      </c>
    </row>
    <row r="1335" spans="1:9" ht="11.25" customHeight="1" x14ac:dyDescent="0.3">
      <c r="A1335" s="10" t="str">
        <f t="shared" si="163"/>
        <v/>
      </c>
      <c r="B1335" s="11">
        <f>Weekly!$G$3</f>
        <v>45919</v>
      </c>
      <c r="C1335" s="12">
        <v>1.125</v>
      </c>
      <c r="D1335" s="13">
        <f>Weekly!G185</f>
        <v>0</v>
      </c>
      <c r="E1335" s="13" t="str">
        <f t="shared" si="164"/>
        <v/>
      </c>
      <c r="F1335" s="13" t="str">
        <f t="shared" si="165"/>
        <v/>
      </c>
      <c r="G1335" s="13" t="str">
        <f t="shared" si="166"/>
        <v/>
      </c>
      <c r="H1335" s="13" t="str">
        <f t="shared" si="167"/>
        <v/>
      </c>
      <c r="I1335" s="14" t="str">
        <f t="array" ref="I1335">IF(getRGB1(Weekly!G185)="FFFF00","초방","재방")</f>
        <v>재방</v>
      </c>
    </row>
    <row r="1336" spans="1:9" ht="11.25" customHeight="1" x14ac:dyDescent="0.3">
      <c r="A1336" s="10" t="str">
        <f t="shared" si="163"/>
        <v/>
      </c>
      <c r="B1336" s="11">
        <f>Weekly!$G$3</f>
        <v>45919</v>
      </c>
      <c r="C1336" s="12">
        <v>1.1666666666666701</v>
      </c>
      <c r="D1336" s="13">
        <f>Weekly!G186</f>
        <v>0</v>
      </c>
      <c r="E1336" s="13" t="str">
        <f t="shared" si="164"/>
        <v/>
      </c>
      <c r="F1336" s="13" t="str">
        <f t="shared" si="165"/>
        <v/>
      </c>
      <c r="G1336" s="13" t="str">
        <f t="shared" si="166"/>
        <v/>
      </c>
      <c r="H1336" s="13" t="str">
        <f t="shared" si="167"/>
        <v/>
      </c>
      <c r="I1336" s="14" t="str">
        <f t="array" ref="I1336">IF(getRGB1(Weekly!G186)="FFFF00","초방","재방")</f>
        <v>재방</v>
      </c>
    </row>
    <row r="1337" spans="1:9" ht="11.25" customHeight="1" x14ac:dyDescent="0.3">
      <c r="A1337" s="10" t="str">
        <f t="shared" si="163"/>
        <v/>
      </c>
      <c r="B1337" s="11">
        <f>Weekly!$G$3</f>
        <v>45919</v>
      </c>
      <c r="C1337" s="12">
        <v>1.2083333333333299</v>
      </c>
      <c r="D1337" s="13">
        <f>Weekly!G187</f>
        <v>0</v>
      </c>
      <c r="E1337" s="13" t="str">
        <f t="shared" si="164"/>
        <v/>
      </c>
      <c r="F1337" s="13" t="str">
        <f t="shared" si="165"/>
        <v/>
      </c>
      <c r="G1337" s="13" t="str">
        <f t="shared" si="166"/>
        <v/>
      </c>
      <c r="H1337" s="13" t="str">
        <f t="shared" si="167"/>
        <v/>
      </c>
      <c r="I1337" s="14" t="str">
        <f t="array" ref="I1337">IF(getRGB1(Weekly!G187)="FFFF00","초방","재방")</f>
        <v>재방</v>
      </c>
    </row>
    <row r="1338" spans="1:9" ht="11.25" customHeight="1" x14ac:dyDescent="0.3">
      <c r="A1338" s="10" t="str">
        <f t="shared" si="163"/>
        <v/>
      </c>
      <c r="B1338" s="11">
        <f>Weekly!$G$3</f>
        <v>45919</v>
      </c>
      <c r="C1338" s="12">
        <v>1.25</v>
      </c>
      <c r="D1338" s="13">
        <f>Weekly!G188</f>
        <v>0</v>
      </c>
      <c r="E1338" s="13" t="str">
        <f t="shared" si="164"/>
        <v/>
      </c>
      <c r="F1338" s="13" t="str">
        <f t="shared" si="165"/>
        <v/>
      </c>
      <c r="G1338" s="13" t="str">
        <f t="shared" si="166"/>
        <v/>
      </c>
      <c r="H1338" s="13" t="str">
        <f t="shared" si="167"/>
        <v/>
      </c>
      <c r="I1338" s="14" t="str">
        <f t="array" ref="I1338">IF(getRGB1(Weekly!G188)="FFFF00","초방","재방")</f>
        <v>재방</v>
      </c>
    </row>
    <row r="1339" spans="1:9" ht="11.25" customHeight="1" x14ac:dyDescent="0.3">
      <c r="A1339" s="10" t="str">
        <f t="shared" si="158"/>
        <v/>
      </c>
      <c r="B1339" s="11">
        <f>Weekly!$G$3</f>
        <v>45919</v>
      </c>
      <c r="C1339" s="12">
        <v>0.64236111111111105</v>
      </c>
      <c r="D1339" s="13">
        <f>Weekly!G189</f>
        <v>0</v>
      </c>
      <c r="E1339" s="13" t="str">
        <f t="shared" si="159"/>
        <v/>
      </c>
      <c r="F1339" s="13" t="str">
        <f t="shared" si="162"/>
        <v/>
      </c>
      <c r="G1339" s="13" t="str">
        <f t="shared" si="160"/>
        <v/>
      </c>
      <c r="H1339" s="13" t="str">
        <f t="shared" si="161"/>
        <v/>
      </c>
      <c r="I1339" s="14" t="str">
        <f t="array" ref="I1339">IF(getRGB1(Weekly!G189)="FFFF00","초방","재방")</f>
        <v>재방</v>
      </c>
    </row>
    <row r="1340" spans="1:9" ht="11.25" customHeight="1" x14ac:dyDescent="0.3">
      <c r="A1340" s="10" t="str">
        <f t="shared" si="158"/>
        <v/>
      </c>
      <c r="B1340" s="11">
        <f>Weekly!$G$3</f>
        <v>45919</v>
      </c>
      <c r="C1340" s="12">
        <v>0.64583333333333304</v>
      </c>
      <c r="D1340" s="13">
        <f>Weekly!G190</f>
        <v>0</v>
      </c>
      <c r="E1340" s="13" t="str">
        <f t="shared" si="159"/>
        <v/>
      </c>
      <c r="F1340" s="13" t="str">
        <f t="shared" si="162"/>
        <v/>
      </c>
      <c r="G1340" s="13" t="str">
        <f t="shared" si="160"/>
        <v/>
      </c>
      <c r="H1340" s="13" t="str">
        <f t="shared" si="161"/>
        <v/>
      </c>
      <c r="I1340" s="14" t="str">
        <f t="array" ref="I1340">IF(getRGB1(Weekly!G190)="FFFF00","초방","재방")</f>
        <v>재방</v>
      </c>
    </row>
    <row r="1341" spans="1:9" ht="11.25" customHeight="1" x14ac:dyDescent="0.3">
      <c r="A1341" s="10" t="str">
        <f t="shared" si="158"/>
        <v/>
      </c>
      <c r="B1341" s="11">
        <f>Weekly!$G$3</f>
        <v>45919</v>
      </c>
      <c r="C1341" s="12">
        <v>0.64930555555555503</v>
      </c>
      <c r="D1341" s="13">
        <f>Weekly!G191</f>
        <v>0</v>
      </c>
      <c r="E1341" s="13" t="str">
        <f t="shared" si="159"/>
        <v/>
      </c>
      <c r="F1341" s="13" t="str">
        <f t="shared" si="162"/>
        <v/>
      </c>
      <c r="G1341" s="13" t="str">
        <f t="shared" si="160"/>
        <v/>
      </c>
      <c r="H1341" s="13" t="str">
        <f t="shared" si="161"/>
        <v/>
      </c>
      <c r="I1341" s="14" t="str">
        <f t="array" ref="I1341">IF(getRGB1(Weekly!G191)="FFFF00","초방","재방")</f>
        <v>재방</v>
      </c>
    </row>
    <row r="1342" spans="1:9" ht="11.25" customHeight="1" x14ac:dyDescent="0.3">
      <c r="A1342" s="10" t="str">
        <f t="shared" si="158"/>
        <v/>
      </c>
      <c r="B1342" s="11">
        <f>Weekly!$G$3</f>
        <v>45919</v>
      </c>
      <c r="C1342" s="12">
        <v>0.65277777777777801</v>
      </c>
      <c r="D1342" s="13">
        <f>Weekly!G192</f>
        <v>0</v>
      </c>
      <c r="E1342" s="13" t="str">
        <f t="shared" si="159"/>
        <v/>
      </c>
      <c r="F1342" s="13" t="str">
        <f t="shared" si="162"/>
        <v/>
      </c>
      <c r="G1342" s="13" t="str">
        <f t="shared" si="160"/>
        <v/>
      </c>
      <c r="H1342" s="13" t="str">
        <f t="shared" si="161"/>
        <v/>
      </c>
      <c r="I1342" s="14" t="str">
        <f t="array" ref="I1342">IF(getRGB1(Weekly!G192)="FFFF00","초방","재방")</f>
        <v>재방</v>
      </c>
    </row>
    <row r="1343" spans="1:9" ht="11.25" customHeight="1" x14ac:dyDescent="0.3">
      <c r="A1343" s="10" t="str">
        <f t="shared" si="158"/>
        <v/>
      </c>
      <c r="B1343" s="11">
        <f>Weekly!$G$3</f>
        <v>45919</v>
      </c>
      <c r="C1343" s="12">
        <v>0.65625</v>
      </c>
      <c r="D1343" s="13">
        <f>Weekly!G193</f>
        <v>0</v>
      </c>
      <c r="E1343" s="13" t="str">
        <f t="shared" si="159"/>
        <v/>
      </c>
      <c r="F1343" s="13" t="str">
        <f t="shared" si="162"/>
        <v/>
      </c>
      <c r="G1343" s="13" t="str">
        <f t="shared" si="160"/>
        <v/>
      </c>
      <c r="H1343" s="13" t="str">
        <f t="shared" si="161"/>
        <v/>
      </c>
      <c r="I1343" s="14" t="str">
        <f t="array" ref="I1343">IF(getRGB1(Weekly!G193)="FFFF00","초방","재방")</f>
        <v>재방</v>
      </c>
    </row>
    <row r="1344" spans="1:9" ht="11.25" customHeight="1" x14ac:dyDescent="0.3">
      <c r="A1344" s="10" t="str">
        <f t="shared" si="158"/>
        <v/>
      </c>
      <c r="B1344" s="11">
        <f>Weekly!$G$3</f>
        <v>45919</v>
      </c>
      <c r="C1344" s="12">
        <v>0.65972222222222199</v>
      </c>
      <c r="D1344" s="13">
        <f>Weekly!G194</f>
        <v>0</v>
      </c>
      <c r="E1344" s="13" t="str">
        <f t="shared" si="159"/>
        <v/>
      </c>
      <c r="F1344" s="13" t="str">
        <f t="shared" si="162"/>
        <v/>
      </c>
      <c r="G1344" s="13" t="str">
        <f t="shared" si="160"/>
        <v/>
      </c>
      <c r="H1344" s="13" t="str">
        <f t="shared" si="161"/>
        <v/>
      </c>
      <c r="I1344" s="14" t="str">
        <f t="array" ref="I1344">IF(getRGB1(Weekly!G194)="FFFF00","초방","재방")</f>
        <v>재방</v>
      </c>
    </row>
    <row r="1345" spans="1:9" ht="11.25" customHeight="1" x14ac:dyDescent="0.3">
      <c r="A1345" s="10" t="str">
        <f t="shared" si="158"/>
        <v/>
      </c>
      <c r="B1345" s="11">
        <f>Weekly!$G$3</f>
        <v>45919</v>
      </c>
      <c r="C1345" s="12">
        <v>0.66319444444444398</v>
      </c>
      <c r="D1345" s="13">
        <f>Weekly!G195</f>
        <v>0</v>
      </c>
      <c r="E1345" s="13" t="str">
        <f t="shared" si="159"/>
        <v/>
      </c>
      <c r="F1345" s="13" t="str">
        <f t="shared" si="162"/>
        <v/>
      </c>
      <c r="G1345" s="13" t="str">
        <f t="shared" si="160"/>
        <v/>
      </c>
      <c r="H1345" s="13" t="str">
        <f t="shared" si="161"/>
        <v/>
      </c>
      <c r="I1345" s="14" t="str">
        <f t="array" ref="I1345">IF(getRGB1(Weekly!G195)="FFFF00","초방","재방")</f>
        <v>재방</v>
      </c>
    </row>
    <row r="1346" spans="1:9" ht="11.25" customHeight="1" x14ac:dyDescent="0.3">
      <c r="A1346" s="10">
        <f t="shared" ref="A1346:A1409" si="168">IF(D1346&lt;&gt;0,B1346+C1346,"")</f>
        <v>45919.666666666664</v>
      </c>
      <c r="B1346" s="11">
        <f>Weekly!$G$3</f>
        <v>45919</v>
      </c>
      <c r="C1346" s="12">
        <v>0.66666666666666696</v>
      </c>
      <c r="D1346" s="13" t="str">
        <f>Weekly!G196</f>
        <v xml:space="preserve"> NEWS4
&lt;64</v>
      </c>
      <c r="E1346" s="13" t="str">
        <f t="shared" ref="E1346:E1409" si="169">IFERROR(SUBSTITUTE(SUBSTITUTE(TRIM(LEFT(D1346,FIND("&lt;",D1346)-1)),CHAR(10),""),"⑮ ",""),"")</f>
        <v>NEWS4</v>
      </c>
      <c r="F1346" s="13">
        <f t="shared" si="162"/>
        <v>64</v>
      </c>
      <c r="G1346" s="13" t="str">
        <f t="shared" ref="G1346:G1409" si="170">IFERROR(MID(D1346,FIND("&gt;",D1346)+1,10),"")</f>
        <v/>
      </c>
      <c r="H1346" s="13" t="str">
        <f t="shared" ref="H1346:H1409" si="171">IFERROR(VLOOKUP(LEFT(D1346,2),$W$1:$X$6,2,0),"")</f>
        <v/>
      </c>
      <c r="I1346" s="14" t="str">
        <f t="array" ref="I1346">IF(getRGB1(Weekly!G196)="FFFF00","초방","재방")</f>
        <v>재방</v>
      </c>
    </row>
    <row r="1347" spans="1:9" ht="11.25" customHeight="1" x14ac:dyDescent="0.3">
      <c r="A1347" s="10" t="str">
        <f t="shared" si="168"/>
        <v/>
      </c>
      <c r="B1347" s="11">
        <f>Weekly!$G$3</f>
        <v>45919</v>
      </c>
      <c r="C1347" s="12">
        <v>0.67013888888888895</v>
      </c>
      <c r="D1347" s="13">
        <f>Weekly!G197</f>
        <v>0</v>
      </c>
      <c r="E1347" s="13" t="str">
        <f t="shared" si="169"/>
        <v/>
      </c>
      <c r="F1347" s="13" t="str">
        <f t="shared" ref="F1347:F1410" si="172">IFERROR((MID(D1347,FIND("&lt;",D1347)+1,4))*1,"")</f>
        <v/>
      </c>
      <c r="G1347" s="13" t="str">
        <f t="shared" si="170"/>
        <v/>
      </c>
      <c r="H1347" s="13" t="str">
        <f t="shared" si="171"/>
        <v/>
      </c>
      <c r="I1347" s="14" t="str">
        <f t="array" ref="I1347">IF(getRGB1(Weekly!G197)="FFFF00","초방","재방")</f>
        <v>재방</v>
      </c>
    </row>
    <row r="1348" spans="1:9" ht="11.25" customHeight="1" x14ac:dyDescent="0.3">
      <c r="A1348" s="10" t="str">
        <f t="shared" si="168"/>
        <v/>
      </c>
      <c r="B1348" s="11">
        <f>Weekly!$G$3</f>
        <v>45919</v>
      </c>
      <c r="C1348" s="12">
        <v>0.67361111111111105</v>
      </c>
      <c r="D1348" s="13">
        <f>Weekly!G198</f>
        <v>0</v>
      </c>
      <c r="E1348" s="13" t="str">
        <f t="shared" si="169"/>
        <v/>
      </c>
      <c r="F1348" s="13" t="str">
        <f t="shared" si="172"/>
        <v/>
      </c>
      <c r="G1348" s="13" t="str">
        <f t="shared" si="170"/>
        <v/>
      </c>
      <c r="H1348" s="13" t="str">
        <f t="shared" si="171"/>
        <v/>
      </c>
      <c r="I1348" s="14" t="str">
        <f t="array" ref="I1348">IF(getRGB1(Weekly!G198)="FFFF00","초방","재방")</f>
        <v>재방</v>
      </c>
    </row>
    <row r="1349" spans="1:9" ht="11.25" customHeight="1" x14ac:dyDescent="0.3">
      <c r="A1349" s="10" t="str">
        <f t="shared" si="168"/>
        <v/>
      </c>
      <c r="B1349" s="11">
        <f>Weekly!$G$3</f>
        <v>45919</v>
      </c>
      <c r="C1349" s="12">
        <v>0.67708333333333304</v>
      </c>
      <c r="D1349" s="13">
        <f>Weekly!G199</f>
        <v>0</v>
      </c>
      <c r="E1349" s="13" t="str">
        <f t="shared" si="169"/>
        <v/>
      </c>
      <c r="F1349" s="13" t="str">
        <f t="shared" si="172"/>
        <v/>
      </c>
      <c r="G1349" s="13" t="str">
        <f t="shared" si="170"/>
        <v/>
      </c>
      <c r="H1349" s="13" t="str">
        <f t="shared" si="171"/>
        <v/>
      </c>
      <c r="I1349" s="14" t="str">
        <f t="array" ref="I1349">IF(getRGB1(Weekly!G199)="FFFF00","초방","재방")</f>
        <v>재방</v>
      </c>
    </row>
    <row r="1350" spans="1:9" ht="11.25" customHeight="1" x14ac:dyDescent="0.3">
      <c r="A1350" s="10" t="str">
        <f t="shared" si="168"/>
        <v/>
      </c>
      <c r="B1350" s="11">
        <f>Weekly!$G$3</f>
        <v>45919</v>
      </c>
      <c r="C1350" s="12">
        <v>0.68055555555555503</v>
      </c>
      <c r="D1350" s="13">
        <f>Weekly!G200</f>
        <v>0</v>
      </c>
      <c r="E1350" s="13" t="str">
        <f t="shared" si="169"/>
        <v/>
      </c>
      <c r="F1350" s="13" t="str">
        <f t="shared" si="172"/>
        <v/>
      </c>
      <c r="G1350" s="13" t="str">
        <f t="shared" si="170"/>
        <v/>
      </c>
      <c r="H1350" s="13" t="str">
        <f t="shared" si="171"/>
        <v/>
      </c>
      <c r="I1350" s="14" t="str">
        <f t="array" ref="I1350">IF(getRGB1(Weekly!G200)="FFFF00","초방","재방")</f>
        <v>재방</v>
      </c>
    </row>
    <row r="1351" spans="1:9" ht="11.25" customHeight="1" x14ac:dyDescent="0.3">
      <c r="A1351" s="10" t="str">
        <f t="shared" si="168"/>
        <v/>
      </c>
      <c r="B1351" s="11">
        <f>Weekly!$G$3</f>
        <v>45919</v>
      </c>
      <c r="C1351" s="12">
        <v>0.68402777777777801</v>
      </c>
      <c r="D1351" s="13">
        <f>Weekly!G201</f>
        <v>0</v>
      </c>
      <c r="E1351" s="13" t="str">
        <f t="shared" si="169"/>
        <v/>
      </c>
      <c r="F1351" s="13" t="str">
        <f t="shared" si="172"/>
        <v/>
      </c>
      <c r="G1351" s="13" t="str">
        <f t="shared" si="170"/>
        <v/>
      </c>
      <c r="H1351" s="13" t="str">
        <f t="shared" si="171"/>
        <v/>
      </c>
      <c r="I1351" s="14" t="str">
        <f t="array" ref="I1351">IF(getRGB1(Weekly!G201)="FFFF00","초방","재방")</f>
        <v>재방</v>
      </c>
    </row>
    <row r="1352" spans="1:9" ht="11.25" customHeight="1" x14ac:dyDescent="0.3">
      <c r="A1352" s="10">
        <f t="shared" si="168"/>
        <v>45919.6875</v>
      </c>
      <c r="B1352" s="11">
        <f>Weekly!$G$3</f>
        <v>45919</v>
      </c>
      <c r="C1352" s="12">
        <v>0.6875</v>
      </c>
      <c r="D1352" s="13" t="str">
        <f>Weekly!G202</f>
        <v>호남, 호남人
&lt;133</v>
      </c>
      <c r="E1352" s="13" t="str">
        <f t="shared" si="169"/>
        <v>호남, 호남人</v>
      </c>
      <c r="F1352" s="13">
        <f t="shared" si="172"/>
        <v>133</v>
      </c>
      <c r="G1352" s="13" t="str">
        <f t="shared" si="170"/>
        <v/>
      </c>
      <c r="H1352" s="13" t="str">
        <f t="shared" si="171"/>
        <v/>
      </c>
      <c r="I1352" s="14" t="str">
        <f t="array" ref="I1352">IF(getRGB1(Weekly!G202)="FFFF00","초방","재방")</f>
        <v>재방</v>
      </c>
    </row>
    <row r="1353" spans="1:9" ht="11.25" customHeight="1" x14ac:dyDescent="0.3">
      <c r="A1353" s="10" t="str">
        <f t="shared" si="168"/>
        <v/>
      </c>
      <c r="B1353" s="11">
        <f>Weekly!$G$3</f>
        <v>45919</v>
      </c>
      <c r="C1353" s="12">
        <v>0.69097222222222199</v>
      </c>
      <c r="D1353" s="13">
        <f>Weekly!G203</f>
        <v>0</v>
      </c>
      <c r="E1353" s="13" t="str">
        <f t="shared" si="169"/>
        <v/>
      </c>
      <c r="F1353" s="13" t="str">
        <f t="shared" si="172"/>
        <v/>
      </c>
      <c r="G1353" s="13" t="str">
        <f t="shared" si="170"/>
        <v/>
      </c>
      <c r="H1353" s="13" t="str">
        <f t="shared" si="171"/>
        <v/>
      </c>
      <c r="I1353" s="14" t="str">
        <f t="array" ref="I1353">IF(getRGB1(Weekly!G203)="FFFF00","초방","재방")</f>
        <v>재방</v>
      </c>
    </row>
    <row r="1354" spans="1:9" ht="11.25" customHeight="1" x14ac:dyDescent="0.3">
      <c r="A1354" s="10" t="str">
        <f t="shared" si="168"/>
        <v/>
      </c>
      <c r="B1354" s="11">
        <f>Weekly!$G$3</f>
        <v>45919</v>
      </c>
      <c r="C1354" s="12">
        <v>0.69444444444444398</v>
      </c>
      <c r="D1354" s="13">
        <f>Weekly!G204</f>
        <v>0</v>
      </c>
      <c r="E1354" s="13" t="str">
        <f t="shared" si="169"/>
        <v/>
      </c>
      <c r="F1354" s="13" t="str">
        <f t="shared" si="172"/>
        <v/>
      </c>
      <c r="G1354" s="13" t="str">
        <f t="shared" si="170"/>
        <v/>
      </c>
      <c r="H1354" s="13" t="str">
        <f t="shared" si="171"/>
        <v/>
      </c>
      <c r="I1354" s="14" t="str">
        <f t="array" ref="I1354">IF(getRGB1(Weekly!G204)="FFFF00","초방","재방")</f>
        <v>재방</v>
      </c>
    </row>
    <row r="1355" spans="1:9" ht="11.25" customHeight="1" x14ac:dyDescent="0.3">
      <c r="A1355" s="10" t="str">
        <f t="shared" si="168"/>
        <v/>
      </c>
      <c r="B1355" s="11">
        <f>Weekly!$G$3</f>
        <v>45919</v>
      </c>
      <c r="C1355" s="12">
        <v>0.69791666666666696</v>
      </c>
      <c r="D1355" s="13">
        <f>Weekly!G205</f>
        <v>0</v>
      </c>
      <c r="E1355" s="13" t="str">
        <f t="shared" si="169"/>
        <v/>
      </c>
      <c r="F1355" s="13" t="str">
        <f t="shared" si="172"/>
        <v/>
      </c>
      <c r="G1355" s="13" t="str">
        <f t="shared" si="170"/>
        <v/>
      </c>
      <c r="H1355" s="13" t="str">
        <f t="shared" si="171"/>
        <v/>
      </c>
      <c r="I1355" s="14" t="str">
        <f t="array" ref="I1355">IF(getRGB1(Weekly!G205)="FFFF00","초방","재방")</f>
        <v>재방</v>
      </c>
    </row>
    <row r="1356" spans="1:9" ht="11.25" customHeight="1" x14ac:dyDescent="0.3">
      <c r="A1356" s="10" t="str">
        <f t="shared" si="168"/>
        <v/>
      </c>
      <c r="B1356" s="11">
        <f>Weekly!$G$3</f>
        <v>45919</v>
      </c>
      <c r="C1356" s="12">
        <v>0.70138888888888895</v>
      </c>
      <c r="D1356" s="13">
        <f>Weekly!G206</f>
        <v>0</v>
      </c>
      <c r="E1356" s="13" t="str">
        <f t="shared" si="169"/>
        <v/>
      </c>
      <c r="F1356" s="13" t="str">
        <f t="shared" si="172"/>
        <v/>
      </c>
      <c r="G1356" s="13" t="str">
        <f t="shared" si="170"/>
        <v/>
      </c>
      <c r="H1356" s="13" t="str">
        <f t="shared" si="171"/>
        <v/>
      </c>
      <c r="I1356" s="14" t="str">
        <f t="array" ref="I1356">IF(getRGB1(Weekly!G206)="FFFF00","초방","재방")</f>
        <v>재방</v>
      </c>
    </row>
    <row r="1357" spans="1:9" ht="11.25" customHeight="1" x14ac:dyDescent="0.3">
      <c r="A1357" s="10" t="str">
        <f t="shared" si="168"/>
        <v/>
      </c>
      <c r="B1357" s="11">
        <f>Weekly!$G$3</f>
        <v>45919</v>
      </c>
      <c r="C1357" s="12">
        <v>0.70486111111111105</v>
      </c>
      <c r="D1357" s="13">
        <f>Weekly!G207</f>
        <v>0</v>
      </c>
      <c r="E1357" s="13" t="str">
        <f t="shared" si="169"/>
        <v/>
      </c>
      <c r="F1357" s="13" t="str">
        <f t="shared" si="172"/>
        <v/>
      </c>
      <c r="G1357" s="13" t="str">
        <f t="shared" si="170"/>
        <v/>
      </c>
      <c r="H1357" s="13" t="str">
        <f t="shared" si="171"/>
        <v/>
      </c>
      <c r="I1357" s="14" t="str">
        <f t="array" ref="I1357">IF(getRGB1(Weekly!G207)="FFFF00","초방","재방")</f>
        <v>재방</v>
      </c>
    </row>
    <row r="1358" spans="1:9" ht="11.25" customHeight="1" x14ac:dyDescent="0.3">
      <c r="A1358" s="10">
        <f t="shared" si="168"/>
        <v>45919.708333333336</v>
      </c>
      <c r="B1358" s="11">
        <f>Weekly!$G$3</f>
        <v>45919</v>
      </c>
      <c r="C1358" s="12">
        <v>0.70833333333333304</v>
      </c>
      <c r="D1358" s="13" t="str">
        <f>Weekly!G208</f>
        <v>특집 2026 지방선거_경기도의회 생생중계_상임위
&lt;18</v>
      </c>
      <c r="E1358" s="13" t="str">
        <f t="shared" si="169"/>
        <v>특집 2026 지방선거_경기도의회 생생중계_상임위</v>
      </c>
      <c r="F1358" s="13">
        <f t="shared" si="172"/>
        <v>18</v>
      </c>
      <c r="G1358" s="13" t="str">
        <f t="shared" si="170"/>
        <v/>
      </c>
      <c r="H1358" s="13" t="str">
        <f t="shared" si="171"/>
        <v/>
      </c>
      <c r="I1358" s="14" t="str">
        <f t="array" ref="I1358">IF(getRGB1(Weekly!G208)="FFFF00","초방","재방")</f>
        <v>초방</v>
      </c>
    </row>
    <row r="1359" spans="1:9" ht="11.25" customHeight="1" x14ac:dyDescent="0.3">
      <c r="A1359" s="10" t="str">
        <f t="shared" si="168"/>
        <v/>
      </c>
      <c r="B1359" s="11">
        <f>Weekly!$G$3</f>
        <v>45919</v>
      </c>
      <c r="C1359" s="12">
        <v>0.71180555555555503</v>
      </c>
      <c r="D1359" s="13">
        <f>Weekly!G209</f>
        <v>0</v>
      </c>
      <c r="E1359" s="13" t="str">
        <f t="shared" si="169"/>
        <v/>
      </c>
      <c r="F1359" s="13" t="str">
        <f t="shared" si="172"/>
        <v/>
      </c>
      <c r="G1359" s="13" t="str">
        <f t="shared" si="170"/>
        <v/>
      </c>
      <c r="H1359" s="13" t="str">
        <f t="shared" si="171"/>
        <v/>
      </c>
      <c r="I1359" s="14" t="str">
        <f t="array" ref="I1359">IF(getRGB1(Weekly!G209)="FFFF00","초방","재방")</f>
        <v>초방</v>
      </c>
    </row>
    <row r="1360" spans="1:9" ht="11.25" customHeight="1" x14ac:dyDescent="0.3">
      <c r="A1360" s="10" t="str">
        <f t="shared" si="168"/>
        <v/>
      </c>
      <c r="B1360" s="11">
        <f>Weekly!$G$3</f>
        <v>45919</v>
      </c>
      <c r="C1360" s="12">
        <v>0.71527777777777801</v>
      </c>
      <c r="D1360" s="13">
        <f>Weekly!G210</f>
        <v>0</v>
      </c>
      <c r="E1360" s="13" t="str">
        <f t="shared" si="169"/>
        <v/>
      </c>
      <c r="F1360" s="13" t="str">
        <f t="shared" si="172"/>
        <v/>
      </c>
      <c r="G1360" s="13" t="str">
        <f t="shared" si="170"/>
        <v/>
      </c>
      <c r="H1360" s="13" t="str">
        <f t="shared" si="171"/>
        <v/>
      </c>
      <c r="I1360" s="14" t="str">
        <f t="array" ref="I1360">IF(getRGB1(Weekly!G210)="FFFF00","초방","재방")</f>
        <v>초방</v>
      </c>
    </row>
    <row r="1361" spans="1:9" ht="11.25" customHeight="1" x14ac:dyDescent="0.3">
      <c r="A1361" s="10" t="str">
        <f t="shared" si="168"/>
        <v/>
      </c>
      <c r="B1361" s="11">
        <f>Weekly!$G$3</f>
        <v>45919</v>
      </c>
      <c r="C1361" s="12">
        <v>0.71875</v>
      </c>
      <c r="D1361" s="13">
        <f>Weekly!G211</f>
        <v>0</v>
      </c>
      <c r="E1361" s="13" t="str">
        <f t="shared" si="169"/>
        <v/>
      </c>
      <c r="F1361" s="13" t="str">
        <f t="shared" si="172"/>
        <v/>
      </c>
      <c r="G1361" s="13" t="str">
        <f t="shared" si="170"/>
        <v/>
      </c>
      <c r="H1361" s="13" t="str">
        <f t="shared" si="171"/>
        <v/>
      </c>
      <c r="I1361" s="14" t="str">
        <f t="array" ref="I1361">IF(getRGB1(Weekly!G211)="FFFF00","초방","재방")</f>
        <v>초방</v>
      </c>
    </row>
    <row r="1362" spans="1:9" ht="11.25" customHeight="1" x14ac:dyDescent="0.3">
      <c r="A1362" s="10" t="str">
        <f t="shared" si="168"/>
        <v/>
      </c>
      <c r="B1362" s="11">
        <f>Weekly!$G$3</f>
        <v>45919</v>
      </c>
      <c r="C1362" s="12">
        <v>0.72222222222222199</v>
      </c>
      <c r="D1362" s="13">
        <f>Weekly!G212</f>
        <v>0</v>
      </c>
      <c r="E1362" s="13" t="str">
        <f t="shared" si="169"/>
        <v/>
      </c>
      <c r="F1362" s="13" t="str">
        <f t="shared" si="172"/>
        <v/>
      </c>
      <c r="G1362" s="13" t="str">
        <f t="shared" si="170"/>
        <v/>
      </c>
      <c r="H1362" s="13" t="str">
        <f t="shared" si="171"/>
        <v/>
      </c>
      <c r="I1362" s="14" t="str">
        <f t="array" ref="I1362">IF(getRGB1(Weekly!G212)="FFFF00","초방","재방")</f>
        <v>초방</v>
      </c>
    </row>
    <row r="1363" spans="1:9" ht="11.25" customHeight="1" x14ac:dyDescent="0.3">
      <c r="A1363" s="10" t="str">
        <f t="shared" si="168"/>
        <v/>
      </c>
      <c r="B1363" s="11">
        <f>Weekly!$G$3</f>
        <v>45919</v>
      </c>
      <c r="C1363" s="12">
        <v>0.72569444444444398</v>
      </c>
      <c r="D1363" s="13">
        <f>Weekly!G213</f>
        <v>0</v>
      </c>
      <c r="E1363" s="13" t="str">
        <f t="shared" si="169"/>
        <v/>
      </c>
      <c r="F1363" s="13" t="str">
        <f t="shared" si="172"/>
        <v/>
      </c>
      <c r="G1363" s="13" t="str">
        <f t="shared" si="170"/>
        <v/>
      </c>
      <c r="H1363" s="13" t="str">
        <f t="shared" si="171"/>
        <v/>
      </c>
      <c r="I1363" s="14" t="str">
        <f t="array" ref="I1363">IF(getRGB1(Weekly!G213)="FFFF00","초방","재방")</f>
        <v>초방</v>
      </c>
    </row>
    <row r="1364" spans="1:9" ht="11.25" customHeight="1" x14ac:dyDescent="0.3">
      <c r="A1364" s="10" t="str">
        <f t="shared" si="168"/>
        <v/>
      </c>
      <c r="B1364" s="11">
        <f>Weekly!$G$3</f>
        <v>45919</v>
      </c>
      <c r="C1364" s="12">
        <v>0.72916666666666696</v>
      </c>
      <c r="D1364" s="13">
        <f>Weekly!G214</f>
        <v>0</v>
      </c>
      <c r="E1364" s="13" t="str">
        <f t="shared" si="169"/>
        <v/>
      </c>
      <c r="F1364" s="13" t="str">
        <f t="shared" si="172"/>
        <v/>
      </c>
      <c r="G1364" s="13" t="str">
        <f t="shared" si="170"/>
        <v/>
      </c>
      <c r="H1364" s="13" t="str">
        <f t="shared" si="171"/>
        <v/>
      </c>
      <c r="I1364" s="14" t="str">
        <f t="array" ref="I1364">IF(getRGB1(Weekly!G214)="FFFF00","초방","재방")</f>
        <v>초방</v>
      </c>
    </row>
    <row r="1365" spans="1:9" ht="11.25" customHeight="1" x14ac:dyDescent="0.3">
      <c r="A1365" s="10" t="str">
        <f t="shared" si="168"/>
        <v/>
      </c>
      <c r="B1365" s="11">
        <f>Weekly!$G$3</f>
        <v>45919</v>
      </c>
      <c r="C1365" s="12">
        <v>0.73263888888888895</v>
      </c>
      <c r="D1365" s="13">
        <f>Weekly!G215</f>
        <v>0</v>
      </c>
      <c r="E1365" s="13" t="str">
        <f t="shared" si="169"/>
        <v/>
      </c>
      <c r="F1365" s="13" t="str">
        <f t="shared" si="172"/>
        <v/>
      </c>
      <c r="G1365" s="13" t="str">
        <f t="shared" si="170"/>
        <v/>
      </c>
      <c r="H1365" s="13" t="str">
        <f t="shared" si="171"/>
        <v/>
      </c>
      <c r="I1365" s="14" t="str">
        <f t="array" ref="I1365">IF(getRGB1(Weekly!G215)="FFFF00","초방","재방")</f>
        <v>초방</v>
      </c>
    </row>
    <row r="1366" spans="1:9" ht="11.25" customHeight="1" x14ac:dyDescent="0.3">
      <c r="A1366" s="10" t="str">
        <f t="shared" si="168"/>
        <v/>
      </c>
      <c r="B1366" s="11">
        <f>Weekly!$G$3</f>
        <v>45919</v>
      </c>
      <c r="C1366" s="12">
        <v>0.73611111111111105</v>
      </c>
      <c r="D1366" s="13">
        <f>Weekly!G216</f>
        <v>0</v>
      </c>
      <c r="E1366" s="13" t="str">
        <f t="shared" si="169"/>
        <v/>
      </c>
      <c r="F1366" s="13" t="str">
        <f t="shared" si="172"/>
        <v/>
      </c>
      <c r="G1366" s="13" t="str">
        <f t="shared" si="170"/>
        <v/>
      </c>
      <c r="H1366" s="13" t="str">
        <f t="shared" si="171"/>
        <v/>
      </c>
      <c r="I1366" s="14" t="str">
        <f t="array" ref="I1366">IF(getRGB1(Weekly!G216)="FFFF00","초방","재방")</f>
        <v>초방</v>
      </c>
    </row>
    <row r="1367" spans="1:9" ht="11.25" customHeight="1" x14ac:dyDescent="0.3">
      <c r="A1367" s="10" t="str">
        <f t="shared" si="168"/>
        <v/>
      </c>
      <c r="B1367" s="11">
        <f>Weekly!$G$3</f>
        <v>45919</v>
      </c>
      <c r="C1367" s="12">
        <v>0.73958333333333304</v>
      </c>
      <c r="D1367" s="13">
        <f>Weekly!G217</f>
        <v>0</v>
      </c>
      <c r="E1367" s="13" t="str">
        <f t="shared" si="169"/>
        <v/>
      </c>
      <c r="F1367" s="13" t="str">
        <f t="shared" si="172"/>
        <v/>
      </c>
      <c r="G1367" s="13" t="str">
        <f t="shared" si="170"/>
        <v/>
      </c>
      <c r="H1367" s="13" t="str">
        <f t="shared" si="171"/>
        <v/>
      </c>
      <c r="I1367" s="14" t="str">
        <f t="array" ref="I1367">IF(getRGB1(Weekly!G217)="FFFF00","초방","재방")</f>
        <v>초방</v>
      </c>
    </row>
    <row r="1368" spans="1:9" ht="11.25" customHeight="1" x14ac:dyDescent="0.3">
      <c r="A1368" s="10" t="str">
        <f t="shared" si="168"/>
        <v/>
      </c>
      <c r="B1368" s="11">
        <f>Weekly!$G$3</f>
        <v>45919</v>
      </c>
      <c r="C1368" s="12">
        <v>0.74305555555555503</v>
      </c>
      <c r="D1368" s="13">
        <f>Weekly!G218</f>
        <v>0</v>
      </c>
      <c r="E1368" s="13" t="str">
        <f t="shared" si="169"/>
        <v/>
      </c>
      <c r="F1368" s="13" t="str">
        <f t="shared" si="172"/>
        <v/>
      </c>
      <c r="G1368" s="13" t="str">
        <f t="shared" si="170"/>
        <v/>
      </c>
      <c r="H1368" s="13" t="str">
        <f t="shared" si="171"/>
        <v/>
      </c>
      <c r="I1368" s="14" t="str">
        <f t="array" ref="I1368">IF(getRGB1(Weekly!G218)="FFFF00","초방","재방")</f>
        <v>초방</v>
      </c>
    </row>
    <row r="1369" spans="1:9" ht="11.25" customHeight="1" x14ac:dyDescent="0.3">
      <c r="A1369" s="10" t="str">
        <f t="shared" si="168"/>
        <v/>
      </c>
      <c r="B1369" s="11">
        <f>Weekly!$G$3</f>
        <v>45919</v>
      </c>
      <c r="C1369" s="12">
        <v>0.74652777777777801</v>
      </c>
      <c r="D1369" s="13">
        <f>Weekly!G219</f>
        <v>0</v>
      </c>
      <c r="E1369" s="13" t="str">
        <f t="shared" si="169"/>
        <v/>
      </c>
      <c r="F1369" s="13" t="str">
        <f t="shared" si="172"/>
        <v/>
      </c>
      <c r="G1369" s="13" t="str">
        <f t="shared" si="170"/>
        <v/>
      </c>
      <c r="H1369" s="13" t="str">
        <f t="shared" si="171"/>
        <v/>
      </c>
      <c r="I1369" s="14" t="str">
        <f t="array" ref="I1369">IF(getRGB1(Weekly!G219)="FFFF00","초방","재방")</f>
        <v>초방</v>
      </c>
    </row>
    <row r="1370" spans="1:9" ht="11.25" customHeight="1" x14ac:dyDescent="0.3">
      <c r="A1370" s="10">
        <f t="shared" si="168"/>
        <v>45919.75</v>
      </c>
      <c r="B1370" s="11">
        <f>Weekly!$G$3</f>
        <v>45919</v>
      </c>
      <c r="C1370" s="12">
        <v>0.75</v>
      </c>
      <c r="D1370" s="13" t="str">
        <f>Weekly!G220</f>
        <v>지방자치단체장 인터뷰
&lt;47</v>
      </c>
      <c r="E1370" s="13" t="str">
        <f t="shared" si="169"/>
        <v>지방자치단체장 인터뷰</v>
      </c>
      <c r="F1370" s="13">
        <f t="shared" si="172"/>
        <v>47</v>
      </c>
      <c r="G1370" s="13" t="str">
        <f t="shared" si="170"/>
        <v/>
      </c>
      <c r="H1370" s="13" t="str">
        <f t="shared" si="171"/>
        <v/>
      </c>
      <c r="I1370" s="14" t="str">
        <f t="array" ref="I1370">IF(getRGB1(Weekly!G220)="FFFF00","초방","재방")</f>
        <v>초방</v>
      </c>
    </row>
    <row r="1371" spans="1:9" ht="11.25" customHeight="1" x14ac:dyDescent="0.3">
      <c r="A1371" s="10" t="str">
        <f t="shared" si="168"/>
        <v/>
      </c>
      <c r="B1371" s="11">
        <f>Weekly!$G$3</f>
        <v>45919</v>
      </c>
      <c r="C1371" s="12">
        <v>0.75347222222222199</v>
      </c>
      <c r="D1371" s="13">
        <f>Weekly!G221</f>
        <v>0</v>
      </c>
      <c r="E1371" s="13" t="str">
        <f t="shared" si="169"/>
        <v/>
      </c>
      <c r="F1371" s="13" t="str">
        <f t="shared" si="172"/>
        <v/>
      </c>
      <c r="G1371" s="13" t="str">
        <f t="shared" si="170"/>
        <v/>
      </c>
      <c r="H1371" s="13" t="str">
        <f t="shared" si="171"/>
        <v/>
      </c>
      <c r="I1371" s="14" t="str">
        <f t="array" ref="I1371">IF(getRGB1(Weekly!G221)="FFFF00","초방","재방")</f>
        <v>초방</v>
      </c>
    </row>
    <row r="1372" spans="1:9" ht="11.25" customHeight="1" x14ac:dyDescent="0.3">
      <c r="A1372" s="10" t="str">
        <f t="shared" si="168"/>
        <v/>
      </c>
      <c r="B1372" s="11">
        <f>Weekly!$G$3</f>
        <v>45919</v>
      </c>
      <c r="C1372" s="12">
        <v>0.75694444444444398</v>
      </c>
      <c r="D1372" s="13">
        <f>Weekly!G222</f>
        <v>0</v>
      </c>
      <c r="E1372" s="13" t="str">
        <f t="shared" si="169"/>
        <v/>
      </c>
      <c r="F1372" s="13" t="str">
        <f t="shared" si="172"/>
        <v/>
      </c>
      <c r="G1372" s="13" t="str">
        <f t="shared" si="170"/>
        <v/>
      </c>
      <c r="H1372" s="13" t="str">
        <f t="shared" si="171"/>
        <v/>
      </c>
      <c r="I1372" s="14" t="str">
        <f t="array" ref="I1372">IF(getRGB1(Weekly!G222)="FFFF00","초방","재방")</f>
        <v>초방</v>
      </c>
    </row>
    <row r="1373" spans="1:9" ht="11.25" customHeight="1" x14ac:dyDescent="0.3">
      <c r="A1373" s="10" t="str">
        <f t="shared" si="168"/>
        <v/>
      </c>
      <c r="B1373" s="11">
        <f>Weekly!$G$3</f>
        <v>45919</v>
      </c>
      <c r="C1373" s="12">
        <v>0.76041666666666696</v>
      </c>
      <c r="D1373" s="13">
        <f>Weekly!G223</f>
        <v>0</v>
      </c>
      <c r="E1373" s="13" t="str">
        <f t="shared" si="169"/>
        <v/>
      </c>
      <c r="F1373" s="13" t="str">
        <f t="shared" si="172"/>
        <v/>
      </c>
      <c r="G1373" s="13" t="str">
        <f t="shared" si="170"/>
        <v/>
      </c>
      <c r="H1373" s="13" t="str">
        <f t="shared" si="171"/>
        <v/>
      </c>
      <c r="I1373" s="14" t="str">
        <f t="array" ref="I1373">IF(getRGB1(Weekly!G223)="FFFF00","초방","재방")</f>
        <v>초방</v>
      </c>
    </row>
    <row r="1374" spans="1:9" ht="11.25" customHeight="1" x14ac:dyDescent="0.3">
      <c r="A1374" s="10" t="str">
        <f t="shared" si="168"/>
        <v/>
      </c>
      <c r="B1374" s="11">
        <f>Weekly!$G$3</f>
        <v>45919</v>
      </c>
      <c r="C1374" s="12">
        <v>0.76388888888888895</v>
      </c>
      <c r="D1374" s="13">
        <f>Weekly!G224</f>
        <v>0</v>
      </c>
      <c r="E1374" s="13" t="str">
        <f t="shared" si="169"/>
        <v/>
      </c>
      <c r="F1374" s="13" t="str">
        <f t="shared" si="172"/>
        <v/>
      </c>
      <c r="G1374" s="13" t="str">
        <f t="shared" si="170"/>
        <v/>
      </c>
      <c r="H1374" s="13" t="str">
        <f t="shared" si="171"/>
        <v/>
      </c>
      <c r="I1374" s="14" t="str">
        <f t="array" ref="I1374">IF(getRGB1(Weekly!G224)="FFFF00","초방","재방")</f>
        <v>초방</v>
      </c>
    </row>
    <row r="1375" spans="1:9" ht="11.25" customHeight="1" x14ac:dyDescent="0.3">
      <c r="A1375" s="10" t="str">
        <f t="shared" si="168"/>
        <v/>
      </c>
      <c r="B1375" s="11">
        <f>Weekly!$G$3</f>
        <v>45919</v>
      </c>
      <c r="C1375" s="12">
        <v>0.76736111111111105</v>
      </c>
      <c r="D1375" s="13">
        <f>Weekly!G225</f>
        <v>0</v>
      </c>
      <c r="E1375" s="13" t="str">
        <f t="shared" si="169"/>
        <v/>
      </c>
      <c r="F1375" s="13" t="str">
        <f t="shared" si="172"/>
        <v/>
      </c>
      <c r="G1375" s="13" t="str">
        <f t="shared" si="170"/>
        <v/>
      </c>
      <c r="H1375" s="13" t="str">
        <f t="shared" si="171"/>
        <v/>
      </c>
      <c r="I1375" s="14" t="str">
        <f t="array" ref="I1375">IF(getRGB1(Weekly!G225)="FFFF00","초방","재방")</f>
        <v>초방</v>
      </c>
    </row>
    <row r="1376" spans="1:9" ht="11.25" customHeight="1" x14ac:dyDescent="0.3">
      <c r="A1376" s="10">
        <f t="shared" si="168"/>
        <v>45919.770833333336</v>
      </c>
      <c r="B1376" s="11">
        <f>Weekly!$G$3</f>
        <v>45919</v>
      </c>
      <c r="C1376" s="12">
        <v>0.77083333333333304</v>
      </c>
      <c r="D1376" s="13" t="str">
        <f>Weekly!G226</f>
        <v>더 人터뷰
&lt;54</v>
      </c>
      <c r="E1376" s="13" t="str">
        <f t="shared" si="169"/>
        <v>더 人터뷰</v>
      </c>
      <c r="F1376" s="13">
        <f t="shared" si="172"/>
        <v>54</v>
      </c>
      <c r="G1376" s="13" t="str">
        <f t="shared" si="170"/>
        <v/>
      </c>
      <c r="H1376" s="13" t="str">
        <f t="shared" si="171"/>
        <v/>
      </c>
      <c r="I1376" s="14" t="str">
        <f t="array" ref="I1376">IF(getRGB1(Weekly!G226)="FFFF00","초방","재방")</f>
        <v>재방</v>
      </c>
    </row>
    <row r="1377" spans="1:9" ht="11.25" customHeight="1" x14ac:dyDescent="0.3">
      <c r="A1377" s="10" t="str">
        <f t="shared" si="168"/>
        <v/>
      </c>
      <c r="B1377" s="11">
        <f>Weekly!$G$3</f>
        <v>45919</v>
      </c>
      <c r="C1377" s="12">
        <v>0.77430555555555503</v>
      </c>
      <c r="D1377" s="13">
        <f>Weekly!G227</f>
        <v>0</v>
      </c>
      <c r="E1377" s="13" t="str">
        <f t="shared" si="169"/>
        <v/>
      </c>
      <c r="F1377" s="13" t="str">
        <f t="shared" si="172"/>
        <v/>
      </c>
      <c r="G1377" s="13" t="str">
        <f t="shared" si="170"/>
        <v/>
      </c>
      <c r="H1377" s="13" t="str">
        <f t="shared" si="171"/>
        <v/>
      </c>
      <c r="I1377" s="14" t="str">
        <f t="array" ref="I1377">IF(getRGB1(Weekly!G227)="FFFF00","초방","재방")</f>
        <v>재방</v>
      </c>
    </row>
    <row r="1378" spans="1:9" ht="11.25" customHeight="1" x14ac:dyDescent="0.3">
      <c r="A1378" s="10" t="str">
        <f t="shared" si="168"/>
        <v/>
      </c>
      <c r="B1378" s="11">
        <f>Weekly!$G$3</f>
        <v>45919</v>
      </c>
      <c r="C1378" s="12">
        <v>0.77777777777777801</v>
      </c>
      <c r="D1378" s="13">
        <f>Weekly!G228</f>
        <v>0</v>
      </c>
      <c r="E1378" s="13" t="str">
        <f t="shared" si="169"/>
        <v/>
      </c>
      <c r="F1378" s="13" t="str">
        <f t="shared" si="172"/>
        <v/>
      </c>
      <c r="G1378" s="13" t="str">
        <f t="shared" si="170"/>
        <v/>
      </c>
      <c r="H1378" s="13" t="str">
        <f t="shared" si="171"/>
        <v/>
      </c>
      <c r="I1378" s="14" t="str">
        <f t="array" ref="I1378">IF(getRGB1(Weekly!G228)="FFFF00","초방","재방")</f>
        <v>재방</v>
      </c>
    </row>
    <row r="1379" spans="1:9" ht="11.25" customHeight="1" x14ac:dyDescent="0.3">
      <c r="A1379" s="10" t="str">
        <f t="shared" si="168"/>
        <v/>
      </c>
      <c r="B1379" s="11">
        <f>Weekly!$G$3</f>
        <v>45919</v>
      </c>
      <c r="C1379" s="12">
        <v>0.78125</v>
      </c>
      <c r="D1379" s="13">
        <f>Weekly!G229</f>
        <v>0</v>
      </c>
      <c r="E1379" s="13" t="str">
        <f t="shared" si="169"/>
        <v/>
      </c>
      <c r="F1379" s="13" t="str">
        <f t="shared" si="172"/>
        <v/>
      </c>
      <c r="G1379" s="13" t="str">
        <f t="shared" si="170"/>
        <v/>
      </c>
      <c r="H1379" s="13" t="str">
        <f t="shared" si="171"/>
        <v/>
      </c>
      <c r="I1379" s="14" t="str">
        <f t="array" ref="I1379">IF(getRGB1(Weekly!G229)="FFFF00","초방","재방")</f>
        <v>재방</v>
      </c>
    </row>
    <row r="1380" spans="1:9" ht="11.25" customHeight="1" x14ac:dyDescent="0.3">
      <c r="A1380" s="10" t="str">
        <f t="shared" si="168"/>
        <v/>
      </c>
      <c r="B1380" s="11">
        <f>Weekly!$G$3</f>
        <v>45919</v>
      </c>
      <c r="C1380" s="12">
        <v>0.78472222222222199</v>
      </c>
      <c r="D1380" s="13">
        <f>Weekly!G230</f>
        <v>0</v>
      </c>
      <c r="E1380" s="13" t="str">
        <f t="shared" si="169"/>
        <v/>
      </c>
      <c r="F1380" s="13" t="str">
        <f t="shared" si="172"/>
        <v/>
      </c>
      <c r="G1380" s="13" t="str">
        <f t="shared" si="170"/>
        <v/>
      </c>
      <c r="H1380" s="13" t="str">
        <f t="shared" si="171"/>
        <v/>
      </c>
      <c r="I1380" s="14" t="str">
        <f t="array" ref="I1380">IF(getRGB1(Weekly!G230)="FFFF00","초방","재방")</f>
        <v>재방</v>
      </c>
    </row>
    <row r="1381" spans="1:9" ht="11.25" customHeight="1" x14ac:dyDescent="0.3">
      <c r="A1381" s="10" t="str">
        <f t="shared" si="168"/>
        <v/>
      </c>
      <c r="B1381" s="11">
        <f>Weekly!$G$3</f>
        <v>45919</v>
      </c>
      <c r="C1381" s="12">
        <v>0.78819444444444398</v>
      </c>
      <c r="D1381" s="13">
        <f>Weekly!G231</f>
        <v>0</v>
      </c>
      <c r="E1381" s="13" t="str">
        <f t="shared" si="169"/>
        <v/>
      </c>
      <c r="F1381" s="13" t="str">
        <f t="shared" si="172"/>
        <v/>
      </c>
      <c r="G1381" s="13" t="str">
        <f t="shared" si="170"/>
        <v/>
      </c>
      <c r="H1381" s="13" t="str">
        <f t="shared" si="171"/>
        <v/>
      </c>
      <c r="I1381" s="14" t="str">
        <f t="array" ref="I1381">IF(getRGB1(Weekly!G231)="FFFF00","초방","재방")</f>
        <v>재방</v>
      </c>
    </row>
    <row r="1382" spans="1:9" ht="11.25" customHeight="1" x14ac:dyDescent="0.3">
      <c r="A1382" s="10">
        <f t="shared" si="168"/>
        <v>45919.791666666664</v>
      </c>
      <c r="B1382" s="11">
        <f>Weekly!$G$3</f>
        <v>45919</v>
      </c>
      <c r="C1382" s="12">
        <v>0.79166666666666696</v>
      </c>
      <c r="D1382" s="13" t="str">
        <f>Weekly!G232</f>
        <v>뉴스와이드
&lt;436</v>
      </c>
      <c r="E1382" s="13" t="str">
        <f t="shared" si="169"/>
        <v>뉴스와이드</v>
      </c>
      <c r="F1382" s="13">
        <f t="shared" si="172"/>
        <v>436</v>
      </c>
      <c r="G1382" s="13" t="str">
        <f t="shared" si="170"/>
        <v/>
      </c>
      <c r="H1382" s="13" t="str">
        <f t="shared" si="171"/>
        <v/>
      </c>
      <c r="I1382" s="14" t="str">
        <f t="array" ref="I1382">IF(getRGB1(Weekly!G232)="FFFF00","초방","재방")</f>
        <v>초방</v>
      </c>
    </row>
    <row r="1383" spans="1:9" ht="11.25" customHeight="1" x14ac:dyDescent="0.3">
      <c r="A1383" s="10" t="str">
        <f t="shared" si="168"/>
        <v/>
      </c>
      <c r="B1383" s="11">
        <f>Weekly!$G$3</f>
        <v>45919</v>
      </c>
      <c r="C1383" s="12">
        <v>0.79513888888888895</v>
      </c>
      <c r="D1383" s="13">
        <f>Weekly!G233</f>
        <v>0</v>
      </c>
      <c r="E1383" s="13" t="str">
        <f t="shared" si="169"/>
        <v/>
      </c>
      <c r="F1383" s="13" t="str">
        <f t="shared" si="172"/>
        <v/>
      </c>
      <c r="G1383" s="13" t="str">
        <f t="shared" si="170"/>
        <v/>
      </c>
      <c r="H1383" s="13" t="str">
        <f t="shared" si="171"/>
        <v/>
      </c>
      <c r="I1383" s="14" t="str">
        <f t="array" ref="I1383">IF(getRGB1(Weekly!G233)="FFFF00","초방","재방")</f>
        <v>초방</v>
      </c>
    </row>
    <row r="1384" spans="1:9" ht="11.25" customHeight="1" x14ac:dyDescent="0.3">
      <c r="A1384" s="10" t="str">
        <f t="shared" si="168"/>
        <v/>
      </c>
      <c r="B1384" s="11">
        <f>Weekly!$G$3</f>
        <v>45919</v>
      </c>
      <c r="C1384" s="12">
        <v>0.79861111111111105</v>
      </c>
      <c r="D1384" s="13">
        <f>Weekly!G234</f>
        <v>0</v>
      </c>
      <c r="E1384" s="13" t="str">
        <f t="shared" si="169"/>
        <v/>
      </c>
      <c r="F1384" s="13" t="str">
        <f t="shared" si="172"/>
        <v/>
      </c>
      <c r="G1384" s="13" t="str">
        <f t="shared" si="170"/>
        <v/>
      </c>
      <c r="H1384" s="13" t="str">
        <f t="shared" si="171"/>
        <v/>
      </c>
      <c r="I1384" s="14" t="str">
        <f t="array" ref="I1384">IF(getRGB1(Weekly!G234)="FFFF00","초방","재방")</f>
        <v>초방</v>
      </c>
    </row>
    <row r="1385" spans="1:9" ht="11.25" customHeight="1" x14ac:dyDescent="0.3">
      <c r="A1385" s="10" t="str">
        <f t="shared" si="168"/>
        <v/>
      </c>
      <c r="B1385" s="11">
        <f>Weekly!$G$3</f>
        <v>45919</v>
      </c>
      <c r="C1385" s="12">
        <v>0.80208333333333304</v>
      </c>
      <c r="D1385" s="13">
        <f>Weekly!G235</f>
        <v>0</v>
      </c>
      <c r="E1385" s="13" t="str">
        <f t="shared" si="169"/>
        <v/>
      </c>
      <c r="F1385" s="13" t="str">
        <f t="shared" si="172"/>
        <v/>
      </c>
      <c r="G1385" s="13" t="str">
        <f t="shared" si="170"/>
        <v/>
      </c>
      <c r="H1385" s="13" t="str">
        <f t="shared" si="171"/>
        <v/>
      </c>
      <c r="I1385" s="14" t="str">
        <f t="array" ref="I1385">IF(getRGB1(Weekly!G235)="FFFF00","초방","재방")</f>
        <v>초방</v>
      </c>
    </row>
    <row r="1386" spans="1:9" ht="11.25" customHeight="1" x14ac:dyDescent="0.3">
      <c r="A1386" s="10" t="str">
        <f t="shared" si="168"/>
        <v/>
      </c>
      <c r="B1386" s="11">
        <f>Weekly!$G$3</f>
        <v>45919</v>
      </c>
      <c r="C1386" s="12">
        <v>0.80555555555555503</v>
      </c>
      <c r="D1386" s="13">
        <f>Weekly!G236</f>
        <v>0</v>
      </c>
      <c r="E1386" s="13" t="str">
        <f t="shared" si="169"/>
        <v/>
      </c>
      <c r="F1386" s="13" t="str">
        <f t="shared" si="172"/>
        <v/>
      </c>
      <c r="G1386" s="13" t="str">
        <f t="shared" si="170"/>
        <v/>
      </c>
      <c r="H1386" s="13" t="str">
        <f t="shared" si="171"/>
        <v/>
      </c>
      <c r="I1386" s="14" t="str">
        <f t="array" ref="I1386">IF(getRGB1(Weekly!G236)="FFFF00","초방","재방")</f>
        <v>초방</v>
      </c>
    </row>
    <row r="1387" spans="1:9" ht="11.25" customHeight="1" x14ac:dyDescent="0.3">
      <c r="A1387" s="10" t="str">
        <f t="shared" si="168"/>
        <v/>
      </c>
      <c r="B1387" s="11">
        <f>Weekly!$G$3</f>
        <v>45919</v>
      </c>
      <c r="C1387" s="12">
        <v>0.80902777777777801</v>
      </c>
      <c r="D1387" s="13">
        <f>Weekly!G237</f>
        <v>0</v>
      </c>
      <c r="E1387" s="13" t="str">
        <f t="shared" si="169"/>
        <v/>
      </c>
      <c r="F1387" s="13" t="str">
        <f t="shared" si="172"/>
        <v/>
      </c>
      <c r="G1387" s="13" t="str">
        <f t="shared" si="170"/>
        <v/>
      </c>
      <c r="H1387" s="13" t="str">
        <f t="shared" si="171"/>
        <v/>
      </c>
      <c r="I1387" s="14" t="str">
        <f t="array" ref="I1387">IF(getRGB1(Weekly!G237)="FFFF00","초방","재방")</f>
        <v>초방</v>
      </c>
    </row>
    <row r="1388" spans="1:9" ht="11.25" customHeight="1" x14ac:dyDescent="0.3">
      <c r="A1388" s="10" t="str">
        <f t="shared" si="168"/>
        <v/>
      </c>
      <c r="B1388" s="11">
        <f>Weekly!$G$3</f>
        <v>45919</v>
      </c>
      <c r="C1388" s="12">
        <v>0.8125</v>
      </c>
      <c r="D1388" s="13">
        <f>Weekly!G238</f>
        <v>0</v>
      </c>
      <c r="E1388" s="13" t="str">
        <f t="shared" si="169"/>
        <v/>
      </c>
      <c r="F1388" s="13" t="str">
        <f t="shared" si="172"/>
        <v/>
      </c>
      <c r="G1388" s="13" t="str">
        <f t="shared" si="170"/>
        <v/>
      </c>
      <c r="H1388" s="13" t="str">
        <f t="shared" si="171"/>
        <v/>
      </c>
      <c r="I1388" s="14" t="str">
        <f t="array" ref="I1388">IF(getRGB1(Weekly!G238)="FFFF00","초방","재방")</f>
        <v>초방</v>
      </c>
    </row>
    <row r="1389" spans="1:9" ht="11.25" customHeight="1" x14ac:dyDescent="0.3">
      <c r="A1389" s="10" t="str">
        <f t="shared" si="168"/>
        <v/>
      </c>
      <c r="B1389" s="11">
        <f>Weekly!$G$3</f>
        <v>45919</v>
      </c>
      <c r="C1389" s="12">
        <v>0.81597222222222199</v>
      </c>
      <c r="D1389" s="13">
        <f>Weekly!G239</f>
        <v>0</v>
      </c>
      <c r="E1389" s="13" t="str">
        <f t="shared" si="169"/>
        <v/>
      </c>
      <c r="F1389" s="13" t="str">
        <f t="shared" si="172"/>
        <v/>
      </c>
      <c r="G1389" s="13" t="str">
        <f t="shared" si="170"/>
        <v/>
      </c>
      <c r="H1389" s="13" t="str">
        <f t="shared" si="171"/>
        <v/>
      </c>
      <c r="I1389" s="14" t="str">
        <f t="array" ref="I1389">IF(getRGB1(Weekly!G239)="FFFF00","초방","재방")</f>
        <v>초방</v>
      </c>
    </row>
    <row r="1390" spans="1:9" ht="11.25" customHeight="1" x14ac:dyDescent="0.3">
      <c r="A1390" s="10" t="str">
        <f t="shared" si="168"/>
        <v/>
      </c>
      <c r="B1390" s="11">
        <f>Weekly!$G$3</f>
        <v>45919</v>
      </c>
      <c r="C1390" s="12">
        <v>0.81944444444444398</v>
      </c>
      <c r="D1390" s="13">
        <f>Weekly!G240</f>
        <v>0</v>
      </c>
      <c r="E1390" s="13" t="str">
        <f t="shared" si="169"/>
        <v/>
      </c>
      <c r="F1390" s="13" t="str">
        <f t="shared" si="172"/>
        <v/>
      </c>
      <c r="G1390" s="13" t="str">
        <f t="shared" si="170"/>
        <v/>
      </c>
      <c r="H1390" s="13" t="str">
        <f t="shared" si="171"/>
        <v/>
      </c>
      <c r="I1390" s="14" t="str">
        <f t="array" ref="I1390">IF(getRGB1(Weekly!G240)="FFFF00","초방","재방")</f>
        <v>초방</v>
      </c>
    </row>
    <row r="1391" spans="1:9" ht="11.25" customHeight="1" x14ac:dyDescent="0.3">
      <c r="A1391" s="10" t="str">
        <f t="shared" si="168"/>
        <v/>
      </c>
      <c r="B1391" s="11">
        <f>Weekly!$G$3</f>
        <v>45919</v>
      </c>
      <c r="C1391" s="12">
        <v>0.82291666666666696</v>
      </c>
      <c r="D1391" s="13">
        <f>Weekly!G241</f>
        <v>0</v>
      </c>
      <c r="E1391" s="13" t="str">
        <f t="shared" si="169"/>
        <v/>
      </c>
      <c r="F1391" s="13" t="str">
        <f t="shared" si="172"/>
        <v/>
      </c>
      <c r="G1391" s="13" t="str">
        <f t="shared" si="170"/>
        <v/>
      </c>
      <c r="H1391" s="13" t="str">
        <f t="shared" si="171"/>
        <v/>
      </c>
      <c r="I1391" s="14" t="str">
        <f t="array" ref="I1391">IF(getRGB1(Weekly!G241)="FFFF00","초방","재방")</f>
        <v>초방</v>
      </c>
    </row>
    <row r="1392" spans="1:9" ht="11.25" customHeight="1" x14ac:dyDescent="0.3">
      <c r="A1392" s="10" t="str">
        <f t="shared" si="168"/>
        <v/>
      </c>
      <c r="B1392" s="11">
        <f>Weekly!$G$3</f>
        <v>45919</v>
      </c>
      <c r="C1392" s="12">
        <v>0.82638888888888895</v>
      </c>
      <c r="D1392" s="13">
        <f>Weekly!G242</f>
        <v>0</v>
      </c>
      <c r="E1392" s="13" t="str">
        <f t="shared" si="169"/>
        <v/>
      </c>
      <c r="F1392" s="13" t="str">
        <f t="shared" si="172"/>
        <v/>
      </c>
      <c r="G1392" s="13" t="str">
        <f t="shared" si="170"/>
        <v/>
      </c>
      <c r="H1392" s="13" t="str">
        <f t="shared" si="171"/>
        <v/>
      </c>
      <c r="I1392" s="14" t="str">
        <f t="array" ref="I1392">IF(getRGB1(Weekly!G242)="FFFF00","초방","재방")</f>
        <v>초방</v>
      </c>
    </row>
    <row r="1393" spans="1:9" ht="11.25" customHeight="1" x14ac:dyDescent="0.3">
      <c r="A1393" s="10" t="str">
        <f t="shared" si="168"/>
        <v/>
      </c>
      <c r="B1393" s="11">
        <f>Weekly!$G$3</f>
        <v>45919</v>
      </c>
      <c r="C1393" s="12">
        <v>0.82986111111111105</v>
      </c>
      <c r="D1393" s="13">
        <f>Weekly!G243</f>
        <v>0</v>
      </c>
      <c r="E1393" s="13" t="str">
        <f t="shared" si="169"/>
        <v/>
      </c>
      <c r="F1393" s="13" t="str">
        <f t="shared" si="172"/>
        <v/>
      </c>
      <c r="G1393" s="13" t="str">
        <f t="shared" si="170"/>
        <v/>
      </c>
      <c r="H1393" s="13" t="str">
        <f t="shared" si="171"/>
        <v/>
      </c>
      <c r="I1393" s="14" t="str">
        <f t="array" ref="I1393">IF(getRGB1(Weekly!G243)="FFFF00","초방","재방")</f>
        <v>초방</v>
      </c>
    </row>
    <row r="1394" spans="1:9" ht="11.25" customHeight="1" x14ac:dyDescent="0.3">
      <c r="A1394" s="10">
        <f t="shared" si="168"/>
        <v>45919.833333333336</v>
      </c>
      <c r="B1394" s="11">
        <f>Weekly!$G$3</f>
        <v>45919</v>
      </c>
      <c r="C1394" s="12">
        <v>0.83333333333333304</v>
      </c>
      <c r="D1394" s="13" t="str">
        <f>Weekly!G244</f>
        <v xml:space="preserve"> NEWSON
&lt;66</v>
      </c>
      <c r="E1394" s="13" t="str">
        <f t="shared" si="169"/>
        <v>NEWSON</v>
      </c>
      <c r="F1394" s="13">
        <f t="shared" si="172"/>
        <v>66</v>
      </c>
      <c r="G1394" s="13" t="str">
        <f t="shared" si="170"/>
        <v/>
      </c>
      <c r="H1394" s="13" t="str">
        <f t="shared" si="171"/>
        <v/>
      </c>
      <c r="I1394" s="14" t="str">
        <f t="array" ref="I1394">IF(getRGB1(Weekly!G244)="FFFF00","초방","재방")</f>
        <v>재방</v>
      </c>
    </row>
    <row r="1395" spans="1:9" ht="11.25" customHeight="1" x14ac:dyDescent="0.3">
      <c r="A1395" s="10" t="str">
        <f t="shared" si="168"/>
        <v/>
      </c>
      <c r="B1395" s="11">
        <f>Weekly!$G$3</f>
        <v>45919</v>
      </c>
      <c r="C1395" s="12">
        <v>0.83680555555555503</v>
      </c>
      <c r="D1395" s="13">
        <f>Weekly!G245</f>
        <v>0</v>
      </c>
      <c r="E1395" s="13" t="str">
        <f t="shared" si="169"/>
        <v/>
      </c>
      <c r="F1395" s="13" t="str">
        <f t="shared" si="172"/>
        <v/>
      </c>
      <c r="G1395" s="13" t="str">
        <f t="shared" si="170"/>
        <v/>
      </c>
      <c r="H1395" s="13" t="str">
        <f t="shared" si="171"/>
        <v/>
      </c>
      <c r="I1395" s="14" t="str">
        <f t="array" ref="I1395">IF(getRGB1(Weekly!G245)="FFFF00","초방","재방")</f>
        <v>재방</v>
      </c>
    </row>
    <row r="1396" spans="1:9" ht="11.25" customHeight="1" x14ac:dyDescent="0.3">
      <c r="A1396" s="10" t="str">
        <f t="shared" si="168"/>
        <v/>
      </c>
      <c r="B1396" s="11">
        <f>Weekly!$G$3</f>
        <v>45919</v>
      </c>
      <c r="C1396" s="12">
        <v>0.84027777777777801</v>
      </c>
      <c r="D1396" s="13">
        <f>Weekly!G246</f>
        <v>0</v>
      </c>
      <c r="E1396" s="13" t="str">
        <f t="shared" si="169"/>
        <v/>
      </c>
      <c r="F1396" s="13" t="str">
        <f t="shared" si="172"/>
        <v/>
      </c>
      <c r="G1396" s="13" t="str">
        <f t="shared" si="170"/>
        <v/>
      </c>
      <c r="H1396" s="13" t="str">
        <f t="shared" si="171"/>
        <v/>
      </c>
      <c r="I1396" s="14" t="str">
        <f t="array" ref="I1396">IF(getRGB1(Weekly!G246)="FFFF00","초방","재방")</f>
        <v>재방</v>
      </c>
    </row>
    <row r="1397" spans="1:9" ht="11.25" customHeight="1" x14ac:dyDescent="0.3">
      <c r="A1397" s="10" t="str">
        <f t="shared" si="168"/>
        <v/>
      </c>
      <c r="B1397" s="11">
        <f>Weekly!$G$3</f>
        <v>45919</v>
      </c>
      <c r="C1397" s="12">
        <v>0.84375</v>
      </c>
      <c r="D1397" s="13">
        <f>Weekly!G247</f>
        <v>0</v>
      </c>
      <c r="E1397" s="13" t="str">
        <f t="shared" si="169"/>
        <v/>
      </c>
      <c r="F1397" s="13" t="str">
        <f t="shared" si="172"/>
        <v/>
      </c>
      <c r="G1397" s="13" t="str">
        <f t="shared" si="170"/>
        <v/>
      </c>
      <c r="H1397" s="13" t="str">
        <f t="shared" si="171"/>
        <v/>
      </c>
      <c r="I1397" s="14" t="str">
        <f t="array" ref="I1397">IF(getRGB1(Weekly!G247)="FFFF00","초방","재방")</f>
        <v>재방</v>
      </c>
    </row>
    <row r="1398" spans="1:9" ht="11.25" customHeight="1" x14ac:dyDescent="0.3">
      <c r="A1398" s="10" t="str">
        <f t="shared" si="168"/>
        <v/>
      </c>
      <c r="B1398" s="11">
        <f>Weekly!$G$3</f>
        <v>45919</v>
      </c>
      <c r="C1398" s="12">
        <v>0.84722222222222199</v>
      </c>
      <c r="D1398" s="13">
        <f>Weekly!G248</f>
        <v>0</v>
      </c>
      <c r="E1398" s="13" t="str">
        <f t="shared" si="169"/>
        <v/>
      </c>
      <c r="F1398" s="13" t="str">
        <f t="shared" si="172"/>
        <v/>
      </c>
      <c r="G1398" s="13" t="str">
        <f t="shared" si="170"/>
        <v/>
      </c>
      <c r="H1398" s="13" t="str">
        <f t="shared" si="171"/>
        <v/>
      </c>
      <c r="I1398" s="14" t="str">
        <f t="array" ref="I1398">IF(getRGB1(Weekly!G248)="FFFF00","초방","재방")</f>
        <v>재방</v>
      </c>
    </row>
    <row r="1399" spans="1:9" ht="11.25" customHeight="1" x14ac:dyDescent="0.3">
      <c r="A1399" s="10" t="str">
        <f t="shared" si="168"/>
        <v/>
      </c>
      <c r="B1399" s="11">
        <f>Weekly!$G$3</f>
        <v>45919</v>
      </c>
      <c r="C1399" s="12">
        <v>0.85069444444444398</v>
      </c>
      <c r="D1399" s="13">
        <f>Weekly!G249</f>
        <v>0</v>
      </c>
      <c r="E1399" s="13" t="str">
        <f t="shared" si="169"/>
        <v/>
      </c>
      <c r="F1399" s="13" t="str">
        <f t="shared" si="172"/>
        <v/>
      </c>
      <c r="G1399" s="13" t="str">
        <f t="shared" si="170"/>
        <v/>
      </c>
      <c r="H1399" s="13" t="str">
        <f t="shared" si="171"/>
        <v/>
      </c>
      <c r="I1399" s="14" t="str">
        <f t="array" ref="I1399">IF(getRGB1(Weekly!G249)="FFFF00","초방","재방")</f>
        <v>재방</v>
      </c>
    </row>
    <row r="1400" spans="1:9" ht="11.25" customHeight="1" x14ac:dyDescent="0.3">
      <c r="A1400" s="10">
        <f t="shared" si="168"/>
        <v>45919.854166666664</v>
      </c>
      <c r="B1400" s="11">
        <f>Weekly!$G$3</f>
        <v>45919</v>
      </c>
      <c r="C1400" s="12">
        <v>0.85416666666666696</v>
      </c>
      <c r="D1400" s="13" t="str">
        <f>Weekly!G250</f>
        <v>우리동네 너튜브
&lt;08</v>
      </c>
      <c r="E1400" s="13" t="str">
        <f t="shared" si="169"/>
        <v>우리동네 너튜브</v>
      </c>
      <c r="F1400" s="13">
        <f t="shared" si="172"/>
        <v>8</v>
      </c>
      <c r="G1400" s="13" t="str">
        <f t="shared" si="170"/>
        <v/>
      </c>
      <c r="H1400" s="13" t="str">
        <f t="shared" si="171"/>
        <v/>
      </c>
      <c r="I1400" s="14" t="str">
        <f t="array" ref="I1400">IF(getRGB1(Weekly!G250)="FFFF00","초방","재방")</f>
        <v>재방</v>
      </c>
    </row>
    <row r="1401" spans="1:9" ht="11.25" customHeight="1" x14ac:dyDescent="0.3">
      <c r="A1401" s="10" t="str">
        <f t="shared" si="168"/>
        <v/>
      </c>
      <c r="B1401" s="11">
        <f>Weekly!$G$3</f>
        <v>45919</v>
      </c>
      <c r="C1401" s="12">
        <v>0.85763888888888895</v>
      </c>
      <c r="D1401" s="13">
        <f>Weekly!G251</f>
        <v>0</v>
      </c>
      <c r="E1401" s="13" t="str">
        <f t="shared" si="169"/>
        <v/>
      </c>
      <c r="F1401" s="13" t="str">
        <f t="shared" si="172"/>
        <v/>
      </c>
      <c r="G1401" s="13" t="str">
        <f t="shared" si="170"/>
        <v/>
      </c>
      <c r="H1401" s="13" t="str">
        <f t="shared" si="171"/>
        <v/>
      </c>
      <c r="I1401" s="14" t="str">
        <f t="array" ref="I1401">IF(getRGB1(Weekly!G251)="FFFF00","초방","재방")</f>
        <v>재방</v>
      </c>
    </row>
    <row r="1402" spans="1:9" ht="11.25" customHeight="1" x14ac:dyDescent="0.3">
      <c r="A1402" s="10" t="str">
        <f t="shared" si="168"/>
        <v/>
      </c>
      <c r="B1402" s="11">
        <f>Weekly!$G$3</f>
        <v>45919</v>
      </c>
      <c r="C1402" s="12">
        <v>0.86111111111111105</v>
      </c>
      <c r="D1402" s="13">
        <f>Weekly!G252</f>
        <v>0</v>
      </c>
      <c r="E1402" s="13" t="str">
        <f t="shared" si="169"/>
        <v/>
      </c>
      <c r="F1402" s="13" t="str">
        <f t="shared" si="172"/>
        <v/>
      </c>
      <c r="G1402" s="13" t="str">
        <f t="shared" si="170"/>
        <v/>
      </c>
      <c r="H1402" s="13" t="str">
        <f t="shared" si="171"/>
        <v/>
      </c>
      <c r="I1402" s="14" t="str">
        <f t="array" ref="I1402">IF(getRGB1(Weekly!G252)="FFFF00","초방","재방")</f>
        <v>재방</v>
      </c>
    </row>
    <row r="1403" spans="1:9" ht="11.25" customHeight="1" x14ac:dyDescent="0.3">
      <c r="A1403" s="10" t="str">
        <f t="shared" si="168"/>
        <v/>
      </c>
      <c r="B1403" s="11">
        <f>Weekly!$G$3</f>
        <v>45919</v>
      </c>
      <c r="C1403" s="12">
        <v>0.86458333333333304</v>
      </c>
      <c r="D1403" s="13">
        <f>Weekly!G253</f>
        <v>0</v>
      </c>
      <c r="E1403" s="13" t="str">
        <f t="shared" si="169"/>
        <v/>
      </c>
      <c r="F1403" s="13" t="str">
        <f t="shared" si="172"/>
        <v/>
      </c>
      <c r="G1403" s="13" t="str">
        <f t="shared" si="170"/>
        <v/>
      </c>
      <c r="H1403" s="13" t="str">
        <f t="shared" si="171"/>
        <v/>
      </c>
      <c r="I1403" s="14" t="str">
        <f t="array" ref="I1403">IF(getRGB1(Weekly!G253)="FFFF00","초방","재방")</f>
        <v>재방</v>
      </c>
    </row>
    <row r="1404" spans="1:9" ht="11.25" customHeight="1" x14ac:dyDescent="0.3">
      <c r="A1404" s="10" t="str">
        <f t="shared" si="168"/>
        <v/>
      </c>
      <c r="B1404" s="11">
        <f>Weekly!$G$3</f>
        <v>45919</v>
      </c>
      <c r="C1404" s="12">
        <v>0.86805555555555503</v>
      </c>
      <c r="D1404" s="13">
        <f>Weekly!G254</f>
        <v>0</v>
      </c>
      <c r="E1404" s="13" t="str">
        <f t="shared" si="169"/>
        <v/>
      </c>
      <c r="F1404" s="13" t="str">
        <f t="shared" si="172"/>
        <v/>
      </c>
      <c r="G1404" s="13" t="str">
        <f t="shared" si="170"/>
        <v/>
      </c>
      <c r="H1404" s="13" t="str">
        <f t="shared" si="171"/>
        <v/>
      </c>
      <c r="I1404" s="14" t="str">
        <f t="array" ref="I1404">IF(getRGB1(Weekly!G254)="FFFF00","초방","재방")</f>
        <v>재방</v>
      </c>
    </row>
    <row r="1405" spans="1:9" ht="11.25" customHeight="1" x14ac:dyDescent="0.3">
      <c r="A1405" s="10" t="str">
        <f t="shared" si="168"/>
        <v/>
      </c>
      <c r="B1405" s="11">
        <f>Weekly!$G$3</f>
        <v>45919</v>
      </c>
      <c r="C1405" s="12">
        <v>0.87152777777777801</v>
      </c>
      <c r="D1405" s="13">
        <f>Weekly!G255</f>
        <v>0</v>
      </c>
      <c r="E1405" s="13" t="str">
        <f t="shared" si="169"/>
        <v/>
      </c>
      <c r="F1405" s="13" t="str">
        <f t="shared" si="172"/>
        <v/>
      </c>
      <c r="G1405" s="13" t="str">
        <f t="shared" si="170"/>
        <v/>
      </c>
      <c r="H1405" s="13" t="str">
        <f t="shared" si="171"/>
        <v/>
      </c>
      <c r="I1405" s="14" t="str">
        <f t="array" ref="I1405">IF(getRGB1(Weekly!G255)="FFFF00","초방","재방")</f>
        <v>재방</v>
      </c>
    </row>
    <row r="1406" spans="1:9" ht="11.25" customHeight="1" x14ac:dyDescent="0.3">
      <c r="A1406" s="10" t="str">
        <f t="shared" si="168"/>
        <v/>
      </c>
      <c r="B1406" s="11">
        <f>Weekly!$G$3</f>
        <v>45919</v>
      </c>
      <c r="C1406" s="12">
        <v>0.875</v>
      </c>
      <c r="D1406" s="13">
        <f>Weekly!G256</f>
        <v>0</v>
      </c>
      <c r="E1406" s="13" t="str">
        <f t="shared" si="169"/>
        <v/>
      </c>
      <c r="F1406" s="13" t="str">
        <f t="shared" si="172"/>
        <v/>
      </c>
      <c r="G1406" s="13" t="str">
        <f t="shared" si="170"/>
        <v/>
      </c>
      <c r="H1406" s="13" t="str">
        <f t="shared" si="171"/>
        <v/>
      </c>
      <c r="I1406" s="14" t="str">
        <f t="array" ref="I1406">IF(getRGB1(Weekly!G256)="FFFF00","초방","재방")</f>
        <v>재방</v>
      </c>
    </row>
    <row r="1407" spans="1:9" ht="11.25" customHeight="1" x14ac:dyDescent="0.3">
      <c r="A1407" s="10" t="str">
        <f t="shared" si="168"/>
        <v/>
      </c>
      <c r="B1407" s="11">
        <f>Weekly!$G$3</f>
        <v>45919</v>
      </c>
      <c r="C1407" s="12">
        <v>0.87847222222222199</v>
      </c>
      <c r="D1407" s="13">
        <f>Weekly!G257</f>
        <v>0</v>
      </c>
      <c r="E1407" s="13" t="str">
        <f t="shared" si="169"/>
        <v/>
      </c>
      <c r="F1407" s="13" t="str">
        <f t="shared" si="172"/>
        <v/>
      </c>
      <c r="G1407" s="13" t="str">
        <f t="shared" si="170"/>
        <v/>
      </c>
      <c r="H1407" s="13" t="str">
        <f t="shared" si="171"/>
        <v/>
      </c>
      <c r="I1407" s="14" t="str">
        <f t="array" ref="I1407">IF(getRGB1(Weekly!G257)="FFFF00","초방","재방")</f>
        <v>재방</v>
      </c>
    </row>
    <row r="1408" spans="1:9" ht="11.25" customHeight="1" x14ac:dyDescent="0.3">
      <c r="A1408" s="10" t="str">
        <f t="shared" si="168"/>
        <v/>
      </c>
      <c r="B1408" s="11">
        <f>Weekly!$G$3</f>
        <v>45919</v>
      </c>
      <c r="C1408" s="12">
        <v>0.88194444444444398</v>
      </c>
      <c r="D1408" s="13">
        <f>Weekly!G258</f>
        <v>0</v>
      </c>
      <c r="E1408" s="13" t="str">
        <f t="shared" si="169"/>
        <v/>
      </c>
      <c r="F1408" s="13" t="str">
        <f t="shared" si="172"/>
        <v/>
      </c>
      <c r="G1408" s="13" t="str">
        <f t="shared" si="170"/>
        <v/>
      </c>
      <c r="H1408" s="13" t="str">
        <f t="shared" si="171"/>
        <v/>
      </c>
      <c r="I1408" s="14" t="str">
        <f t="array" ref="I1408">IF(getRGB1(Weekly!G258)="FFFF00","초방","재방")</f>
        <v>재방</v>
      </c>
    </row>
    <row r="1409" spans="1:9" ht="11.25" customHeight="1" x14ac:dyDescent="0.3">
      <c r="A1409" s="10" t="str">
        <f t="shared" si="168"/>
        <v/>
      </c>
      <c r="B1409" s="11">
        <f>Weekly!$G$3</f>
        <v>45919</v>
      </c>
      <c r="C1409" s="12">
        <v>0.88541666666666696</v>
      </c>
      <c r="D1409" s="13">
        <f>Weekly!G259</f>
        <v>0</v>
      </c>
      <c r="E1409" s="13" t="str">
        <f t="shared" si="169"/>
        <v/>
      </c>
      <c r="F1409" s="13" t="str">
        <f t="shared" si="172"/>
        <v/>
      </c>
      <c r="G1409" s="13" t="str">
        <f t="shared" si="170"/>
        <v/>
      </c>
      <c r="H1409" s="13" t="str">
        <f t="shared" si="171"/>
        <v/>
      </c>
      <c r="I1409" s="14" t="str">
        <f t="array" ref="I1409">IF(getRGB1(Weekly!G259)="FFFF00","초방","재방")</f>
        <v>재방</v>
      </c>
    </row>
    <row r="1410" spans="1:9" ht="11.25" customHeight="1" x14ac:dyDescent="0.3">
      <c r="A1410" s="10">
        <f t="shared" ref="A1410:A1473" si="173">IF(D1410&lt;&gt;0,B1410+C1410,"")</f>
        <v>45919.888888888891</v>
      </c>
      <c r="B1410" s="11">
        <f>Weekly!$G$3</f>
        <v>45919</v>
      </c>
      <c r="C1410" s="12">
        <v>0.88888888888888895</v>
      </c>
      <c r="D1410" s="13" t="str">
        <f>Weekly!G260</f>
        <v>낭만살롱
&lt;05</v>
      </c>
      <c r="E1410" s="13" t="str">
        <f t="shared" ref="E1410:E1473" si="174">IFERROR(SUBSTITUTE(SUBSTITUTE(TRIM(LEFT(D1410,FIND("&lt;",D1410)-1)),CHAR(10),""),"⑮ ",""),"")</f>
        <v>낭만살롱</v>
      </c>
      <c r="F1410" s="13">
        <f t="shared" si="172"/>
        <v>5</v>
      </c>
      <c r="G1410" s="13" t="str">
        <f t="shared" ref="G1410:G1473" si="175">IFERROR(MID(D1410,FIND("&gt;",D1410)+1,10),"")</f>
        <v/>
      </c>
      <c r="H1410" s="13" t="str">
        <f t="shared" ref="H1410:H1473" si="176">IFERROR(VLOOKUP(LEFT(D1410,2),$W$1:$X$6,2,0),"")</f>
        <v/>
      </c>
      <c r="I1410" s="14" t="str">
        <f t="array" ref="I1410">IF(getRGB1(Weekly!G260)="FFFF00","초방","재방")</f>
        <v>재방</v>
      </c>
    </row>
    <row r="1411" spans="1:9" ht="11.25" customHeight="1" x14ac:dyDescent="0.3">
      <c r="A1411" s="10" t="str">
        <f t="shared" si="173"/>
        <v/>
      </c>
      <c r="B1411" s="11">
        <f>Weekly!$G$3</f>
        <v>45919</v>
      </c>
      <c r="C1411" s="12">
        <v>0.89236111111111105</v>
      </c>
      <c r="D1411" s="13">
        <f>Weekly!G261</f>
        <v>0</v>
      </c>
      <c r="E1411" s="13" t="str">
        <f t="shared" si="174"/>
        <v/>
      </c>
      <c r="F1411" s="13" t="str">
        <f t="shared" ref="F1411:F1474" si="177">IFERROR((MID(D1411,FIND("&lt;",D1411)+1,4))*1,"")</f>
        <v/>
      </c>
      <c r="G1411" s="13" t="str">
        <f t="shared" si="175"/>
        <v/>
      </c>
      <c r="H1411" s="13" t="str">
        <f t="shared" si="176"/>
        <v/>
      </c>
      <c r="I1411" s="14" t="str">
        <f t="array" ref="I1411">IF(getRGB1(Weekly!G261)="FFFF00","초방","재방")</f>
        <v>재방</v>
      </c>
    </row>
    <row r="1412" spans="1:9" ht="11.25" customHeight="1" x14ac:dyDescent="0.3">
      <c r="A1412" s="10" t="str">
        <f t="shared" si="173"/>
        <v/>
      </c>
      <c r="B1412" s="11">
        <f>Weekly!$G$3</f>
        <v>45919</v>
      </c>
      <c r="C1412" s="12">
        <v>0.89583333333333304</v>
      </c>
      <c r="D1412" s="13">
        <f>Weekly!G262</f>
        <v>0</v>
      </c>
      <c r="E1412" s="13" t="str">
        <f t="shared" si="174"/>
        <v/>
      </c>
      <c r="F1412" s="13" t="str">
        <f t="shared" si="177"/>
        <v/>
      </c>
      <c r="G1412" s="13" t="str">
        <f t="shared" si="175"/>
        <v/>
      </c>
      <c r="H1412" s="13" t="str">
        <f t="shared" si="176"/>
        <v/>
      </c>
      <c r="I1412" s="14" t="str">
        <f t="array" ref="I1412">IF(getRGB1(Weekly!G262)="FFFF00","초방","재방")</f>
        <v>재방</v>
      </c>
    </row>
    <row r="1413" spans="1:9" ht="11.25" customHeight="1" x14ac:dyDescent="0.3">
      <c r="A1413" s="10" t="str">
        <f t="shared" si="173"/>
        <v/>
      </c>
      <c r="B1413" s="11">
        <f>Weekly!$G$3</f>
        <v>45919</v>
      </c>
      <c r="C1413" s="12">
        <v>0.89930555555555503</v>
      </c>
      <c r="D1413" s="13">
        <f>Weekly!G263</f>
        <v>0</v>
      </c>
      <c r="E1413" s="13" t="str">
        <f t="shared" si="174"/>
        <v/>
      </c>
      <c r="F1413" s="13" t="str">
        <f t="shared" si="177"/>
        <v/>
      </c>
      <c r="G1413" s="13" t="str">
        <f t="shared" si="175"/>
        <v/>
      </c>
      <c r="H1413" s="13" t="str">
        <f t="shared" si="176"/>
        <v/>
      </c>
      <c r="I1413" s="14" t="str">
        <f t="array" ref="I1413">IF(getRGB1(Weekly!G263)="FFFF00","초방","재방")</f>
        <v>재방</v>
      </c>
    </row>
    <row r="1414" spans="1:9" ht="11.25" customHeight="1" x14ac:dyDescent="0.3">
      <c r="A1414" s="10" t="str">
        <f t="shared" si="173"/>
        <v/>
      </c>
      <c r="B1414" s="11">
        <f>Weekly!$G$3</f>
        <v>45919</v>
      </c>
      <c r="C1414" s="12">
        <v>0.90277777777777801</v>
      </c>
      <c r="D1414" s="13">
        <f>Weekly!G264</f>
        <v>0</v>
      </c>
      <c r="E1414" s="13" t="str">
        <f t="shared" si="174"/>
        <v/>
      </c>
      <c r="F1414" s="13" t="str">
        <f t="shared" si="177"/>
        <v/>
      </c>
      <c r="G1414" s="13" t="str">
        <f t="shared" si="175"/>
        <v/>
      </c>
      <c r="H1414" s="13" t="str">
        <f t="shared" si="176"/>
        <v/>
      </c>
      <c r="I1414" s="14" t="str">
        <f t="array" ref="I1414">IF(getRGB1(Weekly!G264)="FFFF00","초방","재방")</f>
        <v>재방</v>
      </c>
    </row>
    <row r="1415" spans="1:9" ht="11.25" customHeight="1" x14ac:dyDescent="0.3">
      <c r="A1415" s="10" t="str">
        <f t="shared" si="173"/>
        <v/>
      </c>
      <c r="B1415" s="11">
        <f>Weekly!$G$3</f>
        <v>45919</v>
      </c>
      <c r="C1415" s="12">
        <v>0.90625</v>
      </c>
      <c r="D1415" s="13">
        <f>Weekly!G265</f>
        <v>0</v>
      </c>
      <c r="E1415" s="13" t="str">
        <f t="shared" si="174"/>
        <v/>
      </c>
      <c r="F1415" s="13" t="str">
        <f t="shared" si="177"/>
        <v/>
      </c>
      <c r="G1415" s="13" t="str">
        <f t="shared" si="175"/>
        <v/>
      </c>
      <c r="H1415" s="13" t="str">
        <f t="shared" si="176"/>
        <v/>
      </c>
      <c r="I1415" s="14" t="str">
        <f t="array" ref="I1415">IF(getRGB1(Weekly!G265)="FFFF00","초방","재방")</f>
        <v>재방</v>
      </c>
    </row>
    <row r="1416" spans="1:9" ht="11.25" customHeight="1" x14ac:dyDescent="0.3">
      <c r="A1416" s="10" t="str">
        <f t="shared" si="173"/>
        <v/>
      </c>
      <c r="B1416" s="11">
        <f>Weekly!$G$3</f>
        <v>45919</v>
      </c>
      <c r="C1416" s="12">
        <v>0.90972222222222199</v>
      </c>
      <c r="D1416" s="13">
        <f>Weekly!G266</f>
        <v>0</v>
      </c>
      <c r="E1416" s="13" t="str">
        <f t="shared" si="174"/>
        <v/>
      </c>
      <c r="F1416" s="13" t="str">
        <f t="shared" si="177"/>
        <v/>
      </c>
      <c r="G1416" s="13" t="str">
        <f t="shared" si="175"/>
        <v/>
      </c>
      <c r="H1416" s="13" t="str">
        <f t="shared" si="176"/>
        <v/>
      </c>
      <c r="I1416" s="14" t="str">
        <f t="array" ref="I1416">IF(getRGB1(Weekly!G266)="FFFF00","초방","재방")</f>
        <v>재방</v>
      </c>
    </row>
    <row r="1417" spans="1:9" ht="11.25" customHeight="1" x14ac:dyDescent="0.3">
      <c r="A1417" s="10" t="str">
        <f t="shared" si="173"/>
        <v/>
      </c>
      <c r="B1417" s="11">
        <f>Weekly!$G$3</f>
        <v>45919</v>
      </c>
      <c r="C1417" s="12">
        <v>0.91319444444444398</v>
      </c>
      <c r="D1417" s="13">
        <f>Weekly!G267</f>
        <v>0</v>
      </c>
      <c r="E1417" s="13" t="str">
        <f t="shared" si="174"/>
        <v/>
      </c>
      <c r="F1417" s="13" t="str">
        <f t="shared" si="177"/>
        <v/>
      </c>
      <c r="G1417" s="13" t="str">
        <f t="shared" si="175"/>
        <v/>
      </c>
      <c r="H1417" s="13" t="str">
        <f t="shared" si="176"/>
        <v/>
      </c>
      <c r="I1417" s="14" t="str">
        <f t="array" ref="I1417">IF(getRGB1(Weekly!G267)="FFFF00","초방","재방")</f>
        <v>재방</v>
      </c>
    </row>
    <row r="1418" spans="1:9" ht="11.25" customHeight="1" x14ac:dyDescent="0.3">
      <c r="A1418" s="10">
        <f t="shared" si="173"/>
        <v>45919.916666666664</v>
      </c>
      <c r="B1418" s="11">
        <f>Weekly!$G$3</f>
        <v>45919</v>
      </c>
      <c r="C1418" s="12">
        <v>0.91666666666666696</v>
      </c>
      <c r="D1418" s="13" t="str">
        <f>Weekly!G268</f>
        <v>특집 2026 지방선거_서울특별시의회 생생중계_본회의
&lt;06</v>
      </c>
      <c r="E1418" s="13" t="str">
        <f t="shared" si="174"/>
        <v>특집 2026 지방선거_서울특별시의회 생생중계_본회의</v>
      </c>
      <c r="F1418" s="13">
        <f t="shared" si="177"/>
        <v>6</v>
      </c>
      <c r="G1418" s="13" t="str">
        <f t="shared" si="175"/>
        <v/>
      </c>
      <c r="H1418" s="13" t="str">
        <f t="shared" si="176"/>
        <v/>
      </c>
      <c r="I1418" s="14" t="str">
        <f t="array" ref="I1418">IF(getRGB1(Weekly!G268)="FFFF00","초방","재방")</f>
        <v>재방</v>
      </c>
    </row>
    <row r="1419" spans="1:9" ht="11.25" customHeight="1" x14ac:dyDescent="0.3">
      <c r="A1419" s="10" t="str">
        <f t="shared" si="173"/>
        <v/>
      </c>
      <c r="B1419" s="11">
        <f>Weekly!$G$3</f>
        <v>45919</v>
      </c>
      <c r="C1419" s="12">
        <v>0.92013888888888895</v>
      </c>
      <c r="D1419" s="13">
        <f>Weekly!G269</f>
        <v>0</v>
      </c>
      <c r="E1419" s="13" t="str">
        <f t="shared" si="174"/>
        <v/>
      </c>
      <c r="F1419" s="13" t="str">
        <f t="shared" si="177"/>
        <v/>
      </c>
      <c r="G1419" s="13" t="str">
        <f t="shared" si="175"/>
        <v/>
      </c>
      <c r="H1419" s="13" t="str">
        <f t="shared" si="176"/>
        <v/>
      </c>
      <c r="I1419" s="14" t="str">
        <f t="array" ref="I1419">IF(getRGB1(Weekly!G269)="FFFF00","초방","재방")</f>
        <v>재방</v>
      </c>
    </row>
    <row r="1420" spans="1:9" ht="11.25" customHeight="1" x14ac:dyDescent="0.3">
      <c r="A1420" s="10" t="str">
        <f t="shared" si="173"/>
        <v/>
      </c>
      <c r="B1420" s="11">
        <f>Weekly!$G$3</f>
        <v>45919</v>
      </c>
      <c r="C1420" s="12">
        <v>0.92361111111111105</v>
      </c>
      <c r="D1420" s="13">
        <f>Weekly!G270</f>
        <v>0</v>
      </c>
      <c r="E1420" s="13" t="str">
        <f t="shared" si="174"/>
        <v/>
      </c>
      <c r="F1420" s="13" t="str">
        <f t="shared" si="177"/>
        <v/>
      </c>
      <c r="G1420" s="13" t="str">
        <f t="shared" si="175"/>
        <v/>
      </c>
      <c r="H1420" s="13" t="str">
        <f t="shared" si="176"/>
        <v/>
      </c>
      <c r="I1420" s="14" t="str">
        <f t="array" ref="I1420">IF(getRGB1(Weekly!G270)="FFFF00","초방","재방")</f>
        <v>재방</v>
      </c>
    </row>
    <row r="1421" spans="1:9" ht="11.25" customHeight="1" x14ac:dyDescent="0.3">
      <c r="A1421" s="10" t="str">
        <f t="shared" si="173"/>
        <v/>
      </c>
      <c r="B1421" s="11">
        <f>Weekly!$G$3</f>
        <v>45919</v>
      </c>
      <c r="C1421" s="12">
        <v>0.92708333333333304</v>
      </c>
      <c r="D1421" s="13">
        <f>Weekly!G271</f>
        <v>0</v>
      </c>
      <c r="E1421" s="13" t="str">
        <f t="shared" si="174"/>
        <v/>
      </c>
      <c r="F1421" s="13" t="str">
        <f t="shared" si="177"/>
        <v/>
      </c>
      <c r="G1421" s="13" t="str">
        <f t="shared" si="175"/>
        <v/>
      </c>
      <c r="H1421" s="13" t="str">
        <f t="shared" si="176"/>
        <v/>
      </c>
      <c r="I1421" s="14" t="str">
        <f t="array" ref="I1421">IF(getRGB1(Weekly!G271)="FFFF00","초방","재방")</f>
        <v>재방</v>
      </c>
    </row>
    <row r="1422" spans="1:9" ht="11.25" customHeight="1" x14ac:dyDescent="0.3">
      <c r="A1422" s="10" t="str">
        <f t="shared" si="173"/>
        <v/>
      </c>
      <c r="B1422" s="11">
        <f>Weekly!$G$3</f>
        <v>45919</v>
      </c>
      <c r="C1422" s="12">
        <v>0.93055555555555503</v>
      </c>
      <c r="D1422" s="13">
        <f>Weekly!G272</f>
        <v>0</v>
      </c>
      <c r="E1422" s="13" t="str">
        <f t="shared" si="174"/>
        <v/>
      </c>
      <c r="F1422" s="13" t="str">
        <f t="shared" si="177"/>
        <v/>
      </c>
      <c r="G1422" s="13" t="str">
        <f t="shared" si="175"/>
        <v/>
      </c>
      <c r="H1422" s="13" t="str">
        <f t="shared" si="176"/>
        <v/>
      </c>
      <c r="I1422" s="14" t="str">
        <f t="array" ref="I1422">IF(getRGB1(Weekly!G272)="FFFF00","초방","재방")</f>
        <v>재방</v>
      </c>
    </row>
    <row r="1423" spans="1:9" ht="11.25" customHeight="1" x14ac:dyDescent="0.3">
      <c r="A1423" s="10" t="str">
        <f t="shared" si="173"/>
        <v/>
      </c>
      <c r="B1423" s="11">
        <f>Weekly!$G$3</f>
        <v>45919</v>
      </c>
      <c r="C1423" s="12">
        <v>0.93402777777777801</v>
      </c>
      <c r="D1423" s="13">
        <f>Weekly!G273</f>
        <v>0</v>
      </c>
      <c r="E1423" s="13" t="str">
        <f t="shared" si="174"/>
        <v/>
      </c>
      <c r="F1423" s="13" t="str">
        <f t="shared" si="177"/>
        <v/>
      </c>
      <c r="G1423" s="13" t="str">
        <f t="shared" si="175"/>
        <v/>
      </c>
      <c r="H1423" s="13" t="str">
        <f t="shared" si="176"/>
        <v/>
      </c>
      <c r="I1423" s="14" t="str">
        <f t="array" ref="I1423">IF(getRGB1(Weekly!G273)="FFFF00","초방","재방")</f>
        <v>재방</v>
      </c>
    </row>
    <row r="1424" spans="1:9" ht="11.25" customHeight="1" x14ac:dyDescent="0.3">
      <c r="A1424" s="10" t="str">
        <f t="shared" si="173"/>
        <v/>
      </c>
      <c r="B1424" s="11">
        <f>Weekly!$G$3</f>
        <v>45919</v>
      </c>
      <c r="C1424" s="12">
        <v>0.9375</v>
      </c>
      <c r="D1424" s="13">
        <f>Weekly!G274</f>
        <v>0</v>
      </c>
      <c r="E1424" s="13" t="str">
        <f t="shared" si="174"/>
        <v/>
      </c>
      <c r="F1424" s="13" t="str">
        <f t="shared" si="177"/>
        <v/>
      </c>
      <c r="G1424" s="13" t="str">
        <f t="shared" si="175"/>
        <v/>
      </c>
      <c r="H1424" s="13" t="str">
        <f t="shared" si="176"/>
        <v/>
      </c>
      <c r="I1424" s="14" t="str">
        <f t="array" ref="I1424">IF(getRGB1(Weekly!G274)="FFFF00","초방","재방")</f>
        <v>재방</v>
      </c>
    </row>
    <row r="1425" spans="1:9" ht="11.25" customHeight="1" x14ac:dyDescent="0.3">
      <c r="A1425" s="10" t="str">
        <f t="shared" si="173"/>
        <v/>
      </c>
      <c r="B1425" s="11">
        <f>Weekly!$G$3</f>
        <v>45919</v>
      </c>
      <c r="C1425" s="12">
        <v>0.94097222222222199</v>
      </c>
      <c r="D1425" s="13">
        <f>Weekly!G275</f>
        <v>0</v>
      </c>
      <c r="E1425" s="13" t="str">
        <f t="shared" si="174"/>
        <v/>
      </c>
      <c r="F1425" s="13" t="str">
        <f t="shared" si="177"/>
        <v/>
      </c>
      <c r="G1425" s="13" t="str">
        <f t="shared" si="175"/>
        <v/>
      </c>
      <c r="H1425" s="13" t="str">
        <f t="shared" si="176"/>
        <v/>
      </c>
      <c r="I1425" s="14" t="str">
        <f t="array" ref="I1425">IF(getRGB1(Weekly!G275)="FFFF00","초방","재방")</f>
        <v>재방</v>
      </c>
    </row>
    <row r="1426" spans="1:9" ht="11.25" customHeight="1" x14ac:dyDescent="0.3">
      <c r="A1426" s="10" t="str">
        <f t="shared" si="173"/>
        <v/>
      </c>
      <c r="B1426" s="11">
        <f>Weekly!$G$3</f>
        <v>45919</v>
      </c>
      <c r="C1426" s="12">
        <v>0.94444444444444398</v>
      </c>
      <c r="D1426" s="13">
        <f>Weekly!G276</f>
        <v>0</v>
      </c>
      <c r="E1426" s="13" t="str">
        <f t="shared" si="174"/>
        <v/>
      </c>
      <c r="F1426" s="13" t="str">
        <f t="shared" si="177"/>
        <v/>
      </c>
      <c r="G1426" s="13" t="str">
        <f t="shared" si="175"/>
        <v/>
      </c>
      <c r="H1426" s="13" t="str">
        <f t="shared" si="176"/>
        <v/>
      </c>
      <c r="I1426" s="14" t="str">
        <f t="array" ref="I1426">IF(getRGB1(Weekly!G276)="FFFF00","초방","재방")</f>
        <v>재방</v>
      </c>
    </row>
    <row r="1427" spans="1:9" ht="11.25" customHeight="1" x14ac:dyDescent="0.3">
      <c r="A1427" s="10" t="str">
        <f t="shared" si="173"/>
        <v/>
      </c>
      <c r="B1427" s="11">
        <f>Weekly!$G$3</f>
        <v>45919</v>
      </c>
      <c r="C1427" s="12">
        <v>0.94791666666666696</v>
      </c>
      <c r="D1427" s="13">
        <f>Weekly!G277</f>
        <v>0</v>
      </c>
      <c r="E1427" s="13" t="str">
        <f t="shared" si="174"/>
        <v/>
      </c>
      <c r="F1427" s="13" t="str">
        <f t="shared" si="177"/>
        <v/>
      </c>
      <c r="G1427" s="13" t="str">
        <f t="shared" si="175"/>
        <v/>
      </c>
      <c r="H1427" s="13" t="str">
        <f t="shared" si="176"/>
        <v/>
      </c>
      <c r="I1427" s="14" t="str">
        <f t="array" ref="I1427">IF(getRGB1(Weekly!G277)="FFFF00","초방","재방")</f>
        <v>재방</v>
      </c>
    </row>
    <row r="1428" spans="1:9" ht="11.25" customHeight="1" x14ac:dyDescent="0.3">
      <c r="A1428" s="10" t="str">
        <f t="shared" si="173"/>
        <v/>
      </c>
      <c r="B1428" s="11">
        <f>Weekly!$G$3</f>
        <v>45919</v>
      </c>
      <c r="C1428" s="12">
        <v>0.95138888888888895</v>
      </c>
      <c r="D1428" s="13">
        <f>Weekly!G278</f>
        <v>0</v>
      </c>
      <c r="E1428" s="13" t="str">
        <f t="shared" si="174"/>
        <v/>
      </c>
      <c r="F1428" s="13" t="str">
        <f t="shared" si="177"/>
        <v/>
      </c>
      <c r="G1428" s="13" t="str">
        <f t="shared" si="175"/>
        <v/>
      </c>
      <c r="H1428" s="13" t="str">
        <f t="shared" si="176"/>
        <v/>
      </c>
      <c r="I1428" s="14" t="str">
        <f t="array" ref="I1428">IF(getRGB1(Weekly!G278)="FFFF00","초방","재방")</f>
        <v>재방</v>
      </c>
    </row>
    <row r="1429" spans="1:9" ht="11.25" customHeight="1" x14ac:dyDescent="0.3">
      <c r="A1429" s="10" t="str">
        <f t="shared" si="173"/>
        <v/>
      </c>
      <c r="B1429" s="11">
        <f>Weekly!$G$3</f>
        <v>45919</v>
      </c>
      <c r="C1429" s="12">
        <v>0.95486111111111105</v>
      </c>
      <c r="D1429" s="13">
        <f>Weekly!G279</f>
        <v>0</v>
      </c>
      <c r="E1429" s="13" t="str">
        <f t="shared" si="174"/>
        <v/>
      </c>
      <c r="F1429" s="13" t="str">
        <f t="shared" si="177"/>
        <v/>
      </c>
      <c r="G1429" s="13" t="str">
        <f t="shared" si="175"/>
        <v/>
      </c>
      <c r="H1429" s="13" t="str">
        <f t="shared" si="176"/>
        <v/>
      </c>
      <c r="I1429" s="14" t="str">
        <f t="array" ref="I1429">IF(getRGB1(Weekly!G279)="FFFF00","초방","재방")</f>
        <v>재방</v>
      </c>
    </row>
    <row r="1430" spans="1:9" ht="11.25" customHeight="1" x14ac:dyDescent="0.3">
      <c r="A1430" s="10">
        <f t="shared" si="173"/>
        <v>45919.958333333336</v>
      </c>
      <c r="B1430" s="11">
        <f>Weekly!$G$3</f>
        <v>45919</v>
      </c>
      <c r="C1430" s="12">
        <v>0.95833333333333304</v>
      </c>
      <c r="D1430" s="13" t="str">
        <f>Weekly!G280</f>
        <v>특집 2026 지방선거_서울특별시의회 생생중계_상임위
&lt;19</v>
      </c>
      <c r="E1430" s="13" t="str">
        <f t="shared" si="174"/>
        <v>특집 2026 지방선거_서울특별시의회 생생중계_상임위</v>
      </c>
      <c r="F1430" s="13">
        <f t="shared" si="177"/>
        <v>19</v>
      </c>
      <c r="G1430" s="13" t="str">
        <f t="shared" si="175"/>
        <v/>
      </c>
      <c r="H1430" s="13" t="str">
        <f t="shared" si="176"/>
        <v/>
      </c>
      <c r="I1430" s="14" t="str">
        <f t="array" ref="I1430">IF(getRGB1(Weekly!G280)="FFFF00","초방","재방")</f>
        <v>재방</v>
      </c>
    </row>
    <row r="1431" spans="1:9" ht="11.25" customHeight="1" x14ac:dyDescent="0.3">
      <c r="A1431" s="10" t="str">
        <f t="shared" si="173"/>
        <v/>
      </c>
      <c r="B1431" s="11">
        <f>Weekly!$G$3</f>
        <v>45919</v>
      </c>
      <c r="C1431" s="12">
        <v>0.96180555555555503</v>
      </c>
      <c r="D1431" s="13">
        <f>Weekly!G281</f>
        <v>0</v>
      </c>
      <c r="E1431" s="13" t="str">
        <f t="shared" si="174"/>
        <v/>
      </c>
      <c r="F1431" s="13" t="str">
        <f t="shared" si="177"/>
        <v/>
      </c>
      <c r="G1431" s="13" t="str">
        <f t="shared" si="175"/>
        <v/>
      </c>
      <c r="H1431" s="13" t="str">
        <f t="shared" si="176"/>
        <v/>
      </c>
      <c r="I1431" s="14" t="str">
        <f t="array" ref="I1431">IF(getRGB1(Weekly!G281)="FFFF00","초방","재방")</f>
        <v>재방</v>
      </c>
    </row>
    <row r="1432" spans="1:9" ht="11.25" customHeight="1" x14ac:dyDescent="0.3">
      <c r="A1432" s="10" t="str">
        <f t="shared" si="173"/>
        <v/>
      </c>
      <c r="B1432" s="11">
        <f>Weekly!$G$3</f>
        <v>45919</v>
      </c>
      <c r="C1432" s="12">
        <v>0.96527777777777801</v>
      </c>
      <c r="D1432" s="13">
        <f>Weekly!G282</f>
        <v>0</v>
      </c>
      <c r="E1432" s="13" t="str">
        <f t="shared" si="174"/>
        <v/>
      </c>
      <c r="F1432" s="13" t="str">
        <f t="shared" si="177"/>
        <v/>
      </c>
      <c r="G1432" s="13" t="str">
        <f t="shared" si="175"/>
        <v/>
      </c>
      <c r="H1432" s="13" t="str">
        <f t="shared" si="176"/>
        <v/>
      </c>
      <c r="I1432" s="14" t="str">
        <f t="array" ref="I1432">IF(getRGB1(Weekly!G282)="FFFF00","초방","재방")</f>
        <v>재방</v>
      </c>
    </row>
    <row r="1433" spans="1:9" ht="11.25" customHeight="1" x14ac:dyDescent="0.3">
      <c r="A1433" s="10" t="str">
        <f t="shared" si="173"/>
        <v/>
      </c>
      <c r="B1433" s="11">
        <f>Weekly!$G$3</f>
        <v>45919</v>
      </c>
      <c r="C1433" s="12">
        <v>0.96875</v>
      </c>
      <c r="D1433" s="13">
        <f>Weekly!G283</f>
        <v>0</v>
      </c>
      <c r="E1433" s="13" t="str">
        <f t="shared" si="174"/>
        <v/>
      </c>
      <c r="F1433" s="13" t="str">
        <f t="shared" si="177"/>
        <v/>
      </c>
      <c r="G1433" s="13" t="str">
        <f t="shared" si="175"/>
        <v/>
      </c>
      <c r="H1433" s="13" t="str">
        <f t="shared" si="176"/>
        <v/>
      </c>
      <c r="I1433" s="14" t="str">
        <f t="array" ref="I1433">IF(getRGB1(Weekly!G283)="FFFF00","초방","재방")</f>
        <v>재방</v>
      </c>
    </row>
    <row r="1434" spans="1:9" ht="11.25" customHeight="1" x14ac:dyDescent="0.3">
      <c r="A1434" s="10" t="str">
        <f t="shared" si="173"/>
        <v/>
      </c>
      <c r="B1434" s="11">
        <f>Weekly!$G$3</f>
        <v>45919</v>
      </c>
      <c r="C1434" s="12">
        <v>0.97222222222222199</v>
      </c>
      <c r="D1434" s="13">
        <f>Weekly!G284</f>
        <v>0</v>
      </c>
      <c r="E1434" s="13" t="str">
        <f t="shared" si="174"/>
        <v/>
      </c>
      <c r="F1434" s="13" t="str">
        <f t="shared" si="177"/>
        <v/>
      </c>
      <c r="G1434" s="13" t="str">
        <f t="shared" si="175"/>
        <v/>
      </c>
      <c r="H1434" s="13" t="str">
        <f t="shared" si="176"/>
        <v/>
      </c>
      <c r="I1434" s="14" t="str">
        <f t="array" ref="I1434">IF(getRGB1(Weekly!G284)="FFFF00","초방","재방")</f>
        <v>재방</v>
      </c>
    </row>
    <row r="1435" spans="1:9" ht="11.25" customHeight="1" x14ac:dyDescent="0.3">
      <c r="A1435" s="10" t="str">
        <f t="shared" si="173"/>
        <v/>
      </c>
      <c r="B1435" s="11">
        <f>Weekly!$G$3</f>
        <v>45919</v>
      </c>
      <c r="C1435" s="12">
        <v>0.97569444444444398</v>
      </c>
      <c r="D1435" s="13">
        <f>Weekly!G285</f>
        <v>0</v>
      </c>
      <c r="E1435" s="13" t="str">
        <f t="shared" si="174"/>
        <v/>
      </c>
      <c r="F1435" s="13" t="str">
        <f t="shared" si="177"/>
        <v/>
      </c>
      <c r="G1435" s="13" t="str">
        <f t="shared" si="175"/>
        <v/>
      </c>
      <c r="H1435" s="13" t="str">
        <f t="shared" si="176"/>
        <v/>
      </c>
      <c r="I1435" s="14" t="str">
        <f t="array" ref="I1435">IF(getRGB1(Weekly!G285)="FFFF00","초방","재방")</f>
        <v>재방</v>
      </c>
    </row>
    <row r="1436" spans="1:9" ht="11.25" customHeight="1" x14ac:dyDescent="0.3">
      <c r="A1436" s="10" t="str">
        <f t="shared" si="173"/>
        <v/>
      </c>
      <c r="B1436" s="11">
        <f>Weekly!$G$3</f>
        <v>45919</v>
      </c>
      <c r="C1436" s="12">
        <v>0.97916666666666696</v>
      </c>
      <c r="D1436" s="13">
        <f>Weekly!G286</f>
        <v>0</v>
      </c>
      <c r="E1436" s="13" t="str">
        <f t="shared" si="174"/>
        <v/>
      </c>
      <c r="F1436" s="13" t="str">
        <f t="shared" si="177"/>
        <v/>
      </c>
      <c r="G1436" s="13" t="str">
        <f t="shared" si="175"/>
        <v/>
      </c>
      <c r="H1436" s="13" t="str">
        <f t="shared" si="176"/>
        <v/>
      </c>
      <c r="I1436" s="14" t="str">
        <f t="array" ref="I1436">IF(getRGB1(Weekly!G286)="FFFF00","초방","재방")</f>
        <v>재방</v>
      </c>
    </row>
    <row r="1437" spans="1:9" ht="11.25" customHeight="1" x14ac:dyDescent="0.3">
      <c r="A1437" s="10" t="str">
        <f t="shared" si="173"/>
        <v/>
      </c>
      <c r="B1437" s="11">
        <f>Weekly!$G$3</f>
        <v>45919</v>
      </c>
      <c r="C1437" s="12">
        <v>0.98263888888888895</v>
      </c>
      <c r="D1437" s="13">
        <f>Weekly!G287</f>
        <v>0</v>
      </c>
      <c r="E1437" s="13" t="str">
        <f t="shared" si="174"/>
        <v/>
      </c>
      <c r="F1437" s="13" t="str">
        <f t="shared" si="177"/>
        <v/>
      </c>
      <c r="G1437" s="13" t="str">
        <f t="shared" si="175"/>
        <v/>
      </c>
      <c r="H1437" s="13" t="str">
        <f t="shared" si="176"/>
        <v/>
      </c>
      <c r="I1437" s="14" t="str">
        <f t="array" ref="I1437">IF(getRGB1(Weekly!G287)="FFFF00","초방","재방")</f>
        <v>재방</v>
      </c>
    </row>
    <row r="1438" spans="1:9" ht="11.25" customHeight="1" x14ac:dyDescent="0.3">
      <c r="A1438" s="10" t="str">
        <f t="shared" si="173"/>
        <v/>
      </c>
      <c r="B1438" s="11">
        <f>Weekly!$G$3</f>
        <v>45919</v>
      </c>
      <c r="C1438" s="12">
        <v>0.98611111111111105</v>
      </c>
      <c r="D1438" s="13">
        <f>Weekly!G288</f>
        <v>0</v>
      </c>
      <c r="E1438" s="13" t="str">
        <f t="shared" si="174"/>
        <v/>
      </c>
      <c r="F1438" s="13" t="str">
        <f t="shared" si="177"/>
        <v/>
      </c>
      <c r="G1438" s="13" t="str">
        <f t="shared" si="175"/>
        <v/>
      </c>
      <c r="H1438" s="13" t="str">
        <f t="shared" si="176"/>
        <v/>
      </c>
      <c r="I1438" s="14" t="str">
        <f t="array" ref="I1438">IF(getRGB1(Weekly!G288)="FFFF00","초방","재방")</f>
        <v>재방</v>
      </c>
    </row>
    <row r="1439" spans="1:9" ht="11.25" customHeight="1" x14ac:dyDescent="0.3">
      <c r="A1439" s="10" t="str">
        <f t="shared" si="173"/>
        <v/>
      </c>
      <c r="B1439" s="11">
        <f>Weekly!$G$3</f>
        <v>45919</v>
      </c>
      <c r="C1439" s="12">
        <v>0.98958333333333304</v>
      </c>
      <c r="D1439" s="13">
        <f>Weekly!G289</f>
        <v>0</v>
      </c>
      <c r="E1439" s="13" t="str">
        <f t="shared" si="174"/>
        <v/>
      </c>
      <c r="F1439" s="13" t="str">
        <f t="shared" si="177"/>
        <v/>
      </c>
      <c r="G1439" s="13" t="str">
        <f t="shared" si="175"/>
        <v/>
      </c>
      <c r="H1439" s="13" t="str">
        <f t="shared" si="176"/>
        <v/>
      </c>
      <c r="I1439" s="14" t="str">
        <f t="array" ref="I1439">IF(getRGB1(Weekly!G289)="FFFF00","초방","재방")</f>
        <v>재방</v>
      </c>
    </row>
    <row r="1440" spans="1:9" ht="11.25" customHeight="1" x14ac:dyDescent="0.3">
      <c r="A1440" s="10" t="str">
        <f t="shared" si="173"/>
        <v/>
      </c>
      <c r="B1440" s="11">
        <f>Weekly!$G$3</f>
        <v>45919</v>
      </c>
      <c r="C1440" s="12">
        <v>0.99305555555555503</v>
      </c>
      <c r="D1440" s="13">
        <f>Weekly!G290</f>
        <v>0</v>
      </c>
      <c r="E1440" s="13" t="str">
        <f t="shared" si="174"/>
        <v/>
      </c>
      <c r="F1440" s="13" t="str">
        <f t="shared" si="177"/>
        <v/>
      </c>
      <c r="G1440" s="13" t="str">
        <f t="shared" si="175"/>
        <v/>
      </c>
      <c r="H1440" s="13" t="str">
        <f t="shared" si="176"/>
        <v/>
      </c>
      <c r="I1440" s="14" t="str">
        <f t="array" ref="I1440">IF(getRGB1(Weekly!G290)="FFFF00","초방","재방")</f>
        <v>재방</v>
      </c>
    </row>
    <row r="1441" spans="1:9" ht="11.25" customHeight="1" x14ac:dyDescent="0.3">
      <c r="A1441" s="10" t="str">
        <f t="shared" si="173"/>
        <v/>
      </c>
      <c r="B1441" s="11">
        <f>Weekly!$G$3</f>
        <v>45919</v>
      </c>
      <c r="C1441" s="12">
        <v>0.99652777777777801</v>
      </c>
      <c r="D1441" s="13">
        <f>Weekly!G291</f>
        <v>0</v>
      </c>
      <c r="E1441" s="13" t="str">
        <f t="shared" si="174"/>
        <v/>
      </c>
      <c r="F1441" s="13" t="str">
        <f t="shared" si="177"/>
        <v/>
      </c>
      <c r="G1441" s="13" t="str">
        <f t="shared" si="175"/>
        <v/>
      </c>
      <c r="H1441" s="13" t="str">
        <f t="shared" si="176"/>
        <v/>
      </c>
      <c r="I1441" s="14" t="str">
        <f t="array" ref="I1441">IF(getRGB1(Weekly!G291)="FFFF00","초방","재방")</f>
        <v>재방</v>
      </c>
    </row>
    <row r="1442" spans="1:9" ht="11.25" customHeight="1" x14ac:dyDescent="0.3">
      <c r="A1442" s="10">
        <f t="shared" si="173"/>
        <v>45920</v>
      </c>
      <c r="B1442" s="11">
        <f>Weekly!$H$3</f>
        <v>45920</v>
      </c>
      <c r="C1442" s="12">
        <v>0</v>
      </c>
      <c r="D1442" s="13" t="str">
        <f>Weekly!H4</f>
        <v>특집 2026 지방선거_경기도의회 생생중계_본회의
&lt;18</v>
      </c>
      <c r="E1442" s="13" t="str">
        <f t="shared" si="174"/>
        <v>특집 2026 지방선거_경기도의회 생생중계_본회의</v>
      </c>
      <c r="F1442" s="13">
        <f t="shared" si="177"/>
        <v>18</v>
      </c>
      <c r="G1442" s="13" t="str">
        <f t="shared" si="175"/>
        <v/>
      </c>
      <c r="H1442" s="13" t="str">
        <f t="shared" si="176"/>
        <v/>
      </c>
      <c r="I1442" s="14" t="e">
        <f t="array" aca="1" ref="I1442" ca="1">IF(getRGB1(Weekly!H4)="FFFF00","초방","재방")</f>
        <v>#NAME?</v>
      </c>
    </row>
    <row r="1443" spans="1:9" ht="11.25" customHeight="1" x14ac:dyDescent="0.3">
      <c r="A1443" s="10" t="str">
        <f t="shared" si="173"/>
        <v/>
      </c>
      <c r="B1443" s="11">
        <f>Weekly!$H$3</f>
        <v>45920</v>
      </c>
      <c r="C1443" s="12">
        <v>3.472222222222222E-3</v>
      </c>
      <c r="D1443" s="13">
        <f>Weekly!H5</f>
        <v>0</v>
      </c>
      <c r="E1443" s="13" t="str">
        <f t="shared" si="174"/>
        <v/>
      </c>
      <c r="F1443" s="13" t="str">
        <f t="shared" si="177"/>
        <v/>
      </c>
      <c r="G1443" s="13" t="str">
        <f t="shared" si="175"/>
        <v/>
      </c>
      <c r="H1443" s="13" t="str">
        <f t="shared" si="176"/>
        <v/>
      </c>
      <c r="I1443" s="14" t="e">
        <f t="array" aca="1" ref="I1443" ca="1">IF(getRGB1(Weekly!H5)="FFFF00","초방","재방")</f>
        <v>#NAME?</v>
      </c>
    </row>
    <row r="1444" spans="1:9" ht="11.25" customHeight="1" x14ac:dyDescent="0.3">
      <c r="A1444" s="10" t="str">
        <f t="shared" si="173"/>
        <v/>
      </c>
      <c r="B1444" s="11">
        <f>Weekly!$H$3</f>
        <v>45920</v>
      </c>
      <c r="C1444" s="12">
        <v>6.9444444444444397E-3</v>
      </c>
      <c r="D1444" s="13">
        <f>Weekly!H6</f>
        <v>0</v>
      </c>
      <c r="E1444" s="13" t="str">
        <f t="shared" si="174"/>
        <v/>
      </c>
      <c r="F1444" s="13" t="str">
        <f t="shared" si="177"/>
        <v/>
      </c>
      <c r="G1444" s="13" t="str">
        <f t="shared" si="175"/>
        <v/>
      </c>
      <c r="H1444" s="13" t="str">
        <f t="shared" si="176"/>
        <v/>
      </c>
      <c r="I1444" s="14" t="e">
        <f t="array" aca="1" ref="I1444" ca="1">IF(getRGB1(Weekly!H6)="FFFF00","초방","재방")</f>
        <v>#NAME?</v>
      </c>
    </row>
    <row r="1445" spans="1:9" ht="11.25" customHeight="1" x14ac:dyDescent="0.3">
      <c r="A1445" s="10" t="str">
        <f t="shared" si="173"/>
        <v/>
      </c>
      <c r="B1445" s="11">
        <f>Weekly!$H$3</f>
        <v>45920</v>
      </c>
      <c r="C1445" s="12">
        <v>1.0416666666666701E-2</v>
      </c>
      <c r="D1445" s="13">
        <f>Weekly!H7</f>
        <v>0</v>
      </c>
      <c r="E1445" s="13" t="str">
        <f t="shared" si="174"/>
        <v/>
      </c>
      <c r="F1445" s="13" t="str">
        <f t="shared" si="177"/>
        <v/>
      </c>
      <c r="G1445" s="13" t="str">
        <f t="shared" si="175"/>
        <v/>
      </c>
      <c r="H1445" s="13" t="str">
        <f t="shared" si="176"/>
        <v/>
      </c>
      <c r="I1445" s="14" t="e">
        <f t="array" aca="1" ref="I1445" ca="1">IF(getRGB1(Weekly!H7)="FFFF00","초방","재방")</f>
        <v>#NAME?</v>
      </c>
    </row>
    <row r="1446" spans="1:9" ht="11.25" customHeight="1" x14ac:dyDescent="0.3">
      <c r="A1446" s="10" t="str">
        <f t="shared" si="173"/>
        <v/>
      </c>
      <c r="B1446" s="11">
        <f>Weekly!$H$3</f>
        <v>45920</v>
      </c>
      <c r="C1446" s="12">
        <v>1.38888888888889E-2</v>
      </c>
      <c r="D1446" s="13">
        <f>Weekly!H8</f>
        <v>0</v>
      </c>
      <c r="E1446" s="13" t="str">
        <f t="shared" si="174"/>
        <v/>
      </c>
      <c r="F1446" s="13" t="str">
        <f t="shared" si="177"/>
        <v/>
      </c>
      <c r="G1446" s="13" t="str">
        <f t="shared" si="175"/>
        <v/>
      </c>
      <c r="H1446" s="13" t="str">
        <f t="shared" si="176"/>
        <v/>
      </c>
      <c r="I1446" s="14" t="e">
        <f t="array" aca="1" ref="I1446" ca="1">IF(getRGB1(Weekly!H8)="FFFF00","초방","재방")</f>
        <v>#NAME?</v>
      </c>
    </row>
    <row r="1447" spans="1:9" ht="11.25" customHeight="1" x14ac:dyDescent="0.3">
      <c r="A1447" s="10" t="str">
        <f t="shared" si="173"/>
        <v/>
      </c>
      <c r="B1447" s="11">
        <f>Weekly!$H$3</f>
        <v>45920</v>
      </c>
      <c r="C1447" s="12">
        <v>1.7361111111111101E-2</v>
      </c>
      <c r="D1447" s="13">
        <f>Weekly!H9</f>
        <v>0</v>
      </c>
      <c r="E1447" s="13" t="str">
        <f t="shared" si="174"/>
        <v/>
      </c>
      <c r="F1447" s="13" t="str">
        <f t="shared" si="177"/>
        <v/>
      </c>
      <c r="G1447" s="13" t="str">
        <f t="shared" si="175"/>
        <v/>
      </c>
      <c r="H1447" s="13" t="str">
        <f t="shared" si="176"/>
        <v/>
      </c>
      <c r="I1447" s="14" t="e">
        <f t="array" aca="1" ref="I1447" ca="1">IF(getRGB1(Weekly!H9)="FFFF00","초방","재방")</f>
        <v>#NAME?</v>
      </c>
    </row>
    <row r="1448" spans="1:9" ht="11.25" customHeight="1" x14ac:dyDescent="0.3">
      <c r="A1448" s="10" t="str">
        <f t="shared" si="173"/>
        <v/>
      </c>
      <c r="B1448" s="11">
        <f>Weekly!$H$3</f>
        <v>45920</v>
      </c>
      <c r="C1448" s="12">
        <v>2.0833333333333301E-2</v>
      </c>
      <c r="D1448" s="13">
        <f>Weekly!H10</f>
        <v>0</v>
      </c>
      <c r="E1448" s="13" t="str">
        <f t="shared" si="174"/>
        <v/>
      </c>
      <c r="F1448" s="13" t="str">
        <f t="shared" si="177"/>
        <v/>
      </c>
      <c r="G1448" s="13" t="str">
        <f t="shared" si="175"/>
        <v/>
      </c>
      <c r="H1448" s="13" t="str">
        <f t="shared" si="176"/>
        <v/>
      </c>
      <c r="I1448" s="14" t="e">
        <f t="array" aca="1" ref="I1448" ca="1">IF(getRGB1(Weekly!H10)="FFFF00","초방","재방")</f>
        <v>#NAME?</v>
      </c>
    </row>
    <row r="1449" spans="1:9" ht="11.25" customHeight="1" x14ac:dyDescent="0.3">
      <c r="A1449" s="10" t="str">
        <f t="shared" si="173"/>
        <v/>
      </c>
      <c r="B1449" s="11">
        <f>Weekly!$H$3</f>
        <v>45920</v>
      </c>
      <c r="C1449" s="12">
        <v>2.4305555555555601E-2</v>
      </c>
      <c r="D1449" s="13">
        <f>Weekly!H11</f>
        <v>0</v>
      </c>
      <c r="E1449" s="13" t="str">
        <f t="shared" si="174"/>
        <v/>
      </c>
      <c r="F1449" s="13" t="str">
        <f t="shared" si="177"/>
        <v/>
      </c>
      <c r="G1449" s="13" t="str">
        <f t="shared" si="175"/>
        <v/>
      </c>
      <c r="H1449" s="13" t="str">
        <f t="shared" si="176"/>
        <v/>
      </c>
      <c r="I1449" s="14" t="e">
        <f t="array" aca="1" ref="I1449" ca="1">IF(getRGB1(Weekly!H11)="FFFF00","초방","재방")</f>
        <v>#NAME?</v>
      </c>
    </row>
    <row r="1450" spans="1:9" ht="11.25" customHeight="1" x14ac:dyDescent="0.3">
      <c r="A1450" s="10" t="str">
        <f t="shared" si="173"/>
        <v/>
      </c>
      <c r="B1450" s="11">
        <f>Weekly!$H$3</f>
        <v>45920</v>
      </c>
      <c r="C1450" s="12">
        <v>2.7777777777777801E-2</v>
      </c>
      <c r="D1450" s="13">
        <f>Weekly!H12</f>
        <v>0</v>
      </c>
      <c r="E1450" s="13" t="str">
        <f t="shared" si="174"/>
        <v/>
      </c>
      <c r="F1450" s="13" t="str">
        <f t="shared" si="177"/>
        <v/>
      </c>
      <c r="G1450" s="13" t="str">
        <f t="shared" si="175"/>
        <v/>
      </c>
      <c r="H1450" s="13" t="str">
        <f t="shared" si="176"/>
        <v/>
      </c>
      <c r="I1450" s="14" t="e">
        <f t="array" aca="1" ref="I1450" ca="1">IF(getRGB1(Weekly!H12)="FFFF00","초방","재방")</f>
        <v>#NAME?</v>
      </c>
    </row>
    <row r="1451" spans="1:9" ht="11.25" customHeight="1" x14ac:dyDescent="0.3">
      <c r="A1451" s="10" t="str">
        <f t="shared" si="173"/>
        <v/>
      </c>
      <c r="B1451" s="11">
        <f>Weekly!$H$3</f>
        <v>45920</v>
      </c>
      <c r="C1451" s="12">
        <v>3.125E-2</v>
      </c>
      <c r="D1451" s="13">
        <f>Weekly!H13</f>
        <v>0</v>
      </c>
      <c r="E1451" s="13" t="str">
        <f t="shared" si="174"/>
        <v/>
      </c>
      <c r="F1451" s="13" t="str">
        <f t="shared" si="177"/>
        <v/>
      </c>
      <c r="G1451" s="13" t="str">
        <f t="shared" si="175"/>
        <v/>
      </c>
      <c r="H1451" s="13" t="str">
        <f t="shared" si="176"/>
        <v/>
      </c>
      <c r="I1451" s="14" t="e">
        <f t="array" aca="1" ref="I1451" ca="1">IF(getRGB1(Weekly!H13)="FFFF00","초방","재방")</f>
        <v>#NAME?</v>
      </c>
    </row>
    <row r="1452" spans="1:9" ht="11.25" customHeight="1" x14ac:dyDescent="0.3">
      <c r="A1452" s="10" t="str">
        <f t="shared" si="173"/>
        <v/>
      </c>
      <c r="B1452" s="11">
        <f>Weekly!$H$3</f>
        <v>45920</v>
      </c>
      <c r="C1452" s="12">
        <v>3.4722222222222203E-2</v>
      </c>
      <c r="D1452" s="13">
        <f>Weekly!H14</f>
        <v>0</v>
      </c>
      <c r="E1452" s="13" t="str">
        <f t="shared" si="174"/>
        <v/>
      </c>
      <c r="F1452" s="13" t="str">
        <f t="shared" si="177"/>
        <v/>
      </c>
      <c r="G1452" s="13" t="str">
        <f t="shared" si="175"/>
        <v/>
      </c>
      <c r="H1452" s="13" t="str">
        <f t="shared" si="176"/>
        <v/>
      </c>
      <c r="I1452" s="14" t="e">
        <f t="array" aca="1" ref="I1452" ca="1">IF(getRGB1(Weekly!H14)="FFFF00","초방","재방")</f>
        <v>#NAME?</v>
      </c>
    </row>
    <row r="1453" spans="1:9" ht="11.25" customHeight="1" x14ac:dyDescent="0.3">
      <c r="A1453" s="10" t="str">
        <f t="shared" si="173"/>
        <v/>
      </c>
      <c r="B1453" s="11">
        <f>Weekly!$H$3</f>
        <v>45920</v>
      </c>
      <c r="C1453" s="12">
        <v>3.8194444444444399E-2</v>
      </c>
      <c r="D1453" s="13">
        <f>Weekly!H15</f>
        <v>0</v>
      </c>
      <c r="E1453" s="13" t="str">
        <f t="shared" si="174"/>
        <v/>
      </c>
      <c r="F1453" s="13" t="str">
        <f t="shared" si="177"/>
        <v/>
      </c>
      <c r="G1453" s="13" t="str">
        <f t="shared" si="175"/>
        <v/>
      </c>
      <c r="H1453" s="13" t="str">
        <f t="shared" si="176"/>
        <v/>
      </c>
      <c r="I1453" s="14" t="e">
        <f t="array" aca="1" ref="I1453" ca="1">IF(getRGB1(Weekly!H15)="FFFF00","초방","재방")</f>
        <v>#NAME?</v>
      </c>
    </row>
    <row r="1454" spans="1:9" ht="11.25" customHeight="1" x14ac:dyDescent="0.3">
      <c r="A1454" s="10">
        <f t="shared" si="173"/>
        <v>45920.041666666664</v>
      </c>
      <c r="B1454" s="11">
        <f>Weekly!$H$3</f>
        <v>45920</v>
      </c>
      <c r="C1454" s="12">
        <v>4.1666666666666699E-2</v>
      </c>
      <c r="D1454" s="13" t="str">
        <f>Weekly!H16</f>
        <v>특집 2026 지방선거_경기도의회 생생중계_상임위
&lt;18</v>
      </c>
      <c r="E1454" s="13" t="str">
        <f t="shared" si="174"/>
        <v>특집 2026 지방선거_경기도의회 생생중계_상임위</v>
      </c>
      <c r="F1454" s="13">
        <f t="shared" si="177"/>
        <v>18</v>
      </c>
      <c r="G1454" s="13" t="str">
        <f t="shared" si="175"/>
        <v/>
      </c>
      <c r="H1454" s="13" t="str">
        <f t="shared" si="176"/>
        <v/>
      </c>
      <c r="I1454" s="14" t="e">
        <f t="array" aca="1" ref="I1454" ca="1">IF(getRGB1(Weekly!H16)="FFFF00","초방","재방")</f>
        <v>#NAME?</v>
      </c>
    </row>
    <row r="1455" spans="1:9" ht="11.25" customHeight="1" x14ac:dyDescent="0.3">
      <c r="A1455" s="10" t="str">
        <f t="shared" si="173"/>
        <v/>
      </c>
      <c r="B1455" s="11">
        <f>Weekly!$H$3</f>
        <v>45920</v>
      </c>
      <c r="C1455" s="12">
        <v>4.5138888888888902E-2</v>
      </c>
      <c r="D1455" s="13">
        <f>Weekly!H17</f>
        <v>0</v>
      </c>
      <c r="E1455" s="13" t="str">
        <f t="shared" si="174"/>
        <v/>
      </c>
      <c r="F1455" s="13" t="str">
        <f t="shared" si="177"/>
        <v/>
      </c>
      <c r="G1455" s="13" t="str">
        <f t="shared" si="175"/>
        <v/>
      </c>
      <c r="H1455" s="13" t="str">
        <f t="shared" si="176"/>
        <v/>
      </c>
      <c r="I1455" s="14" t="e">
        <f t="array" aca="1" ref="I1455" ca="1">IF(getRGB1(Weekly!H17)="FFFF00","초방","재방")</f>
        <v>#NAME?</v>
      </c>
    </row>
    <row r="1456" spans="1:9" ht="11.25" customHeight="1" x14ac:dyDescent="0.3">
      <c r="A1456" s="10" t="str">
        <f t="shared" si="173"/>
        <v/>
      </c>
      <c r="B1456" s="11">
        <f>Weekly!$H$3</f>
        <v>45920</v>
      </c>
      <c r="C1456" s="12">
        <v>4.8611111111111098E-2</v>
      </c>
      <c r="D1456" s="13">
        <f>Weekly!H18</f>
        <v>0</v>
      </c>
      <c r="E1456" s="13" t="str">
        <f t="shared" si="174"/>
        <v/>
      </c>
      <c r="F1456" s="13" t="str">
        <f t="shared" si="177"/>
        <v/>
      </c>
      <c r="G1456" s="13" t="str">
        <f t="shared" si="175"/>
        <v/>
      </c>
      <c r="H1456" s="13" t="str">
        <f t="shared" si="176"/>
        <v/>
      </c>
      <c r="I1456" s="14" t="e">
        <f t="array" aca="1" ref="I1456" ca="1">IF(getRGB1(Weekly!H18)="FFFF00","초방","재방")</f>
        <v>#NAME?</v>
      </c>
    </row>
    <row r="1457" spans="1:9" ht="11.25" customHeight="1" x14ac:dyDescent="0.3">
      <c r="A1457" s="10" t="str">
        <f t="shared" si="173"/>
        <v/>
      </c>
      <c r="B1457" s="11">
        <f>Weekly!$H$3</f>
        <v>45920</v>
      </c>
      <c r="C1457" s="12">
        <v>5.2083333333333301E-2</v>
      </c>
      <c r="D1457" s="13">
        <f>Weekly!H19</f>
        <v>0</v>
      </c>
      <c r="E1457" s="13" t="str">
        <f t="shared" si="174"/>
        <v/>
      </c>
      <c r="F1457" s="13" t="str">
        <f t="shared" si="177"/>
        <v/>
      </c>
      <c r="G1457" s="13" t="str">
        <f t="shared" si="175"/>
        <v/>
      </c>
      <c r="H1457" s="13" t="str">
        <f t="shared" si="176"/>
        <v/>
      </c>
      <c r="I1457" s="14" t="e">
        <f t="array" aca="1" ref="I1457" ca="1">IF(getRGB1(Weekly!H19)="FFFF00","초방","재방")</f>
        <v>#NAME?</v>
      </c>
    </row>
    <row r="1458" spans="1:9" ht="11.25" customHeight="1" x14ac:dyDescent="0.3">
      <c r="A1458" s="10" t="str">
        <f t="shared" si="173"/>
        <v/>
      </c>
      <c r="B1458" s="11">
        <f>Weekly!$H$3</f>
        <v>45920</v>
      </c>
      <c r="C1458" s="12">
        <v>5.5555555555555601E-2</v>
      </c>
      <c r="D1458" s="13">
        <f>Weekly!H20</f>
        <v>0</v>
      </c>
      <c r="E1458" s="13" t="str">
        <f t="shared" si="174"/>
        <v/>
      </c>
      <c r="F1458" s="13" t="str">
        <f t="shared" si="177"/>
        <v/>
      </c>
      <c r="G1458" s="13" t="str">
        <f t="shared" si="175"/>
        <v/>
      </c>
      <c r="H1458" s="13" t="str">
        <f t="shared" si="176"/>
        <v/>
      </c>
      <c r="I1458" s="14" t="e">
        <f t="array" aca="1" ref="I1458" ca="1">IF(getRGB1(Weekly!H20)="FFFF00","초방","재방")</f>
        <v>#NAME?</v>
      </c>
    </row>
    <row r="1459" spans="1:9" ht="11.25" customHeight="1" x14ac:dyDescent="0.3">
      <c r="A1459" s="10" t="str">
        <f t="shared" si="173"/>
        <v/>
      </c>
      <c r="B1459" s="11">
        <f>Weekly!$H$3</f>
        <v>45920</v>
      </c>
      <c r="C1459" s="12">
        <v>5.9027777777777797E-2</v>
      </c>
      <c r="D1459" s="13">
        <f>Weekly!H21</f>
        <v>0</v>
      </c>
      <c r="E1459" s="13" t="str">
        <f t="shared" si="174"/>
        <v/>
      </c>
      <c r="F1459" s="13" t="str">
        <f t="shared" si="177"/>
        <v/>
      </c>
      <c r="G1459" s="13" t="str">
        <f t="shared" si="175"/>
        <v/>
      </c>
      <c r="H1459" s="13" t="str">
        <f t="shared" si="176"/>
        <v/>
      </c>
      <c r="I1459" s="14" t="e">
        <f t="array" aca="1" ref="I1459" ca="1">IF(getRGB1(Weekly!H21)="FFFF00","초방","재방")</f>
        <v>#NAME?</v>
      </c>
    </row>
    <row r="1460" spans="1:9" ht="11.25" customHeight="1" x14ac:dyDescent="0.3">
      <c r="A1460" s="10" t="str">
        <f t="shared" si="173"/>
        <v/>
      </c>
      <c r="B1460" s="11">
        <f>Weekly!$H$3</f>
        <v>45920</v>
      </c>
      <c r="C1460" s="12">
        <v>6.25E-2</v>
      </c>
      <c r="D1460" s="13">
        <f>Weekly!H22</f>
        <v>0</v>
      </c>
      <c r="E1460" s="13" t="str">
        <f t="shared" si="174"/>
        <v/>
      </c>
      <c r="F1460" s="13" t="str">
        <f t="shared" si="177"/>
        <v/>
      </c>
      <c r="G1460" s="13" t="str">
        <f t="shared" si="175"/>
        <v/>
      </c>
      <c r="H1460" s="13" t="str">
        <f t="shared" si="176"/>
        <v/>
      </c>
      <c r="I1460" s="14" t="e">
        <f t="array" aca="1" ref="I1460" ca="1">IF(getRGB1(Weekly!H22)="FFFF00","초방","재방")</f>
        <v>#NAME?</v>
      </c>
    </row>
    <row r="1461" spans="1:9" ht="11.25" customHeight="1" x14ac:dyDescent="0.3">
      <c r="A1461" s="10" t="str">
        <f t="shared" si="173"/>
        <v/>
      </c>
      <c r="B1461" s="11">
        <f>Weekly!$H$3</f>
        <v>45920</v>
      </c>
      <c r="C1461" s="12">
        <v>6.5972222222222196E-2</v>
      </c>
      <c r="D1461" s="13">
        <f>Weekly!H23</f>
        <v>0</v>
      </c>
      <c r="E1461" s="13" t="str">
        <f t="shared" si="174"/>
        <v/>
      </c>
      <c r="F1461" s="13" t="str">
        <f t="shared" si="177"/>
        <v/>
      </c>
      <c r="G1461" s="13" t="str">
        <f t="shared" si="175"/>
        <v/>
      </c>
      <c r="H1461" s="13" t="str">
        <f t="shared" si="176"/>
        <v/>
      </c>
      <c r="I1461" s="14" t="e">
        <f t="array" aca="1" ref="I1461" ca="1">IF(getRGB1(Weekly!H23)="FFFF00","초방","재방")</f>
        <v>#NAME?</v>
      </c>
    </row>
    <row r="1462" spans="1:9" ht="11.25" customHeight="1" x14ac:dyDescent="0.3">
      <c r="A1462" s="10" t="str">
        <f t="shared" si="173"/>
        <v/>
      </c>
      <c r="B1462" s="11">
        <f>Weekly!$H$3</f>
        <v>45920</v>
      </c>
      <c r="C1462" s="12">
        <v>6.9444444444444406E-2</v>
      </c>
      <c r="D1462" s="13">
        <f>Weekly!H24</f>
        <v>0</v>
      </c>
      <c r="E1462" s="13" t="str">
        <f t="shared" si="174"/>
        <v/>
      </c>
      <c r="F1462" s="13" t="str">
        <f t="shared" si="177"/>
        <v/>
      </c>
      <c r="G1462" s="13" t="str">
        <f t="shared" si="175"/>
        <v/>
      </c>
      <c r="H1462" s="13" t="str">
        <f t="shared" si="176"/>
        <v/>
      </c>
      <c r="I1462" s="14" t="e">
        <f t="array" aca="1" ref="I1462" ca="1">IF(getRGB1(Weekly!H24)="FFFF00","초방","재방")</f>
        <v>#NAME?</v>
      </c>
    </row>
    <row r="1463" spans="1:9" ht="11.25" customHeight="1" x14ac:dyDescent="0.3">
      <c r="A1463" s="10" t="str">
        <f t="shared" si="173"/>
        <v/>
      </c>
      <c r="B1463" s="11">
        <f>Weekly!$H$3</f>
        <v>45920</v>
      </c>
      <c r="C1463" s="12">
        <v>7.2916666666666699E-2</v>
      </c>
      <c r="D1463" s="13">
        <f>Weekly!H25</f>
        <v>0</v>
      </c>
      <c r="E1463" s="13" t="str">
        <f t="shared" si="174"/>
        <v/>
      </c>
      <c r="F1463" s="13" t="str">
        <f t="shared" si="177"/>
        <v/>
      </c>
      <c r="G1463" s="13" t="str">
        <f t="shared" si="175"/>
        <v/>
      </c>
      <c r="H1463" s="13" t="str">
        <f t="shared" si="176"/>
        <v/>
      </c>
      <c r="I1463" s="14" t="e">
        <f t="array" aca="1" ref="I1463" ca="1">IF(getRGB1(Weekly!H25)="FFFF00","초방","재방")</f>
        <v>#NAME?</v>
      </c>
    </row>
    <row r="1464" spans="1:9" ht="11.25" customHeight="1" x14ac:dyDescent="0.3">
      <c r="A1464" s="10" t="str">
        <f t="shared" si="173"/>
        <v/>
      </c>
      <c r="B1464" s="11">
        <f>Weekly!$H$3</f>
        <v>45920</v>
      </c>
      <c r="C1464" s="12">
        <v>7.6388888888888895E-2</v>
      </c>
      <c r="D1464" s="13">
        <f>Weekly!H26</f>
        <v>0</v>
      </c>
      <c r="E1464" s="13" t="str">
        <f t="shared" si="174"/>
        <v/>
      </c>
      <c r="F1464" s="13" t="str">
        <f t="shared" si="177"/>
        <v/>
      </c>
      <c r="G1464" s="13" t="str">
        <f t="shared" si="175"/>
        <v/>
      </c>
      <c r="H1464" s="13" t="str">
        <f t="shared" si="176"/>
        <v/>
      </c>
      <c r="I1464" s="14" t="e">
        <f t="array" aca="1" ref="I1464" ca="1">IF(getRGB1(Weekly!H26)="FFFF00","초방","재방")</f>
        <v>#NAME?</v>
      </c>
    </row>
    <row r="1465" spans="1:9" ht="11.25" customHeight="1" x14ac:dyDescent="0.3">
      <c r="A1465" s="10" t="str">
        <f t="shared" si="173"/>
        <v/>
      </c>
      <c r="B1465" s="11">
        <f>Weekly!$H$3</f>
        <v>45920</v>
      </c>
      <c r="C1465" s="12">
        <v>7.9861111111111105E-2</v>
      </c>
      <c r="D1465" s="13">
        <f>Weekly!H27</f>
        <v>0</v>
      </c>
      <c r="E1465" s="13" t="str">
        <f t="shared" si="174"/>
        <v/>
      </c>
      <c r="F1465" s="13" t="str">
        <f t="shared" si="177"/>
        <v/>
      </c>
      <c r="G1465" s="13" t="str">
        <f t="shared" si="175"/>
        <v/>
      </c>
      <c r="H1465" s="13" t="str">
        <f t="shared" si="176"/>
        <v/>
      </c>
      <c r="I1465" s="14" t="e">
        <f t="array" aca="1" ref="I1465" ca="1">IF(getRGB1(Weekly!H27)="FFFF00","초방","재방")</f>
        <v>#NAME?</v>
      </c>
    </row>
    <row r="1466" spans="1:9" ht="11.25" customHeight="1" x14ac:dyDescent="0.3">
      <c r="A1466" s="10">
        <f t="shared" si="173"/>
        <v>45920.083333333336</v>
      </c>
      <c r="B1466" s="11">
        <f>Weekly!$H$3</f>
        <v>45920</v>
      </c>
      <c r="C1466" s="12">
        <v>8.3333333333333301E-2</v>
      </c>
      <c r="D1466" s="13" t="str">
        <f>Weekly!H28</f>
        <v>휴먼다큐 시장사람들
&lt;20</v>
      </c>
      <c r="E1466" s="13" t="str">
        <f t="shared" si="174"/>
        <v>휴먼다큐 시장사람들</v>
      </c>
      <c r="F1466" s="13">
        <f t="shared" si="177"/>
        <v>20</v>
      </c>
      <c r="G1466" s="13" t="str">
        <f t="shared" si="175"/>
        <v/>
      </c>
      <c r="H1466" s="13" t="str">
        <f t="shared" si="176"/>
        <v/>
      </c>
      <c r="I1466" s="14" t="str">
        <f t="array" ref="I1466">IF(getRGB1(Weekly!H28)="FFFF00","초방","재방")</f>
        <v>재방</v>
      </c>
    </row>
    <row r="1467" spans="1:9" ht="11.25" customHeight="1" x14ac:dyDescent="0.3">
      <c r="A1467" s="10" t="str">
        <f t="shared" si="173"/>
        <v/>
      </c>
      <c r="B1467" s="11">
        <f>Weekly!$H$3</f>
        <v>45920</v>
      </c>
      <c r="C1467" s="12">
        <v>8.6805555555555594E-2</v>
      </c>
      <c r="D1467" s="13">
        <f>Weekly!H29</f>
        <v>0</v>
      </c>
      <c r="E1467" s="13" t="str">
        <f t="shared" si="174"/>
        <v/>
      </c>
      <c r="F1467" s="13" t="str">
        <f t="shared" si="177"/>
        <v/>
      </c>
      <c r="G1467" s="13" t="str">
        <f t="shared" si="175"/>
        <v/>
      </c>
      <c r="H1467" s="13" t="str">
        <f t="shared" si="176"/>
        <v/>
      </c>
      <c r="I1467" s="14" t="str">
        <f t="array" ref="I1467">IF(getRGB1(Weekly!H29)="FFFF00","초방","재방")</f>
        <v>재방</v>
      </c>
    </row>
    <row r="1468" spans="1:9" ht="11.25" customHeight="1" x14ac:dyDescent="0.3">
      <c r="A1468" s="10" t="str">
        <f t="shared" si="173"/>
        <v/>
      </c>
      <c r="B1468" s="11">
        <f>Weekly!$H$3</f>
        <v>45920</v>
      </c>
      <c r="C1468" s="12">
        <v>9.0277777777777804E-2</v>
      </c>
      <c r="D1468" s="13">
        <f>Weekly!H30</f>
        <v>0</v>
      </c>
      <c r="E1468" s="13" t="str">
        <f t="shared" si="174"/>
        <v/>
      </c>
      <c r="F1468" s="13" t="str">
        <f t="shared" si="177"/>
        <v/>
      </c>
      <c r="G1468" s="13" t="str">
        <f t="shared" si="175"/>
        <v/>
      </c>
      <c r="H1468" s="13" t="str">
        <f t="shared" si="176"/>
        <v/>
      </c>
      <c r="I1468" s="14" t="str">
        <f t="array" ref="I1468">IF(getRGB1(Weekly!H30)="FFFF00","초방","재방")</f>
        <v>재방</v>
      </c>
    </row>
    <row r="1469" spans="1:9" ht="11.25" customHeight="1" x14ac:dyDescent="0.3">
      <c r="A1469" s="10" t="str">
        <f t="shared" si="173"/>
        <v/>
      </c>
      <c r="B1469" s="11">
        <f>Weekly!$H$3</f>
        <v>45920</v>
      </c>
      <c r="C1469" s="12">
        <v>9.375E-2</v>
      </c>
      <c r="D1469" s="13">
        <f>Weekly!H31</f>
        <v>0</v>
      </c>
      <c r="E1469" s="13" t="str">
        <f t="shared" si="174"/>
        <v/>
      </c>
      <c r="F1469" s="13" t="str">
        <f t="shared" si="177"/>
        <v/>
      </c>
      <c r="G1469" s="13" t="str">
        <f t="shared" si="175"/>
        <v/>
      </c>
      <c r="H1469" s="13" t="str">
        <f t="shared" si="176"/>
        <v/>
      </c>
      <c r="I1469" s="14" t="str">
        <f t="array" ref="I1469">IF(getRGB1(Weekly!H31)="FFFF00","초방","재방")</f>
        <v>재방</v>
      </c>
    </row>
    <row r="1470" spans="1:9" ht="11.25" customHeight="1" x14ac:dyDescent="0.3">
      <c r="A1470" s="10" t="str">
        <f t="shared" si="173"/>
        <v/>
      </c>
      <c r="B1470" s="11">
        <f>Weekly!$H$3</f>
        <v>45920</v>
      </c>
      <c r="C1470" s="12">
        <v>9.7222222222222196E-2</v>
      </c>
      <c r="D1470" s="13">
        <f>Weekly!H32</f>
        <v>0</v>
      </c>
      <c r="E1470" s="13" t="str">
        <f t="shared" si="174"/>
        <v/>
      </c>
      <c r="F1470" s="13" t="str">
        <f t="shared" si="177"/>
        <v/>
      </c>
      <c r="G1470" s="13" t="str">
        <f t="shared" si="175"/>
        <v/>
      </c>
      <c r="H1470" s="13" t="str">
        <f t="shared" si="176"/>
        <v/>
      </c>
      <c r="I1470" s="14" t="str">
        <f t="array" ref="I1470">IF(getRGB1(Weekly!H32)="FFFF00","초방","재방")</f>
        <v>재방</v>
      </c>
    </row>
    <row r="1471" spans="1:9" ht="11.25" customHeight="1" x14ac:dyDescent="0.3">
      <c r="A1471" s="10" t="str">
        <f t="shared" si="173"/>
        <v/>
      </c>
      <c r="B1471" s="11">
        <f>Weekly!$H$3</f>
        <v>45920</v>
      </c>
      <c r="C1471" s="12">
        <v>0.100694444444444</v>
      </c>
      <c r="D1471" s="13">
        <f>Weekly!H33</f>
        <v>0</v>
      </c>
      <c r="E1471" s="13" t="str">
        <f t="shared" si="174"/>
        <v/>
      </c>
      <c r="F1471" s="13" t="str">
        <f t="shared" si="177"/>
        <v/>
      </c>
      <c r="G1471" s="13" t="str">
        <f t="shared" si="175"/>
        <v/>
      </c>
      <c r="H1471" s="13" t="str">
        <f t="shared" si="176"/>
        <v/>
      </c>
      <c r="I1471" s="14" t="str">
        <f t="array" ref="I1471">IF(getRGB1(Weekly!H33)="FFFF00","초방","재방")</f>
        <v>재방</v>
      </c>
    </row>
    <row r="1472" spans="1:9" ht="11.25" customHeight="1" x14ac:dyDescent="0.3">
      <c r="A1472" s="10" t="str">
        <f t="shared" si="173"/>
        <v/>
      </c>
      <c r="B1472" s="11">
        <f>Weekly!$H$3</f>
        <v>45920</v>
      </c>
      <c r="C1472" s="12">
        <v>0.104166666666667</v>
      </c>
      <c r="D1472" s="13">
        <f>Weekly!H34</f>
        <v>0</v>
      </c>
      <c r="E1472" s="13" t="str">
        <f t="shared" si="174"/>
        <v/>
      </c>
      <c r="F1472" s="13" t="str">
        <f t="shared" si="177"/>
        <v/>
      </c>
      <c r="G1472" s="13" t="str">
        <f t="shared" si="175"/>
        <v/>
      </c>
      <c r="H1472" s="13" t="str">
        <f t="shared" si="176"/>
        <v/>
      </c>
      <c r="I1472" s="14" t="str">
        <f t="array" ref="I1472">IF(getRGB1(Weekly!H34)="FFFF00","초방","재방")</f>
        <v>재방</v>
      </c>
    </row>
    <row r="1473" spans="1:9" ht="11.25" customHeight="1" x14ac:dyDescent="0.3">
      <c r="A1473" s="10" t="str">
        <f t="shared" si="173"/>
        <v/>
      </c>
      <c r="B1473" s="11">
        <f>Weekly!$H$3</f>
        <v>45920</v>
      </c>
      <c r="C1473" s="12">
        <v>0.10763888888888901</v>
      </c>
      <c r="D1473" s="13">
        <f>Weekly!H35</f>
        <v>0</v>
      </c>
      <c r="E1473" s="13" t="str">
        <f t="shared" si="174"/>
        <v/>
      </c>
      <c r="F1473" s="13" t="str">
        <f t="shared" si="177"/>
        <v/>
      </c>
      <c r="G1473" s="13" t="str">
        <f t="shared" si="175"/>
        <v/>
      </c>
      <c r="H1473" s="13" t="str">
        <f t="shared" si="176"/>
        <v/>
      </c>
      <c r="I1473" s="14" t="str">
        <f t="array" ref="I1473">IF(getRGB1(Weekly!H35)="FFFF00","초방","재방")</f>
        <v>재방</v>
      </c>
    </row>
    <row r="1474" spans="1:9" ht="11.25" customHeight="1" x14ac:dyDescent="0.3">
      <c r="A1474" s="10">
        <f t="shared" ref="A1474:A1537" si="178">IF(D1474&lt;&gt;0,B1474+C1474,"")</f>
        <v>45920.111111111109</v>
      </c>
      <c r="B1474" s="11">
        <f>Weekly!$H$3</f>
        <v>45920</v>
      </c>
      <c r="C1474" s="12">
        <v>0.11111111111111099</v>
      </c>
      <c r="D1474" s="13" t="str">
        <f>Weekly!H36</f>
        <v>최선규의 이제는 지방시대 시즌2
&lt;09</v>
      </c>
      <c r="E1474" s="13" t="str">
        <f t="shared" ref="E1474:E1537" si="179">IFERROR(SUBSTITUTE(SUBSTITUTE(TRIM(LEFT(D1474,FIND("&lt;",D1474)-1)),CHAR(10),""),"⑮ ",""),"")</f>
        <v>최선규의 이제는 지방시대 시즌2</v>
      </c>
      <c r="F1474" s="13">
        <f t="shared" si="177"/>
        <v>9</v>
      </c>
      <c r="G1474" s="13" t="str">
        <f t="shared" ref="G1474:G1537" si="180">IFERROR(MID(D1474,FIND("&gt;",D1474)+1,10),"")</f>
        <v/>
      </c>
      <c r="H1474" s="13" t="str">
        <f t="shared" ref="H1474:H1537" si="181">IFERROR(VLOOKUP(LEFT(D1474,2),$W$1:$X$6,2,0),"")</f>
        <v/>
      </c>
      <c r="I1474" s="14" t="str">
        <f t="array" ref="I1474">IF(getRGB1(Weekly!H36)="FFFF00","초방","재방")</f>
        <v>재방</v>
      </c>
    </row>
    <row r="1475" spans="1:9" ht="11.25" customHeight="1" x14ac:dyDescent="0.3">
      <c r="A1475" s="10" t="str">
        <f t="shared" si="178"/>
        <v/>
      </c>
      <c r="B1475" s="11">
        <f>Weekly!$H$3</f>
        <v>45920</v>
      </c>
      <c r="C1475" s="12">
        <v>0.114583333333333</v>
      </c>
      <c r="D1475" s="13">
        <f>Weekly!H37</f>
        <v>0</v>
      </c>
      <c r="E1475" s="13" t="str">
        <f t="shared" si="179"/>
        <v/>
      </c>
      <c r="F1475" s="13" t="str">
        <f t="shared" ref="F1475:F1538" si="182">IFERROR((MID(D1475,FIND("&lt;",D1475)+1,4))*1,"")</f>
        <v/>
      </c>
      <c r="G1475" s="13" t="str">
        <f t="shared" si="180"/>
        <v/>
      </c>
      <c r="H1475" s="13" t="str">
        <f t="shared" si="181"/>
        <v/>
      </c>
      <c r="I1475" s="14" t="str">
        <f t="array" ref="I1475">IF(getRGB1(Weekly!H37)="FFFF00","초방","재방")</f>
        <v>재방</v>
      </c>
    </row>
    <row r="1476" spans="1:9" ht="11.25" customHeight="1" x14ac:dyDescent="0.3">
      <c r="A1476" s="10" t="str">
        <f t="shared" si="178"/>
        <v/>
      </c>
      <c r="B1476" s="11">
        <f>Weekly!$H$3</f>
        <v>45920</v>
      </c>
      <c r="C1476" s="12">
        <v>0.118055555555556</v>
      </c>
      <c r="D1476" s="13">
        <f>Weekly!H38</f>
        <v>0</v>
      </c>
      <c r="E1476" s="13" t="str">
        <f t="shared" si="179"/>
        <v/>
      </c>
      <c r="F1476" s="13" t="str">
        <f t="shared" si="182"/>
        <v/>
      </c>
      <c r="G1476" s="13" t="str">
        <f t="shared" si="180"/>
        <v/>
      </c>
      <c r="H1476" s="13" t="str">
        <f t="shared" si="181"/>
        <v/>
      </c>
      <c r="I1476" s="14" t="str">
        <f t="array" ref="I1476">IF(getRGB1(Weekly!H38)="FFFF00","초방","재방")</f>
        <v>재방</v>
      </c>
    </row>
    <row r="1477" spans="1:9" ht="11.25" customHeight="1" x14ac:dyDescent="0.3">
      <c r="A1477" s="10" t="str">
        <f t="shared" si="178"/>
        <v/>
      </c>
      <c r="B1477" s="11">
        <f>Weekly!$H$3</f>
        <v>45920</v>
      </c>
      <c r="C1477" s="12">
        <v>0.121527777777778</v>
      </c>
      <c r="D1477" s="13">
        <f>Weekly!H39</f>
        <v>0</v>
      </c>
      <c r="E1477" s="13" t="str">
        <f t="shared" si="179"/>
        <v/>
      </c>
      <c r="F1477" s="13" t="str">
        <f t="shared" si="182"/>
        <v/>
      </c>
      <c r="G1477" s="13" t="str">
        <f t="shared" si="180"/>
        <v/>
      </c>
      <c r="H1477" s="13" t="str">
        <f t="shared" si="181"/>
        <v/>
      </c>
      <c r="I1477" s="14" t="str">
        <f t="array" ref="I1477">IF(getRGB1(Weekly!H39)="FFFF00","초방","재방")</f>
        <v>재방</v>
      </c>
    </row>
    <row r="1478" spans="1:9" ht="11.25" customHeight="1" x14ac:dyDescent="0.3">
      <c r="A1478" s="10" t="str">
        <f t="shared" si="178"/>
        <v/>
      </c>
      <c r="B1478" s="11">
        <f>Weekly!$H$3</f>
        <v>45920</v>
      </c>
      <c r="C1478" s="12">
        <v>0.125</v>
      </c>
      <c r="D1478" s="13">
        <f>Weekly!H40</f>
        <v>0</v>
      </c>
      <c r="E1478" s="13" t="str">
        <f t="shared" si="179"/>
        <v/>
      </c>
      <c r="F1478" s="13" t="str">
        <f t="shared" si="182"/>
        <v/>
      </c>
      <c r="G1478" s="13" t="str">
        <f t="shared" si="180"/>
        <v/>
      </c>
      <c r="H1478" s="13" t="str">
        <f t="shared" si="181"/>
        <v/>
      </c>
      <c r="I1478" s="14" t="str">
        <f t="array" ref="I1478">IF(getRGB1(Weekly!H40)="FFFF00","초방","재방")</f>
        <v>재방</v>
      </c>
    </row>
    <row r="1479" spans="1:9" ht="11.25" customHeight="1" x14ac:dyDescent="0.3">
      <c r="A1479" s="10" t="str">
        <f t="shared" si="178"/>
        <v/>
      </c>
      <c r="B1479" s="11">
        <f>Weekly!$H$3</f>
        <v>45920</v>
      </c>
      <c r="C1479" s="12">
        <v>0.12847222222222199</v>
      </c>
      <c r="D1479" s="13">
        <f>Weekly!H41</f>
        <v>0</v>
      </c>
      <c r="E1479" s="13" t="str">
        <f t="shared" si="179"/>
        <v/>
      </c>
      <c r="F1479" s="13" t="str">
        <f t="shared" si="182"/>
        <v/>
      </c>
      <c r="G1479" s="13" t="str">
        <f t="shared" si="180"/>
        <v/>
      </c>
      <c r="H1479" s="13" t="str">
        <f t="shared" si="181"/>
        <v/>
      </c>
      <c r="I1479" s="14" t="str">
        <f t="array" ref="I1479">IF(getRGB1(Weekly!H41)="FFFF00","초방","재방")</f>
        <v>재방</v>
      </c>
    </row>
    <row r="1480" spans="1:9" ht="11.25" customHeight="1" x14ac:dyDescent="0.3">
      <c r="A1480" s="10" t="str">
        <f t="shared" si="178"/>
        <v/>
      </c>
      <c r="B1480" s="11">
        <f>Weekly!$H$3</f>
        <v>45920</v>
      </c>
      <c r="C1480" s="12">
        <v>0.131944444444444</v>
      </c>
      <c r="D1480" s="13">
        <f>Weekly!H42</f>
        <v>0</v>
      </c>
      <c r="E1480" s="13" t="str">
        <f t="shared" si="179"/>
        <v/>
      </c>
      <c r="F1480" s="13" t="str">
        <f t="shared" si="182"/>
        <v/>
      </c>
      <c r="G1480" s="13" t="str">
        <f t="shared" si="180"/>
        <v/>
      </c>
      <c r="H1480" s="13" t="str">
        <f t="shared" si="181"/>
        <v/>
      </c>
      <c r="I1480" s="14" t="str">
        <f t="array" ref="I1480">IF(getRGB1(Weekly!H42)="FFFF00","초방","재방")</f>
        <v>재방</v>
      </c>
    </row>
    <row r="1481" spans="1:9" ht="11.25" customHeight="1" x14ac:dyDescent="0.3">
      <c r="A1481" s="10" t="str">
        <f t="shared" si="178"/>
        <v/>
      </c>
      <c r="B1481" s="11">
        <f>Weekly!$H$3</f>
        <v>45920</v>
      </c>
      <c r="C1481" s="12">
        <v>0.13541666666666699</v>
      </c>
      <c r="D1481" s="13">
        <f>Weekly!H43</f>
        <v>0</v>
      </c>
      <c r="E1481" s="13" t="str">
        <f t="shared" si="179"/>
        <v/>
      </c>
      <c r="F1481" s="13" t="str">
        <f t="shared" si="182"/>
        <v/>
      </c>
      <c r="G1481" s="13" t="str">
        <f t="shared" si="180"/>
        <v/>
      </c>
      <c r="H1481" s="13" t="str">
        <f t="shared" si="181"/>
        <v/>
      </c>
      <c r="I1481" s="14" t="str">
        <f t="array" ref="I1481">IF(getRGB1(Weekly!H43)="FFFF00","초방","재방")</f>
        <v>재방</v>
      </c>
    </row>
    <row r="1482" spans="1:9" ht="11.25" customHeight="1" x14ac:dyDescent="0.3">
      <c r="A1482" s="10" t="str">
        <f t="shared" si="178"/>
        <v/>
      </c>
      <c r="B1482" s="11">
        <f>Weekly!$H$3</f>
        <v>45920</v>
      </c>
      <c r="C1482" s="12">
        <v>0.13888888888888901</v>
      </c>
      <c r="D1482" s="13">
        <f>Weekly!H44</f>
        <v>0</v>
      </c>
      <c r="E1482" s="13" t="str">
        <f t="shared" si="179"/>
        <v/>
      </c>
      <c r="F1482" s="13" t="str">
        <f t="shared" si="182"/>
        <v/>
      </c>
      <c r="G1482" s="13" t="str">
        <f t="shared" si="180"/>
        <v/>
      </c>
      <c r="H1482" s="13" t="str">
        <f t="shared" si="181"/>
        <v/>
      </c>
      <c r="I1482" s="14" t="str">
        <f t="array" ref="I1482">IF(getRGB1(Weekly!H44)="FFFF00","초방","재방")</f>
        <v>재방</v>
      </c>
    </row>
    <row r="1483" spans="1:9" ht="11.25" customHeight="1" x14ac:dyDescent="0.3">
      <c r="A1483" s="10" t="str">
        <f t="shared" si="178"/>
        <v/>
      </c>
      <c r="B1483" s="11">
        <f>Weekly!$H$3</f>
        <v>45920</v>
      </c>
      <c r="C1483" s="12">
        <v>0.14236111111111099</v>
      </c>
      <c r="D1483" s="13">
        <f>Weekly!H45</f>
        <v>0</v>
      </c>
      <c r="E1483" s="13" t="str">
        <f t="shared" si="179"/>
        <v/>
      </c>
      <c r="F1483" s="13" t="str">
        <f t="shared" si="182"/>
        <v/>
      </c>
      <c r="G1483" s="13" t="str">
        <f t="shared" si="180"/>
        <v/>
      </c>
      <c r="H1483" s="13" t="str">
        <f t="shared" si="181"/>
        <v/>
      </c>
      <c r="I1483" s="14" t="str">
        <f t="array" ref="I1483">IF(getRGB1(Weekly!H45)="FFFF00","초방","재방")</f>
        <v>재방</v>
      </c>
    </row>
    <row r="1484" spans="1:9" ht="11.25" customHeight="1" x14ac:dyDescent="0.3">
      <c r="A1484" s="10" t="str">
        <f t="shared" si="178"/>
        <v/>
      </c>
      <c r="B1484" s="11">
        <f>Weekly!$H$3</f>
        <v>45920</v>
      </c>
      <c r="C1484" s="12">
        <v>0.14583333333333301</v>
      </c>
      <c r="D1484" s="13">
        <f>Weekly!H46</f>
        <v>0</v>
      </c>
      <c r="E1484" s="13" t="str">
        <f t="shared" si="179"/>
        <v/>
      </c>
      <c r="F1484" s="13" t="str">
        <f t="shared" si="182"/>
        <v/>
      </c>
      <c r="G1484" s="13" t="str">
        <f t="shared" si="180"/>
        <v/>
      </c>
      <c r="H1484" s="13" t="str">
        <f t="shared" si="181"/>
        <v/>
      </c>
      <c r="I1484" s="14" t="str">
        <f t="array" ref="I1484">IF(getRGB1(Weekly!H46)="FFFF00","초방","재방")</f>
        <v>재방</v>
      </c>
    </row>
    <row r="1485" spans="1:9" ht="11.25" customHeight="1" x14ac:dyDescent="0.3">
      <c r="A1485" s="10" t="str">
        <f t="shared" si="178"/>
        <v/>
      </c>
      <c r="B1485" s="11">
        <f>Weekly!$H$3</f>
        <v>45920</v>
      </c>
      <c r="C1485" s="12">
        <v>0.149305555555556</v>
      </c>
      <c r="D1485" s="13">
        <f>Weekly!H47</f>
        <v>0</v>
      </c>
      <c r="E1485" s="13" t="str">
        <f t="shared" si="179"/>
        <v/>
      </c>
      <c r="F1485" s="13" t="str">
        <f t="shared" si="182"/>
        <v/>
      </c>
      <c r="G1485" s="13" t="str">
        <f t="shared" si="180"/>
        <v/>
      </c>
      <c r="H1485" s="13" t="str">
        <f t="shared" si="181"/>
        <v/>
      </c>
      <c r="I1485" s="14" t="str">
        <f t="array" ref="I1485">IF(getRGB1(Weekly!H47)="FFFF00","초방","재방")</f>
        <v>재방</v>
      </c>
    </row>
    <row r="1486" spans="1:9" ht="11.25" customHeight="1" x14ac:dyDescent="0.3">
      <c r="A1486" s="10">
        <f t="shared" si="178"/>
        <v>45920.152777777781</v>
      </c>
      <c r="B1486" s="11">
        <f>Weekly!$H$3</f>
        <v>45920</v>
      </c>
      <c r="C1486" s="12">
        <v>0.15277777777777801</v>
      </c>
      <c r="D1486" s="13" t="str">
        <f>Weekly!H48</f>
        <v>태군노래자랑
&lt;13</v>
      </c>
      <c r="E1486" s="13" t="str">
        <f t="shared" si="179"/>
        <v>태군노래자랑</v>
      </c>
      <c r="F1486" s="13">
        <f t="shared" si="182"/>
        <v>13</v>
      </c>
      <c r="G1486" s="13" t="str">
        <f t="shared" si="180"/>
        <v/>
      </c>
      <c r="H1486" s="13" t="str">
        <f t="shared" si="181"/>
        <v/>
      </c>
      <c r="I1486" s="14" t="str">
        <f t="array" ref="I1486">IF(getRGB1(Weekly!H48)="FFFF00","초방","재방")</f>
        <v>재방</v>
      </c>
    </row>
    <row r="1487" spans="1:9" ht="11.25" customHeight="1" x14ac:dyDescent="0.3">
      <c r="A1487" s="10" t="str">
        <f t="shared" si="178"/>
        <v/>
      </c>
      <c r="B1487" s="11">
        <f>Weekly!$H$3</f>
        <v>45920</v>
      </c>
      <c r="C1487" s="12">
        <v>0.15625</v>
      </c>
      <c r="D1487" s="13">
        <f>Weekly!H49</f>
        <v>0</v>
      </c>
      <c r="E1487" s="13" t="str">
        <f t="shared" si="179"/>
        <v/>
      </c>
      <c r="F1487" s="13" t="str">
        <f t="shared" si="182"/>
        <v/>
      </c>
      <c r="G1487" s="13" t="str">
        <f t="shared" si="180"/>
        <v/>
      </c>
      <c r="H1487" s="13" t="str">
        <f t="shared" si="181"/>
        <v/>
      </c>
      <c r="I1487" s="14" t="str">
        <f t="array" ref="I1487">IF(getRGB1(Weekly!H49)="FFFF00","초방","재방")</f>
        <v>재방</v>
      </c>
    </row>
    <row r="1488" spans="1:9" ht="11.25" customHeight="1" x14ac:dyDescent="0.3">
      <c r="A1488" s="10" t="str">
        <f t="shared" si="178"/>
        <v/>
      </c>
      <c r="B1488" s="11">
        <f>Weekly!$H$3</f>
        <v>45920</v>
      </c>
      <c r="C1488" s="12">
        <v>0.15972222222222199</v>
      </c>
      <c r="D1488" s="13">
        <f>Weekly!H50</f>
        <v>0</v>
      </c>
      <c r="E1488" s="13" t="str">
        <f t="shared" si="179"/>
        <v/>
      </c>
      <c r="F1488" s="13" t="str">
        <f t="shared" si="182"/>
        <v/>
      </c>
      <c r="G1488" s="13" t="str">
        <f t="shared" si="180"/>
        <v/>
      </c>
      <c r="H1488" s="13" t="str">
        <f t="shared" si="181"/>
        <v/>
      </c>
      <c r="I1488" s="14" t="str">
        <f t="array" ref="I1488">IF(getRGB1(Weekly!H50)="FFFF00","초방","재방")</f>
        <v>재방</v>
      </c>
    </row>
    <row r="1489" spans="1:9" ht="11.25" customHeight="1" x14ac:dyDescent="0.3">
      <c r="A1489" s="10" t="str">
        <f t="shared" si="178"/>
        <v/>
      </c>
      <c r="B1489" s="11">
        <f>Weekly!$H$3</f>
        <v>45920</v>
      </c>
      <c r="C1489" s="12">
        <v>0.163194444444444</v>
      </c>
      <c r="D1489" s="13">
        <f>Weekly!H51</f>
        <v>0</v>
      </c>
      <c r="E1489" s="13" t="str">
        <f t="shared" si="179"/>
        <v/>
      </c>
      <c r="F1489" s="13" t="str">
        <f t="shared" si="182"/>
        <v/>
      </c>
      <c r="G1489" s="13" t="str">
        <f t="shared" si="180"/>
        <v/>
      </c>
      <c r="H1489" s="13" t="str">
        <f t="shared" si="181"/>
        <v/>
      </c>
      <c r="I1489" s="14" t="str">
        <f t="array" ref="I1489">IF(getRGB1(Weekly!H51)="FFFF00","초방","재방")</f>
        <v>재방</v>
      </c>
    </row>
    <row r="1490" spans="1:9" ht="11.25" customHeight="1" x14ac:dyDescent="0.3">
      <c r="A1490" s="10" t="str">
        <f t="shared" si="178"/>
        <v/>
      </c>
      <c r="B1490" s="11">
        <f>Weekly!$H$3</f>
        <v>45920</v>
      </c>
      <c r="C1490" s="12">
        <v>0.16666666666666699</v>
      </c>
      <c r="D1490" s="13">
        <f>Weekly!H52</f>
        <v>0</v>
      </c>
      <c r="E1490" s="13" t="str">
        <f t="shared" si="179"/>
        <v/>
      </c>
      <c r="F1490" s="13" t="str">
        <f t="shared" si="182"/>
        <v/>
      </c>
      <c r="G1490" s="13" t="str">
        <f t="shared" si="180"/>
        <v/>
      </c>
      <c r="H1490" s="13" t="str">
        <f t="shared" si="181"/>
        <v/>
      </c>
      <c r="I1490" s="14" t="str">
        <f t="array" ref="I1490">IF(getRGB1(Weekly!H52)="FFFF00","초방","재방")</f>
        <v>재방</v>
      </c>
    </row>
    <row r="1491" spans="1:9" ht="11.25" customHeight="1" x14ac:dyDescent="0.3">
      <c r="A1491" s="10" t="str">
        <f t="shared" si="178"/>
        <v/>
      </c>
      <c r="B1491" s="11">
        <f>Weekly!$H$3</f>
        <v>45920</v>
      </c>
      <c r="C1491" s="12">
        <v>0.17013888888888901</v>
      </c>
      <c r="D1491" s="13">
        <f>Weekly!H53</f>
        <v>0</v>
      </c>
      <c r="E1491" s="13" t="str">
        <f t="shared" si="179"/>
        <v/>
      </c>
      <c r="F1491" s="13" t="str">
        <f t="shared" si="182"/>
        <v/>
      </c>
      <c r="G1491" s="13" t="str">
        <f t="shared" si="180"/>
        <v/>
      </c>
      <c r="H1491" s="13" t="str">
        <f t="shared" si="181"/>
        <v/>
      </c>
      <c r="I1491" s="14" t="str">
        <f t="array" ref="I1491">IF(getRGB1(Weekly!H53)="FFFF00","초방","재방")</f>
        <v>재방</v>
      </c>
    </row>
    <row r="1492" spans="1:9" ht="11.25" customHeight="1" x14ac:dyDescent="0.3">
      <c r="A1492" s="10" t="str">
        <f t="shared" si="178"/>
        <v/>
      </c>
      <c r="B1492" s="11">
        <f>Weekly!$H$3</f>
        <v>45920</v>
      </c>
      <c r="C1492" s="12">
        <v>0.17361111111111099</v>
      </c>
      <c r="D1492" s="13">
        <f>Weekly!H54</f>
        <v>0</v>
      </c>
      <c r="E1492" s="13" t="str">
        <f t="shared" si="179"/>
        <v/>
      </c>
      <c r="F1492" s="13" t="str">
        <f t="shared" si="182"/>
        <v/>
      </c>
      <c r="G1492" s="13" t="str">
        <f t="shared" si="180"/>
        <v/>
      </c>
      <c r="H1492" s="13" t="str">
        <f t="shared" si="181"/>
        <v/>
      </c>
      <c r="I1492" s="14" t="str">
        <f t="array" ref="I1492">IF(getRGB1(Weekly!H54)="FFFF00","초방","재방")</f>
        <v>재방</v>
      </c>
    </row>
    <row r="1493" spans="1:9" ht="11.25" customHeight="1" x14ac:dyDescent="0.3">
      <c r="A1493" s="10" t="str">
        <f t="shared" si="178"/>
        <v/>
      </c>
      <c r="B1493" s="11">
        <f>Weekly!$H$3</f>
        <v>45920</v>
      </c>
      <c r="C1493" s="12">
        <v>0.17708333333333301</v>
      </c>
      <c r="D1493" s="13">
        <f>Weekly!H55</f>
        <v>0</v>
      </c>
      <c r="E1493" s="13" t="str">
        <f t="shared" si="179"/>
        <v/>
      </c>
      <c r="F1493" s="13" t="str">
        <f t="shared" si="182"/>
        <v/>
      </c>
      <c r="G1493" s="13" t="str">
        <f t="shared" si="180"/>
        <v/>
      </c>
      <c r="H1493" s="13" t="str">
        <f t="shared" si="181"/>
        <v/>
      </c>
      <c r="I1493" s="14" t="str">
        <f t="array" ref="I1493">IF(getRGB1(Weekly!H55)="FFFF00","초방","재방")</f>
        <v>재방</v>
      </c>
    </row>
    <row r="1494" spans="1:9" ht="11.25" customHeight="1" x14ac:dyDescent="0.3">
      <c r="A1494" s="10" t="str">
        <f t="shared" si="178"/>
        <v/>
      </c>
      <c r="B1494" s="11">
        <f>Weekly!$H$3</f>
        <v>45920</v>
      </c>
      <c r="C1494" s="12">
        <v>0.180555555555556</v>
      </c>
      <c r="D1494" s="13">
        <f>Weekly!H56</f>
        <v>0</v>
      </c>
      <c r="E1494" s="13" t="str">
        <f t="shared" si="179"/>
        <v/>
      </c>
      <c r="F1494" s="13" t="str">
        <f t="shared" si="182"/>
        <v/>
      </c>
      <c r="G1494" s="13" t="str">
        <f t="shared" si="180"/>
        <v/>
      </c>
      <c r="H1494" s="13" t="str">
        <f t="shared" si="181"/>
        <v/>
      </c>
      <c r="I1494" s="14" t="str">
        <f t="array" ref="I1494">IF(getRGB1(Weekly!H56)="FFFF00","초방","재방")</f>
        <v>재방</v>
      </c>
    </row>
    <row r="1495" spans="1:9" ht="11.25" customHeight="1" x14ac:dyDescent="0.3">
      <c r="A1495" s="10" t="str">
        <f t="shared" si="178"/>
        <v/>
      </c>
      <c r="B1495" s="11">
        <f>Weekly!$H$3</f>
        <v>45920</v>
      </c>
      <c r="C1495" s="12">
        <v>0.18402777777777801</v>
      </c>
      <c r="D1495" s="13">
        <f>Weekly!H57</f>
        <v>0</v>
      </c>
      <c r="E1495" s="13" t="str">
        <f t="shared" si="179"/>
        <v/>
      </c>
      <c r="F1495" s="13" t="str">
        <f t="shared" si="182"/>
        <v/>
      </c>
      <c r="G1495" s="13" t="str">
        <f t="shared" si="180"/>
        <v/>
      </c>
      <c r="H1495" s="13" t="str">
        <f t="shared" si="181"/>
        <v/>
      </c>
      <c r="I1495" s="14" t="str">
        <f t="array" ref="I1495">IF(getRGB1(Weekly!H57)="FFFF00","초방","재방")</f>
        <v>재방</v>
      </c>
    </row>
    <row r="1496" spans="1:9" ht="11.25" customHeight="1" x14ac:dyDescent="0.3">
      <c r="A1496" s="10" t="str">
        <f t="shared" si="178"/>
        <v/>
      </c>
      <c r="B1496" s="11">
        <f>Weekly!$H$3</f>
        <v>45920</v>
      </c>
      <c r="C1496" s="12">
        <v>0.1875</v>
      </c>
      <c r="D1496" s="13">
        <f>Weekly!H58</f>
        <v>0</v>
      </c>
      <c r="E1496" s="13" t="str">
        <f t="shared" si="179"/>
        <v/>
      </c>
      <c r="F1496" s="13" t="str">
        <f t="shared" si="182"/>
        <v/>
      </c>
      <c r="G1496" s="13" t="str">
        <f t="shared" si="180"/>
        <v/>
      </c>
      <c r="H1496" s="13" t="str">
        <f t="shared" si="181"/>
        <v/>
      </c>
      <c r="I1496" s="14" t="str">
        <f t="array" ref="I1496">IF(getRGB1(Weekly!H58)="FFFF00","초방","재방")</f>
        <v>재방</v>
      </c>
    </row>
    <row r="1497" spans="1:9" ht="11.25" customHeight="1" x14ac:dyDescent="0.3">
      <c r="A1497" s="10" t="str">
        <f t="shared" si="178"/>
        <v/>
      </c>
      <c r="B1497" s="11">
        <f>Weekly!$H$3</f>
        <v>45920</v>
      </c>
      <c r="C1497" s="12">
        <v>0.19097222222222199</v>
      </c>
      <c r="D1497" s="13">
        <f>Weekly!H59</f>
        <v>0</v>
      </c>
      <c r="E1497" s="13" t="str">
        <f t="shared" si="179"/>
        <v/>
      </c>
      <c r="F1497" s="13" t="str">
        <f t="shared" si="182"/>
        <v/>
      </c>
      <c r="G1497" s="13" t="str">
        <f t="shared" si="180"/>
        <v/>
      </c>
      <c r="H1497" s="13" t="str">
        <f t="shared" si="181"/>
        <v/>
      </c>
      <c r="I1497" s="14" t="str">
        <f t="array" ref="I1497">IF(getRGB1(Weekly!H59)="FFFF00","초방","재방")</f>
        <v>재방</v>
      </c>
    </row>
    <row r="1498" spans="1:9" ht="11.25" customHeight="1" x14ac:dyDescent="0.3">
      <c r="A1498" s="10">
        <f t="shared" si="178"/>
        <v>45920.194444444445</v>
      </c>
      <c r="B1498" s="11">
        <f>Weekly!$H$3</f>
        <v>45920</v>
      </c>
      <c r="C1498" s="12">
        <v>0.194444444444444</v>
      </c>
      <c r="D1498" s="13" t="str">
        <f>Weekly!H60</f>
        <v xml:space="preserve"> NEWS4
&lt;64</v>
      </c>
      <c r="E1498" s="13" t="str">
        <f t="shared" si="179"/>
        <v>NEWS4</v>
      </c>
      <c r="F1498" s="13">
        <f t="shared" si="182"/>
        <v>64</v>
      </c>
      <c r="G1498" s="13" t="str">
        <f t="shared" si="180"/>
        <v/>
      </c>
      <c r="H1498" s="13" t="str">
        <f t="shared" si="181"/>
        <v/>
      </c>
      <c r="I1498" s="14" t="str">
        <f t="array" ref="I1498">IF(getRGB1(Weekly!H60)="FFFF00","초방","재방")</f>
        <v>재방</v>
      </c>
    </row>
    <row r="1499" spans="1:9" ht="11.25" customHeight="1" x14ac:dyDescent="0.3">
      <c r="A1499" s="10" t="str">
        <f t="shared" si="178"/>
        <v/>
      </c>
      <c r="B1499" s="11">
        <f>Weekly!$H$3</f>
        <v>45920</v>
      </c>
      <c r="C1499" s="12">
        <v>0.19791666666666699</v>
      </c>
      <c r="D1499" s="13">
        <f>Weekly!H61</f>
        <v>0</v>
      </c>
      <c r="E1499" s="13" t="str">
        <f t="shared" si="179"/>
        <v/>
      </c>
      <c r="F1499" s="13" t="str">
        <f t="shared" si="182"/>
        <v/>
      </c>
      <c r="G1499" s="13" t="str">
        <f t="shared" si="180"/>
        <v/>
      </c>
      <c r="H1499" s="13" t="str">
        <f t="shared" si="181"/>
        <v/>
      </c>
      <c r="I1499" s="14" t="str">
        <f t="array" ref="I1499">IF(getRGB1(Weekly!H61)="FFFF00","초방","재방")</f>
        <v>재방</v>
      </c>
    </row>
    <row r="1500" spans="1:9" ht="11.25" customHeight="1" x14ac:dyDescent="0.3">
      <c r="A1500" s="10" t="str">
        <f t="shared" si="178"/>
        <v/>
      </c>
      <c r="B1500" s="11">
        <f>Weekly!$H$3</f>
        <v>45920</v>
      </c>
      <c r="C1500" s="12">
        <v>0.20138888888888901</v>
      </c>
      <c r="D1500" s="13">
        <f>Weekly!H62</f>
        <v>0</v>
      </c>
      <c r="E1500" s="13" t="str">
        <f t="shared" si="179"/>
        <v/>
      </c>
      <c r="F1500" s="13" t="str">
        <f t="shared" si="182"/>
        <v/>
      </c>
      <c r="G1500" s="13" t="str">
        <f t="shared" si="180"/>
        <v/>
      </c>
      <c r="H1500" s="13" t="str">
        <f t="shared" si="181"/>
        <v/>
      </c>
      <c r="I1500" s="14" t="str">
        <f t="array" ref="I1500">IF(getRGB1(Weekly!H62)="FFFF00","초방","재방")</f>
        <v>재방</v>
      </c>
    </row>
    <row r="1501" spans="1:9" ht="11.25" customHeight="1" x14ac:dyDescent="0.3">
      <c r="A1501" s="10" t="str">
        <f t="shared" si="178"/>
        <v/>
      </c>
      <c r="B1501" s="11">
        <f>Weekly!$H$3</f>
        <v>45920</v>
      </c>
      <c r="C1501" s="12">
        <v>0.20486111111111099</v>
      </c>
      <c r="D1501" s="13">
        <f>Weekly!H63</f>
        <v>0</v>
      </c>
      <c r="E1501" s="13" t="str">
        <f t="shared" si="179"/>
        <v/>
      </c>
      <c r="F1501" s="13" t="str">
        <f t="shared" si="182"/>
        <v/>
      </c>
      <c r="G1501" s="13" t="str">
        <f t="shared" si="180"/>
        <v/>
      </c>
      <c r="H1501" s="13" t="str">
        <f t="shared" si="181"/>
        <v/>
      </c>
      <c r="I1501" s="14" t="str">
        <f t="array" ref="I1501">IF(getRGB1(Weekly!H63)="FFFF00","초방","재방")</f>
        <v>재방</v>
      </c>
    </row>
    <row r="1502" spans="1:9" ht="11.25" customHeight="1" x14ac:dyDescent="0.3">
      <c r="A1502" s="10" t="str">
        <f t="shared" si="178"/>
        <v/>
      </c>
      <c r="B1502" s="11">
        <f>Weekly!$H$3</f>
        <v>45920</v>
      </c>
      <c r="C1502" s="12">
        <v>0.20833333333333301</v>
      </c>
      <c r="D1502" s="13">
        <f>Weekly!H64</f>
        <v>0</v>
      </c>
      <c r="E1502" s="13" t="str">
        <f t="shared" si="179"/>
        <v/>
      </c>
      <c r="F1502" s="13" t="str">
        <f t="shared" si="182"/>
        <v/>
      </c>
      <c r="G1502" s="13" t="str">
        <f t="shared" si="180"/>
        <v/>
      </c>
      <c r="H1502" s="13" t="str">
        <f t="shared" si="181"/>
        <v/>
      </c>
      <c r="I1502" s="14" t="str">
        <f t="array" ref="I1502">IF(getRGB1(Weekly!H64)="FFFF00","초방","재방")</f>
        <v>재방</v>
      </c>
    </row>
    <row r="1503" spans="1:9" ht="11.25" customHeight="1" x14ac:dyDescent="0.3">
      <c r="A1503" s="10" t="str">
        <f t="shared" si="178"/>
        <v/>
      </c>
      <c r="B1503" s="11">
        <f>Weekly!$H$3</f>
        <v>45920</v>
      </c>
      <c r="C1503" s="12">
        <v>0.211805555555556</v>
      </c>
      <c r="D1503" s="13">
        <f>Weekly!H65</f>
        <v>0</v>
      </c>
      <c r="E1503" s="13" t="str">
        <f t="shared" si="179"/>
        <v/>
      </c>
      <c r="F1503" s="13" t="str">
        <f t="shared" si="182"/>
        <v/>
      </c>
      <c r="G1503" s="13" t="str">
        <f t="shared" si="180"/>
        <v/>
      </c>
      <c r="H1503" s="13" t="str">
        <f t="shared" si="181"/>
        <v/>
      </c>
      <c r="I1503" s="14" t="str">
        <f t="array" ref="I1503">IF(getRGB1(Weekly!H65)="FFFF00","초방","재방")</f>
        <v>재방</v>
      </c>
    </row>
    <row r="1504" spans="1:9" ht="11.25" customHeight="1" x14ac:dyDescent="0.3">
      <c r="A1504" s="10">
        <f t="shared" si="178"/>
        <v>45920.215277777781</v>
      </c>
      <c r="B1504" s="11">
        <f>Weekly!$H$3</f>
        <v>45920</v>
      </c>
      <c r="C1504" s="12">
        <v>0.21527777777777801</v>
      </c>
      <c r="D1504" s="13" t="str">
        <f>Weekly!H66</f>
        <v xml:space="preserve"> 내삶을바꾸는정책
&lt;2194</v>
      </c>
      <c r="E1504" s="13" t="str">
        <f t="shared" si="179"/>
        <v>내삶을바꾸는정책</v>
      </c>
      <c r="F1504" s="13">
        <f t="shared" si="182"/>
        <v>2194</v>
      </c>
      <c r="G1504" s="13" t="str">
        <f t="shared" si="180"/>
        <v/>
      </c>
      <c r="H1504" s="13" t="str">
        <f t="shared" si="181"/>
        <v/>
      </c>
      <c r="I1504" s="14" t="str">
        <f t="array" ref="I1504">IF(getRGB1(Weekly!H66)="FFFF00","초방","재방")</f>
        <v>초방</v>
      </c>
    </row>
    <row r="1505" spans="1:9" ht="11.25" customHeight="1" x14ac:dyDescent="0.3">
      <c r="A1505" s="10" t="str">
        <f t="shared" si="178"/>
        <v/>
      </c>
      <c r="B1505" s="11">
        <f>Weekly!$H$3</f>
        <v>45920</v>
      </c>
      <c r="C1505" s="12">
        <v>0.21875</v>
      </c>
      <c r="D1505" s="13">
        <f>Weekly!H67</f>
        <v>0</v>
      </c>
      <c r="E1505" s="13" t="str">
        <f t="shared" si="179"/>
        <v/>
      </c>
      <c r="F1505" s="13" t="str">
        <f t="shared" si="182"/>
        <v/>
      </c>
      <c r="G1505" s="13" t="str">
        <f t="shared" si="180"/>
        <v/>
      </c>
      <c r="H1505" s="13" t="str">
        <f t="shared" si="181"/>
        <v/>
      </c>
      <c r="I1505" s="14" t="str">
        <f t="array" ref="I1505">IF(getRGB1(Weekly!H67)="FFFF00","초방","재방")</f>
        <v>초방</v>
      </c>
    </row>
    <row r="1506" spans="1:9" ht="11.25" customHeight="1" x14ac:dyDescent="0.3">
      <c r="A1506" s="10" t="str">
        <f t="shared" si="178"/>
        <v/>
      </c>
      <c r="B1506" s="11">
        <f>Weekly!$H$3</f>
        <v>45920</v>
      </c>
      <c r="C1506" s="12">
        <v>0.22222222222222199</v>
      </c>
      <c r="D1506" s="13">
        <f>Weekly!H68</f>
        <v>0</v>
      </c>
      <c r="E1506" s="13" t="str">
        <f t="shared" si="179"/>
        <v/>
      </c>
      <c r="F1506" s="13" t="str">
        <f t="shared" si="182"/>
        <v/>
      </c>
      <c r="G1506" s="13" t="str">
        <f t="shared" si="180"/>
        <v/>
      </c>
      <c r="H1506" s="13" t="str">
        <f t="shared" si="181"/>
        <v/>
      </c>
      <c r="I1506" s="14" t="str">
        <f t="array" ref="I1506">IF(getRGB1(Weekly!H68)="FFFF00","초방","재방")</f>
        <v>초방</v>
      </c>
    </row>
    <row r="1507" spans="1:9" ht="11.25" customHeight="1" x14ac:dyDescent="0.3">
      <c r="A1507" s="10" t="str">
        <f t="shared" si="178"/>
        <v/>
      </c>
      <c r="B1507" s="11">
        <f>Weekly!$H$3</f>
        <v>45920</v>
      </c>
      <c r="C1507" s="12">
        <v>0.225694444444444</v>
      </c>
      <c r="D1507" s="13">
        <f>Weekly!H69</f>
        <v>0</v>
      </c>
      <c r="E1507" s="13" t="str">
        <f t="shared" si="179"/>
        <v/>
      </c>
      <c r="F1507" s="13" t="str">
        <f t="shared" si="182"/>
        <v/>
      </c>
      <c r="G1507" s="13" t="str">
        <f t="shared" si="180"/>
        <v/>
      </c>
      <c r="H1507" s="13" t="str">
        <f t="shared" si="181"/>
        <v/>
      </c>
      <c r="I1507" s="14" t="str">
        <f t="array" ref="I1507">IF(getRGB1(Weekly!H69)="FFFF00","초방","재방")</f>
        <v>초방</v>
      </c>
    </row>
    <row r="1508" spans="1:9" ht="11.25" customHeight="1" x14ac:dyDescent="0.3">
      <c r="A1508" s="10" t="str">
        <f t="shared" si="178"/>
        <v/>
      </c>
      <c r="B1508" s="11">
        <f>Weekly!$H$3</f>
        <v>45920</v>
      </c>
      <c r="C1508" s="12">
        <v>0.22916666666666699</v>
      </c>
      <c r="D1508" s="13">
        <f>Weekly!H70</f>
        <v>0</v>
      </c>
      <c r="E1508" s="13" t="str">
        <f t="shared" si="179"/>
        <v/>
      </c>
      <c r="F1508" s="13" t="str">
        <f t="shared" si="182"/>
        <v/>
      </c>
      <c r="G1508" s="13" t="str">
        <f t="shared" si="180"/>
        <v/>
      </c>
      <c r="H1508" s="13" t="str">
        <f t="shared" si="181"/>
        <v/>
      </c>
      <c r="I1508" s="14" t="str">
        <f t="array" ref="I1508">IF(getRGB1(Weekly!H70)="FFFF00","초방","재방")</f>
        <v>초방</v>
      </c>
    </row>
    <row r="1509" spans="1:9" ht="11.25" customHeight="1" x14ac:dyDescent="0.3">
      <c r="A1509" s="10" t="str">
        <f t="shared" si="178"/>
        <v/>
      </c>
      <c r="B1509" s="11">
        <f>Weekly!$H$3</f>
        <v>45920</v>
      </c>
      <c r="C1509" s="12">
        <v>0.23263888888888901</v>
      </c>
      <c r="D1509" s="13">
        <f>Weekly!H71</f>
        <v>0</v>
      </c>
      <c r="E1509" s="13" t="str">
        <f t="shared" si="179"/>
        <v/>
      </c>
      <c r="F1509" s="13" t="str">
        <f t="shared" si="182"/>
        <v/>
      </c>
      <c r="G1509" s="13" t="str">
        <f t="shared" si="180"/>
        <v/>
      </c>
      <c r="H1509" s="13" t="str">
        <f t="shared" si="181"/>
        <v/>
      </c>
      <c r="I1509" s="14" t="str">
        <f t="array" ref="I1509">IF(getRGB1(Weekly!H71)="FFFF00","초방","재방")</f>
        <v>초방</v>
      </c>
    </row>
    <row r="1510" spans="1:9" ht="11.25" customHeight="1" x14ac:dyDescent="0.3">
      <c r="A1510" s="10" t="str">
        <f t="shared" si="178"/>
        <v/>
      </c>
      <c r="B1510" s="11">
        <f>Weekly!$H$3</f>
        <v>45920</v>
      </c>
      <c r="C1510" s="12">
        <v>0.23611111111111099</v>
      </c>
      <c r="D1510" s="13">
        <f>Weekly!H72</f>
        <v>0</v>
      </c>
      <c r="E1510" s="13" t="str">
        <f t="shared" si="179"/>
        <v/>
      </c>
      <c r="F1510" s="13" t="str">
        <f t="shared" si="182"/>
        <v/>
      </c>
      <c r="G1510" s="13" t="str">
        <f t="shared" si="180"/>
        <v/>
      </c>
      <c r="H1510" s="13" t="str">
        <f t="shared" si="181"/>
        <v/>
      </c>
      <c r="I1510" s="14" t="str">
        <f t="array" ref="I1510">IF(getRGB1(Weekly!H72)="FFFF00","초방","재방")</f>
        <v>초방</v>
      </c>
    </row>
    <row r="1511" spans="1:9" ht="11.25" customHeight="1" x14ac:dyDescent="0.3">
      <c r="A1511" s="10" t="str">
        <f t="shared" si="178"/>
        <v/>
      </c>
      <c r="B1511" s="11">
        <f>Weekly!$H$3</f>
        <v>45920</v>
      </c>
      <c r="C1511" s="12">
        <v>0.23958333333333301</v>
      </c>
      <c r="D1511" s="13">
        <f>Weekly!H73</f>
        <v>0</v>
      </c>
      <c r="E1511" s="13" t="str">
        <f t="shared" si="179"/>
        <v/>
      </c>
      <c r="F1511" s="13" t="str">
        <f t="shared" si="182"/>
        <v/>
      </c>
      <c r="G1511" s="13" t="str">
        <f t="shared" si="180"/>
        <v/>
      </c>
      <c r="H1511" s="13" t="str">
        <f t="shared" si="181"/>
        <v/>
      </c>
      <c r="I1511" s="14" t="str">
        <f t="array" ref="I1511">IF(getRGB1(Weekly!H73)="FFFF00","초방","재방")</f>
        <v>초방</v>
      </c>
    </row>
    <row r="1512" spans="1:9" ht="11.25" customHeight="1" x14ac:dyDescent="0.3">
      <c r="A1512" s="10" t="str">
        <f t="shared" si="178"/>
        <v/>
      </c>
      <c r="B1512" s="11">
        <f>Weekly!$H$3</f>
        <v>45920</v>
      </c>
      <c r="C1512" s="12">
        <v>0.243055555555556</v>
      </c>
      <c r="D1512" s="13">
        <f>Weekly!H74</f>
        <v>0</v>
      </c>
      <c r="E1512" s="13" t="str">
        <f t="shared" si="179"/>
        <v/>
      </c>
      <c r="F1512" s="13" t="str">
        <f t="shared" si="182"/>
        <v/>
      </c>
      <c r="G1512" s="13" t="str">
        <f t="shared" si="180"/>
        <v/>
      </c>
      <c r="H1512" s="13" t="str">
        <f t="shared" si="181"/>
        <v/>
      </c>
      <c r="I1512" s="14" t="str">
        <f t="array" ref="I1512">IF(getRGB1(Weekly!H74)="FFFF00","초방","재방")</f>
        <v>초방</v>
      </c>
    </row>
    <row r="1513" spans="1:9" ht="11.25" customHeight="1" x14ac:dyDescent="0.3">
      <c r="A1513" s="10" t="str">
        <f t="shared" si="178"/>
        <v/>
      </c>
      <c r="B1513" s="11">
        <f>Weekly!$H$3</f>
        <v>45920</v>
      </c>
      <c r="C1513" s="12">
        <v>0.24652777777777801</v>
      </c>
      <c r="D1513" s="13">
        <f>Weekly!H75</f>
        <v>0</v>
      </c>
      <c r="E1513" s="13" t="str">
        <f t="shared" si="179"/>
        <v/>
      </c>
      <c r="F1513" s="13" t="str">
        <f t="shared" si="182"/>
        <v/>
      </c>
      <c r="G1513" s="13" t="str">
        <f t="shared" si="180"/>
        <v/>
      </c>
      <c r="H1513" s="13" t="str">
        <f t="shared" si="181"/>
        <v/>
      </c>
      <c r="I1513" s="14" t="str">
        <f t="array" ref="I1513">IF(getRGB1(Weekly!H75)="FFFF00","초방","재방")</f>
        <v>초방</v>
      </c>
    </row>
    <row r="1514" spans="1:9" ht="11.25" customHeight="1" x14ac:dyDescent="0.3">
      <c r="A1514" s="10" t="str">
        <f t="shared" si="178"/>
        <v/>
      </c>
      <c r="B1514" s="11">
        <f>Weekly!$H$3</f>
        <v>45920</v>
      </c>
      <c r="C1514" s="12">
        <v>0.25</v>
      </c>
      <c r="D1514" s="13">
        <f>Weekly!H76</f>
        <v>0</v>
      </c>
      <c r="E1514" s="13" t="str">
        <f t="shared" si="179"/>
        <v/>
      </c>
      <c r="F1514" s="13" t="str">
        <f t="shared" si="182"/>
        <v/>
      </c>
      <c r="G1514" s="13" t="str">
        <f t="shared" si="180"/>
        <v/>
      </c>
      <c r="H1514" s="13" t="str">
        <f t="shared" si="181"/>
        <v/>
      </c>
      <c r="I1514" s="14" t="str">
        <f t="array" ref="I1514">IF(getRGB1(Weekly!H76)="FFFF00","초방","재방")</f>
        <v>초방</v>
      </c>
    </row>
    <row r="1515" spans="1:9" ht="11.25" customHeight="1" x14ac:dyDescent="0.3">
      <c r="A1515" s="10" t="str">
        <f t="shared" si="178"/>
        <v/>
      </c>
      <c r="B1515" s="11">
        <f>Weekly!$H$3</f>
        <v>45920</v>
      </c>
      <c r="C1515" s="12">
        <v>0.25347222222222199</v>
      </c>
      <c r="D1515" s="13">
        <f>Weekly!H77</f>
        <v>0</v>
      </c>
      <c r="E1515" s="13" t="str">
        <f t="shared" si="179"/>
        <v/>
      </c>
      <c r="F1515" s="13" t="str">
        <f t="shared" si="182"/>
        <v/>
      </c>
      <c r="G1515" s="13" t="str">
        <f t="shared" si="180"/>
        <v/>
      </c>
      <c r="H1515" s="13" t="str">
        <f t="shared" si="181"/>
        <v/>
      </c>
      <c r="I1515" s="14" t="str">
        <f t="array" ref="I1515">IF(getRGB1(Weekly!H77)="FFFF00","초방","재방")</f>
        <v>초방</v>
      </c>
    </row>
    <row r="1516" spans="1:9" ht="11.25" customHeight="1" x14ac:dyDescent="0.3">
      <c r="A1516" s="10">
        <f t="shared" si="178"/>
        <v>45920.256944444445</v>
      </c>
      <c r="B1516" s="11">
        <f>Weekly!$H$3</f>
        <v>45920</v>
      </c>
      <c r="C1516" s="12">
        <v>0.25694444444444398</v>
      </c>
      <c r="D1516" s="13" t="str">
        <f>Weekly!H78</f>
        <v>지금은 지방시대
&lt;190</v>
      </c>
      <c r="E1516" s="13" t="str">
        <f t="shared" si="179"/>
        <v>지금은 지방시대</v>
      </c>
      <c r="F1516" s="13">
        <f t="shared" si="182"/>
        <v>190</v>
      </c>
      <c r="G1516" s="13" t="str">
        <f t="shared" si="180"/>
        <v/>
      </c>
      <c r="H1516" s="13" t="str">
        <f t="shared" si="181"/>
        <v/>
      </c>
      <c r="I1516" s="14" t="str">
        <f t="array" ref="I1516">IF(getRGB1(Weekly!H78)="FFFF00","초방","재방")</f>
        <v>초방</v>
      </c>
    </row>
    <row r="1517" spans="1:9" ht="11.25" customHeight="1" x14ac:dyDescent="0.3">
      <c r="A1517" s="10" t="str">
        <f t="shared" si="178"/>
        <v/>
      </c>
      <c r="B1517" s="11">
        <f>Weekly!$H$3</f>
        <v>45920</v>
      </c>
      <c r="C1517" s="12">
        <v>0.26041666666666702</v>
      </c>
      <c r="D1517" s="13">
        <f>Weekly!H79</f>
        <v>0</v>
      </c>
      <c r="E1517" s="13" t="str">
        <f t="shared" si="179"/>
        <v/>
      </c>
      <c r="F1517" s="13" t="str">
        <f t="shared" si="182"/>
        <v/>
      </c>
      <c r="G1517" s="13" t="str">
        <f t="shared" si="180"/>
        <v/>
      </c>
      <c r="H1517" s="13" t="str">
        <f t="shared" si="181"/>
        <v/>
      </c>
      <c r="I1517" s="14" t="str">
        <f t="array" ref="I1517">IF(getRGB1(Weekly!H79)="FFFF00","초방","재방")</f>
        <v>초방</v>
      </c>
    </row>
    <row r="1518" spans="1:9" ht="11.25" customHeight="1" x14ac:dyDescent="0.3">
      <c r="A1518" s="10" t="str">
        <f t="shared" si="178"/>
        <v/>
      </c>
      <c r="B1518" s="11">
        <f>Weekly!$H$3</f>
        <v>45920</v>
      </c>
      <c r="C1518" s="12">
        <v>0.26388888888888901</v>
      </c>
      <c r="D1518" s="13">
        <f>Weekly!H80</f>
        <v>0</v>
      </c>
      <c r="E1518" s="13" t="str">
        <f t="shared" si="179"/>
        <v/>
      </c>
      <c r="F1518" s="13" t="str">
        <f t="shared" si="182"/>
        <v/>
      </c>
      <c r="G1518" s="13" t="str">
        <f t="shared" si="180"/>
        <v/>
      </c>
      <c r="H1518" s="13" t="str">
        <f t="shared" si="181"/>
        <v/>
      </c>
      <c r="I1518" s="14" t="str">
        <f t="array" ref="I1518">IF(getRGB1(Weekly!H80)="FFFF00","초방","재방")</f>
        <v>초방</v>
      </c>
    </row>
    <row r="1519" spans="1:9" ht="11.25" customHeight="1" x14ac:dyDescent="0.3">
      <c r="A1519" s="10" t="str">
        <f t="shared" si="178"/>
        <v/>
      </c>
      <c r="B1519" s="11">
        <f>Weekly!$H$3</f>
        <v>45920</v>
      </c>
      <c r="C1519" s="12">
        <v>0.26736111111111099</v>
      </c>
      <c r="D1519" s="13">
        <f>Weekly!H81</f>
        <v>0</v>
      </c>
      <c r="E1519" s="13" t="str">
        <f t="shared" si="179"/>
        <v/>
      </c>
      <c r="F1519" s="13" t="str">
        <f t="shared" si="182"/>
        <v/>
      </c>
      <c r="G1519" s="13" t="str">
        <f t="shared" si="180"/>
        <v/>
      </c>
      <c r="H1519" s="13" t="str">
        <f t="shared" si="181"/>
        <v/>
      </c>
      <c r="I1519" s="14" t="str">
        <f t="array" ref="I1519">IF(getRGB1(Weekly!H81)="FFFF00","초방","재방")</f>
        <v>초방</v>
      </c>
    </row>
    <row r="1520" spans="1:9" ht="11.25" customHeight="1" x14ac:dyDescent="0.3">
      <c r="A1520" s="10" t="str">
        <f t="shared" si="178"/>
        <v/>
      </c>
      <c r="B1520" s="11">
        <f>Weekly!$H$3</f>
        <v>45920</v>
      </c>
      <c r="C1520" s="12">
        <v>0.27083333333333298</v>
      </c>
      <c r="D1520" s="13">
        <f>Weekly!H82</f>
        <v>0</v>
      </c>
      <c r="E1520" s="13" t="str">
        <f t="shared" si="179"/>
        <v/>
      </c>
      <c r="F1520" s="13" t="str">
        <f t="shared" si="182"/>
        <v/>
      </c>
      <c r="G1520" s="13" t="str">
        <f t="shared" si="180"/>
        <v/>
      </c>
      <c r="H1520" s="13" t="str">
        <f t="shared" si="181"/>
        <v/>
      </c>
      <c r="I1520" s="14" t="str">
        <f t="array" ref="I1520">IF(getRGB1(Weekly!H82)="FFFF00","초방","재방")</f>
        <v>초방</v>
      </c>
    </row>
    <row r="1521" spans="1:9" ht="11.25" customHeight="1" x14ac:dyDescent="0.3">
      <c r="A1521" s="10" t="str">
        <f t="shared" si="178"/>
        <v/>
      </c>
      <c r="B1521" s="11">
        <f>Weekly!$H$3</f>
        <v>45920</v>
      </c>
      <c r="C1521" s="12">
        <v>0.27430555555555602</v>
      </c>
      <c r="D1521" s="13">
        <f>Weekly!H83</f>
        <v>0</v>
      </c>
      <c r="E1521" s="13" t="str">
        <f t="shared" si="179"/>
        <v/>
      </c>
      <c r="F1521" s="13" t="str">
        <f t="shared" si="182"/>
        <v/>
      </c>
      <c r="G1521" s="13" t="str">
        <f t="shared" si="180"/>
        <v/>
      </c>
      <c r="H1521" s="13" t="str">
        <f t="shared" si="181"/>
        <v/>
      </c>
      <c r="I1521" s="14" t="str">
        <f t="array" ref="I1521">IF(getRGB1(Weekly!H83)="FFFF00","초방","재방")</f>
        <v>초방</v>
      </c>
    </row>
    <row r="1522" spans="1:9" ht="11.25" customHeight="1" x14ac:dyDescent="0.3">
      <c r="A1522" s="10" t="str">
        <f t="shared" si="178"/>
        <v/>
      </c>
      <c r="B1522" s="11">
        <f>Weekly!$H$3</f>
        <v>45920</v>
      </c>
      <c r="C1522" s="12">
        <v>0.27777777777777801</v>
      </c>
      <c r="D1522" s="13">
        <f>Weekly!H84</f>
        <v>0</v>
      </c>
      <c r="E1522" s="13" t="str">
        <f t="shared" si="179"/>
        <v/>
      </c>
      <c r="F1522" s="13" t="str">
        <f t="shared" si="182"/>
        <v/>
      </c>
      <c r="G1522" s="13" t="str">
        <f t="shared" si="180"/>
        <v/>
      </c>
      <c r="H1522" s="13" t="str">
        <f t="shared" si="181"/>
        <v/>
      </c>
      <c r="I1522" s="14" t="str">
        <f t="array" ref="I1522">IF(getRGB1(Weekly!H84)="FFFF00","초방","재방")</f>
        <v>초방</v>
      </c>
    </row>
    <row r="1523" spans="1:9" ht="11.25" customHeight="1" x14ac:dyDescent="0.3">
      <c r="A1523" s="10" t="str">
        <f t="shared" si="178"/>
        <v/>
      </c>
      <c r="B1523" s="11">
        <f>Weekly!$H$3</f>
        <v>45920</v>
      </c>
      <c r="C1523" s="12">
        <v>0.28125</v>
      </c>
      <c r="D1523" s="13">
        <f>Weekly!H85</f>
        <v>0</v>
      </c>
      <c r="E1523" s="13" t="str">
        <f t="shared" si="179"/>
        <v/>
      </c>
      <c r="F1523" s="13" t="str">
        <f t="shared" si="182"/>
        <v/>
      </c>
      <c r="G1523" s="13" t="str">
        <f t="shared" si="180"/>
        <v/>
      </c>
      <c r="H1523" s="13" t="str">
        <f t="shared" si="181"/>
        <v/>
      </c>
      <c r="I1523" s="14" t="str">
        <f t="array" ref="I1523">IF(getRGB1(Weekly!H85)="FFFF00","초방","재방")</f>
        <v>초방</v>
      </c>
    </row>
    <row r="1524" spans="1:9" ht="11.25" customHeight="1" x14ac:dyDescent="0.3">
      <c r="A1524" s="10" t="str">
        <f t="shared" si="178"/>
        <v/>
      </c>
      <c r="B1524" s="11">
        <f>Weekly!$H$3</f>
        <v>45920</v>
      </c>
      <c r="C1524" s="12">
        <v>0.28472222222222199</v>
      </c>
      <c r="D1524" s="13">
        <f>Weekly!H86</f>
        <v>0</v>
      </c>
      <c r="E1524" s="13" t="str">
        <f t="shared" si="179"/>
        <v/>
      </c>
      <c r="F1524" s="13" t="str">
        <f t="shared" si="182"/>
        <v/>
      </c>
      <c r="G1524" s="13" t="str">
        <f t="shared" si="180"/>
        <v/>
      </c>
      <c r="H1524" s="13" t="str">
        <f t="shared" si="181"/>
        <v/>
      </c>
      <c r="I1524" s="14" t="str">
        <f t="array" ref="I1524">IF(getRGB1(Weekly!H86)="FFFF00","초방","재방")</f>
        <v>초방</v>
      </c>
    </row>
    <row r="1525" spans="1:9" ht="11.25" customHeight="1" x14ac:dyDescent="0.3">
      <c r="A1525" s="10" t="str">
        <f t="shared" si="178"/>
        <v/>
      </c>
      <c r="B1525" s="11">
        <f>Weekly!$H$3</f>
        <v>45920</v>
      </c>
      <c r="C1525" s="12">
        <v>0.28819444444444398</v>
      </c>
      <c r="D1525" s="13">
        <f>Weekly!H87</f>
        <v>0</v>
      </c>
      <c r="E1525" s="13" t="str">
        <f t="shared" si="179"/>
        <v/>
      </c>
      <c r="F1525" s="13" t="str">
        <f t="shared" si="182"/>
        <v/>
      </c>
      <c r="G1525" s="13" t="str">
        <f t="shared" si="180"/>
        <v/>
      </c>
      <c r="H1525" s="13" t="str">
        <f t="shared" si="181"/>
        <v/>
      </c>
      <c r="I1525" s="14" t="str">
        <f t="array" ref="I1525">IF(getRGB1(Weekly!H87)="FFFF00","초방","재방")</f>
        <v>초방</v>
      </c>
    </row>
    <row r="1526" spans="1:9" ht="11.25" customHeight="1" x14ac:dyDescent="0.3">
      <c r="A1526" s="10">
        <f t="shared" si="178"/>
        <v>45920.291666666664</v>
      </c>
      <c r="B1526" s="11">
        <f>Weekly!$H$3</f>
        <v>45920</v>
      </c>
      <c r="C1526" s="12">
        <v>0.29166666666666702</v>
      </c>
      <c r="D1526" s="13" t="str">
        <f>Weekly!H88</f>
        <v>최선규의 이제는 지방시대
&lt;03</v>
      </c>
      <c r="E1526" s="13" t="str">
        <f t="shared" si="179"/>
        <v>최선규의 이제는 지방시대</v>
      </c>
      <c r="F1526" s="13">
        <f t="shared" si="182"/>
        <v>3</v>
      </c>
      <c r="G1526" s="13" t="str">
        <f t="shared" si="180"/>
        <v/>
      </c>
      <c r="H1526" s="13" t="str">
        <f t="shared" si="181"/>
        <v/>
      </c>
      <c r="I1526" s="14" t="str">
        <f t="array" ref="I1526">IF(getRGB1(Weekly!H88)="FFFF00","초방","재방")</f>
        <v>재방</v>
      </c>
    </row>
    <row r="1527" spans="1:9" ht="11.25" customHeight="1" x14ac:dyDescent="0.3">
      <c r="A1527" s="10" t="str">
        <f t="shared" si="178"/>
        <v/>
      </c>
      <c r="B1527" s="11">
        <f>Weekly!$H$3</f>
        <v>45920</v>
      </c>
      <c r="C1527" s="12">
        <v>0.29513888888888901</v>
      </c>
      <c r="D1527" s="13">
        <f>Weekly!H89</f>
        <v>0</v>
      </c>
      <c r="E1527" s="13" t="str">
        <f t="shared" si="179"/>
        <v/>
      </c>
      <c r="F1527" s="13" t="str">
        <f t="shared" si="182"/>
        <v/>
      </c>
      <c r="G1527" s="13" t="str">
        <f t="shared" si="180"/>
        <v/>
      </c>
      <c r="H1527" s="13" t="str">
        <f t="shared" si="181"/>
        <v/>
      </c>
      <c r="I1527" s="14" t="str">
        <f t="array" ref="I1527">IF(getRGB1(Weekly!H89)="FFFF00","초방","재방")</f>
        <v>재방</v>
      </c>
    </row>
    <row r="1528" spans="1:9" ht="11.25" customHeight="1" x14ac:dyDescent="0.3">
      <c r="A1528" s="10" t="str">
        <f t="shared" si="178"/>
        <v/>
      </c>
      <c r="B1528" s="11">
        <f>Weekly!$H$3</f>
        <v>45920</v>
      </c>
      <c r="C1528" s="12">
        <v>0.29861111111111099</v>
      </c>
      <c r="D1528" s="13">
        <f>Weekly!H90</f>
        <v>0</v>
      </c>
      <c r="E1528" s="13" t="str">
        <f t="shared" si="179"/>
        <v/>
      </c>
      <c r="F1528" s="13" t="str">
        <f t="shared" si="182"/>
        <v/>
      </c>
      <c r="G1528" s="13" t="str">
        <f t="shared" si="180"/>
        <v/>
      </c>
      <c r="H1528" s="13" t="str">
        <f t="shared" si="181"/>
        <v/>
      </c>
      <c r="I1528" s="14" t="str">
        <f t="array" ref="I1528">IF(getRGB1(Weekly!H90)="FFFF00","초방","재방")</f>
        <v>재방</v>
      </c>
    </row>
    <row r="1529" spans="1:9" ht="11.25" customHeight="1" x14ac:dyDescent="0.3">
      <c r="A1529" s="10" t="str">
        <f t="shared" si="178"/>
        <v/>
      </c>
      <c r="B1529" s="11">
        <f>Weekly!$H$3</f>
        <v>45920</v>
      </c>
      <c r="C1529" s="12">
        <v>0.30208333333333298</v>
      </c>
      <c r="D1529" s="13">
        <f>Weekly!H91</f>
        <v>0</v>
      </c>
      <c r="E1529" s="13" t="str">
        <f t="shared" si="179"/>
        <v/>
      </c>
      <c r="F1529" s="13" t="str">
        <f t="shared" si="182"/>
        <v/>
      </c>
      <c r="G1529" s="13" t="str">
        <f t="shared" si="180"/>
        <v/>
      </c>
      <c r="H1529" s="13" t="str">
        <f t="shared" si="181"/>
        <v/>
      </c>
      <c r="I1529" s="14" t="str">
        <f t="array" ref="I1529">IF(getRGB1(Weekly!H91)="FFFF00","초방","재방")</f>
        <v>재방</v>
      </c>
    </row>
    <row r="1530" spans="1:9" ht="11.25" customHeight="1" x14ac:dyDescent="0.3">
      <c r="A1530" s="10" t="str">
        <f t="shared" si="178"/>
        <v/>
      </c>
      <c r="B1530" s="11">
        <f>Weekly!$H$3</f>
        <v>45920</v>
      </c>
      <c r="C1530" s="12">
        <v>0.30555555555555602</v>
      </c>
      <c r="D1530" s="13">
        <f>Weekly!H92</f>
        <v>0</v>
      </c>
      <c r="E1530" s="13" t="str">
        <f t="shared" si="179"/>
        <v/>
      </c>
      <c r="F1530" s="13" t="str">
        <f t="shared" si="182"/>
        <v/>
      </c>
      <c r="G1530" s="13" t="str">
        <f t="shared" si="180"/>
        <v/>
      </c>
      <c r="H1530" s="13" t="str">
        <f t="shared" si="181"/>
        <v/>
      </c>
      <c r="I1530" s="14" t="str">
        <f t="array" ref="I1530">IF(getRGB1(Weekly!H92)="FFFF00","초방","재방")</f>
        <v>재방</v>
      </c>
    </row>
    <row r="1531" spans="1:9" ht="11.25" customHeight="1" x14ac:dyDescent="0.3">
      <c r="A1531" s="10" t="str">
        <f t="shared" si="178"/>
        <v/>
      </c>
      <c r="B1531" s="11">
        <f>Weekly!$H$3</f>
        <v>45920</v>
      </c>
      <c r="C1531" s="12">
        <v>0.30902777777777801</v>
      </c>
      <c r="D1531" s="13">
        <f>Weekly!H93</f>
        <v>0</v>
      </c>
      <c r="E1531" s="13" t="str">
        <f t="shared" si="179"/>
        <v/>
      </c>
      <c r="F1531" s="13" t="str">
        <f t="shared" si="182"/>
        <v/>
      </c>
      <c r="G1531" s="13" t="str">
        <f t="shared" si="180"/>
        <v/>
      </c>
      <c r="H1531" s="13" t="str">
        <f t="shared" si="181"/>
        <v/>
      </c>
      <c r="I1531" s="14" t="str">
        <f t="array" ref="I1531">IF(getRGB1(Weekly!H93)="FFFF00","초방","재방")</f>
        <v>재방</v>
      </c>
    </row>
    <row r="1532" spans="1:9" ht="11.25" customHeight="1" x14ac:dyDescent="0.3">
      <c r="A1532" s="10" t="str">
        <f t="shared" si="178"/>
        <v/>
      </c>
      <c r="B1532" s="11">
        <f>Weekly!$H$3</f>
        <v>45920</v>
      </c>
      <c r="C1532" s="12">
        <v>0.3125</v>
      </c>
      <c r="D1532" s="13">
        <f>Weekly!H94</f>
        <v>0</v>
      </c>
      <c r="E1532" s="13" t="str">
        <f t="shared" si="179"/>
        <v/>
      </c>
      <c r="F1532" s="13" t="str">
        <f t="shared" si="182"/>
        <v/>
      </c>
      <c r="G1532" s="13" t="str">
        <f t="shared" si="180"/>
        <v/>
      </c>
      <c r="H1532" s="13" t="str">
        <f t="shared" si="181"/>
        <v/>
      </c>
      <c r="I1532" s="14" t="str">
        <f t="array" ref="I1532">IF(getRGB1(Weekly!H94)="FFFF00","초방","재방")</f>
        <v>재방</v>
      </c>
    </row>
    <row r="1533" spans="1:9" ht="11.25" customHeight="1" x14ac:dyDescent="0.3">
      <c r="A1533" s="10" t="str">
        <f t="shared" si="178"/>
        <v/>
      </c>
      <c r="B1533" s="11">
        <f>Weekly!$H$3</f>
        <v>45920</v>
      </c>
      <c r="C1533" s="12">
        <v>0.31597222222222199</v>
      </c>
      <c r="D1533" s="13">
        <f>Weekly!H95</f>
        <v>0</v>
      </c>
      <c r="E1533" s="13" t="str">
        <f t="shared" si="179"/>
        <v/>
      </c>
      <c r="F1533" s="13" t="str">
        <f t="shared" si="182"/>
        <v/>
      </c>
      <c r="G1533" s="13" t="str">
        <f t="shared" si="180"/>
        <v/>
      </c>
      <c r="H1533" s="13" t="str">
        <f t="shared" si="181"/>
        <v/>
      </c>
      <c r="I1533" s="14" t="str">
        <f t="array" ref="I1533">IF(getRGB1(Weekly!H95)="FFFF00","초방","재방")</f>
        <v>재방</v>
      </c>
    </row>
    <row r="1534" spans="1:9" ht="11.25" customHeight="1" x14ac:dyDescent="0.3">
      <c r="A1534" s="10" t="str">
        <f t="shared" si="178"/>
        <v/>
      </c>
      <c r="B1534" s="11">
        <f>Weekly!$H$3</f>
        <v>45920</v>
      </c>
      <c r="C1534" s="12">
        <v>0.31944444444444398</v>
      </c>
      <c r="D1534" s="13">
        <f>Weekly!H96</f>
        <v>0</v>
      </c>
      <c r="E1534" s="13" t="str">
        <f t="shared" si="179"/>
        <v/>
      </c>
      <c r="F1534" s="13" t="str">
        <f t="shared" si="182"/>
        <v/>
      </c>
      <c r="G1534" s="13" t="str">
        <f t="shared" si="180"/>
        <v/>
      </c>
      <c r="H1534" s="13" t="str">
        <f t="shared" si="181"/>
        <v/>
      </c>
      <c r="I1534" s="14" t="str">
        <f t="array" ref="I1534">IF(getRGB1(Weekly!H96)="FFFF00","초방","재방")</f>
        <v>재방</v>
      </c>
    </row>
    <row r="1535" spans="1:9" ht="11.25" customHeight="1" x14ac:dyDescent="0.3">
      <c r="A1535" s="10" t="str">
        <f t="shared" si="178"/>
        <v/>
      </c>
      <c r="B1535" s="11">
        <f>Weekly!$H$3</f>
        <v>45920</v>
      </c>
      <c r="C1535" s="12">
        <v>0.32291666666666702</v>
      </c>
      <c r="D1535" s="13">
        <f>Weekly!H97</f>
        <v>0</v>
      </c>
      <c r="E1535" s="13" t="str">
        <f t="shared" si="179"/>
        <v/>
      </c>
      <c r="F1535" s="13" t="str">
        <f t="shared" si="182"/>
        <v/>
      </c>
      <c r="G1535" s="13" t="str">
        <f t="shared" si="180"/>
        <v/>
      </c>
      <c r="H1535" s="13" t="str">
        <f t="shared" si="181"/>
        <v/>
      </c>
      <c r="I1535" s="14" t="str">
        <f t="array" ref="I1535">IF(getRGB1(Weekly!H97)="FFFF00","초방","재방")</f>
        <v>재방</v>
      </c>
    </row>
    <row r="1536" spans="1:9" ht="11.25" customHeight="1" x14ac:dyDescent="0.3">
      <c r="A1536" s="10" t="str">
        <f t="shared" si="178"/>
        <v/>
      </c>
      <c r="B1536" s="11">
        <f>Weekly!$H$3</f>
        <v>45920</v>
      </c>
      <c r="C1536" s="12">
        <v>0.32638888888888901</v>
      </c>
      <c r="D1536" s="13">
        <f>Weekly!H98</f>
        <v>0</v>
      </c>
      <c r="E1536" s="13" t="str">
        <f t="shared" si="179"/>
        <v/>
      </c>
      <c r="F1536" s="13" t="str">
        <f t="shared" si="182"/>
        <v/>
      </c>
      <c r="G1536" s="13" t="str">
        <f t="shared" si="180"/>
        <v/>
      </c>
      <c r="H1536" s="13" t="str">
        <f t="shared" si="181"/>
        <v/>
      </c>
      <c r="I1536" s="14" t="str">
        <f t="array" ref="I1536">IF(getRGB1(Weekly!H98)="FFFF00","초방","재방")</f>
        <v>재방</v>
      </c>
    </row>
    <row r="1537" spans="1:9" ht="11.25" customHeight="1" x14ac:dyDescent="0.3">
      <c r="A1537" s="10" t="str">
        <f t="shared" si="178"/>
        <v/>
      </c>
      <c r="B1537" s="11">
        <f>Weekly!$H$3</f>
        <v>45920</v>
      </c>
      <c r="C1537" s="12">
        <v>0.32986111111111099</v>
      </c>
      <c r="D1537" s="13">
        <f>Weekly!H99</f>
        <v>0</v>
      </c>
      <c r="E1537" s="13" t="str">
        <f t="shared" si="179"/>
        <v/>
      </c>
      <c r="F1537" s="13" t="str">
        <f t="shared" si="182"/>
        <v/>
      </c>
      <c r="G1537" s="13" t="str">
        <f t="shared" si="180"/>
        <v/>
      </c>
      <c r="H1537" s="13" t="str">
        <f t="shared" si="181"/>
        <v/>
      </c>
      <c r="I1537" s="14" t="str">
        <f t="array" ref="I1537">IF(getRGB1(Weekly!H99)="FFFF00","초방","재방")</f>
        <v>재방</v>
      </c>
    </row>
    <row r="1538" spans="1:9" ht="11.25" customHeight="1" x14ac:dyDescent="0.3">
      <c r="A1538" s="10">
        <f t="shared" ref="A1538:A1601" si="183">IF(D1538&lt;&gt;0,B1538+C1538,"")</f>
        <v>45920.333333333336</v>
      </c>
      <c r="B1538" s="11">
        <f>Weekly!$H$3</f>
        <v>45920</v>
      </c>
      <c r="C1538" s="12">
        <v>0.33333333333333298</v>
      </c>
      <c r="D1538" s="13" t="str">
        <f>Weekly!H100</f>
        <v xml:space="preserve"> NEWSPLUS
&lt;64</v>
      </c>
      <c r="E1538" s="13" t="str">
        <f t="shared" ref="E1538:E1601" si="184">IFERROR(SUBSTITUTE(SUBSTITUTE(TRIM(LEFT(D1538,FIND("&lt;",D1538)-1)),CHAR(10),""),"⑮ ",""),"")</f>
        <v>NEWSPLUS</v>
      </c>
      <c r="F1538" s="13">
        <f t="shared" si="182"/>
        <v>64</v>
      </c>
      <c r="G1538" s="13" t="str">
        <f t="shared" ref="G1538:G1601" si="185">IFERROR(MID(D1538,FIND("&gt;",D1538)+1,10),"")</f>
        <v/>
      </c>
      <c r="H1538" s="13" t="str">
        <f t="shared" ref="H1538:H1601" si="186">IFERROR(VLOOKUP(LEFT(D1538,2),$W$1:$X$6,2,0),"")</f>
        <v/>
      </c>
      <c r="I1538" s="14" t="str">
        <f t="array" ref="I1538">IF(getRGB1(Weekly!H100)="FFFF00","초방","재방")</f>
        <v>재방</v>
      </c>
    </row>
    <row r="1539" spans="1:9" ht="11.25" customHeight="1" x14ac:dyDescent="0.3">
      <c r="A1539" s="10" t="str">
        <f t="shared" si="183"/>
        <v/>
      </c>
      <c r="B1539" s="11">
        <f>Weekly!$H$3</f>
        <v>45920</v>
      </c>
      <c r="C1539" s="12">
        <v>0.33680555555555602</v>
      </c>
      <c r="D1539" s="13">
        <f>Weekly!H101</f>
        <v>0</v>
      </c>
      <c r="E1539" s="13" t="str">
        <f t="shared" si="184"/>
        <v/>
      </c>
      <c r="F1539" s="13" t="str">
        <f t="shared" ref="F1539:F1602" si="187">IFERROR((MID(D1539,FIND("&lt;",D1539)+1,4))*1,"")</f>
        <v/>
      </c>
      <c r="G1539" s="13" t="str">
        <f t="shared" si="185"/>
        <v/>
      </c>
      <c r="H1539" s="13" t="str">
        <f t="shared" si="186"/>
        <v/>
      </c>
      <c r="I1539" s="14" t="str">
        <f t="array" ref="I1539">IF(getRGB1(Weekly!H101)="FFFF00","초방","재방")</f>
        <v>재방</v>
      </c>
    </row>
    <row r="1540" spans="1:9" ht="11.25" customHeight="1" x14ac:dyDescent="0.3">
      <c r="A1540" s="10" t="str">
        <f t="shared" si="183"/>
        <v/>
      </c>
      <c r="B1540" s="11">
        <f>Weekly!$H$3</f>
        <v>45920</v>
      </c>
      <c r="C1540" s="12">
        <v>0.34027777777777801</v>
      </c>
      <c r="D1540" s="13">
        <f>Weekly!H102</f>
        <v>0</v>
      </c>
      <c r="E1540" s="13" t="str">
        <f t="shared" si="184"/>
        <v/>
      </c>
      <c r="F1540" s="13" t="str">
        <f t="shared" si="187"/>
        <v/>
      </c>
      <c r="G1540" s="13" t="str">
        <f t="shared" si="185"/>
        <v/>
      </c>
      <c r="H1540" s="13" t="str">
        <f t="shared" si="186"/>
        <v/>
      </c>
      <c r="I1540" s="14" t="str">
        <f t="array" ref="I1540">IF(getRGB1(Weekly!H102)="FFFF00","초방","재방")</f>
        <v>재방</v>
      </c>
    </row>
    <row r="1541" spans="1:9" ht="11.25" customHeight="1" x14ac:dyDescent="0.3">
      <c r="A1541" s="10" t="str">
        <f t="shared" si="183"/>
        <v/>
      </c>
      <c r="B1541" s="11">
        <f>Weekly!$H$3</f>
        <v>45920</v>
      </c>
      <c r="C1541" s="12">
        <v>0.34375</v>
      </c>
      <c r="D1541" s="13">
        <f>Weekly!H103</f>
        <v>0</v>
      </c>
      <c r="E1541" s="13" t="str">
        <f t="shared" si="184"/>
        <v/>
      </c>
      <c r="F1541" s="13" t="str">
        <f t="shared" si="187"/>
        <v/>
      </c>
      <c r="G1541" s="13" t="str">
        <f t="shared" si="185"/>
        <v/>
      </c>
      <c r="H1541" s="13" t="str">
        <f t="shared" si="186"/>
        <v/>
      </c>
      <c r="I1541" s="14" t="str">
        <f t="array" ref="I1541">IF(getRGB1(Weekly!H103)="FFFF00","초방","재방")</f>
        <v>재방</v>
      </c>
    </row>
    <row r="1542" spans="1:9" ht="11.25" customHeight="1" x14ac:dyDescent="0.3">
      <c r="A1542" s="10" t="str">
        <f t="shared" si="183"/>
        <v/>
      </c>
      <c r="B1542" s="11">
        <f>Weekly!$H$3</f>
        <v>45920</v>
      </c>
      <c r="C1542" s="12">
        <v>0.34722222222222199</v>
      </c>
      <c r="D1542" s="13">
        <f>Weekly!H104</f>
        <v>0</v>
      </c>
      <c r="E1542" s="13" t="str">
        <f t="shared" si="184"/>
        <v/>
      </c>
      <c r="F1542" s="13" t="str">
        <f t="shared" si="187"/>
        <v/>
      </c>
      <c r="G1542" s="13" t="str">
        <f t="shared" si="185"/>
        <v/>
      </c>
      <c r="H1542" s="13" t="str">
        <f t="shared" si="186"/>
        <v/>
      </c>
      <c r="I1542" s="14" t="str">
        <f t="array" ref="I1542">IF(getRGB1(Weekly!H104)="FFFF00","초방","재방")</f>
        <v>재방</v>
      </c>
    </row>
    <row r="1543" spans="1:9" ht="11.25" customHeight="1" x14ac:dyDescent="0.3">
      <c r="A1543" s="10" t="str">
        <f t="shared" si="183"/>
        <v/>
      </c>
      <c r="B1543" s="11">
        <f>Weekly!$H$3</f>
        <v>45920</v>
      </c>
      <c r="C1543" s="12">
        <v>0.35069444444444398</v>
      </c>
      <c r="D1543" s="13">
        <f>Weekly!H105</f>
        <v>0</v>
      </c>
      <c r="E1543" s="13" t="str">
        <f t="shared" si="184"/>
        <v/>
      </c>
      <c r="F1543" s="13" t="str">
        <f t="shared" si="187"/>
        <v/>
      </c>
      <c r="G1543" s="13" t="str">
        <f t="shared" si="185"/>
        <v/>
      </c>
      <c r="H1543" s="13" t="str">
        <f t="shared" si="186"/>
        <v/>
      </c>
      <c r="I1543" s="14" t="str">
        <f t="array" ref="I1543">IF(getRGB1(Weekly!H105)="FFFF00","초방","재방")</f>
        <v>재방</v>
      </c>
    </row>
    <row r="1544" spans="1:9" ht="11.25" customHeight="1" x14ac:dyDescent="0.3">
      <c r="A1544" s="10">
        <f t="shared" si="183"/>
        <v>45920.354166666664</v>
      </c>
      <c r="B1544" s="11">
        <f>Weekly!$H$3</f>
        <v>45920</v>
      </c>
      <c r="C1544" s="12">
        <v>0.35416666666666702</v>
      </c>
      <c r="D1544" s="13" t="str">
        <f>Weekly!H106</f>
        <v>남도스럽게
&lt;05</v>
      </c>
      <c r="E1544" s="13" t="str">
        <f t="shared" si="184"/>
        <v>남도스럽게</v>
      </c>
      <c r="F1544" s="13">
        <f t="shared" si="187"/>
        <v>5</v>
      </c>
      <c r="G1544" s="13" t="str">
        <f t="shared" si="185"/>
        <v/>
      </c>
      <c r="H1544" s="13" t="str">
        <f t="shared" si="186"/>
        <v/>
      </c>
      <c r="I1544" s="14" t="str">
        <f t="array" ref="I1544">IF(getRGB1(Weekly!H106)="FFFF00","초방","재방")</f>
        <v>재방</v>
      </c>
    </row>
    <row r="1545" spans="1:9" ht="11.25" customHeight="1" x14ac:dyDescent="0.3">
      <c r="A1545" s="10" t="str">
        <f t="shared" si="183"/>
        <v/>
      </c>
      <c r="B1545" s="11">
        <f>Weekly!$H$3</f>
        <v>45920</v>
      </c>
      <c r="C1545" s="12">
        <v>0.35763888888888901</v>
      </c>
      <c r="D1545" s="13">
        <f>Weekly!H107</f>
        <v>0</v>
      </c>
      <c r="E1545" s="13" t="str">
        <f t="shared" si="184"/>
        <v/>
      </c>
      <c r="F1545" s="13" t="str">
        <f t="shared" si="187"/>
        <v/>
      </c>
      <c r="G1545" s="13" t="str">
        <f t="shared" si="185"/>
        <v/>
      </c>
      <c r="H1545" s="13" t="str">
        <f t="shared" si="186"/>
        <v/>
      </c>
      <c r="I1545" s="14" t="str">
        <f t="array" ref="I1545">IF(getRGB1(Weekly!H107)="FFFF00","초방","재방")</f>
        <v>재방</v>
      </c>
    </row>
    <row r="1546" spans="1:9" ht="11.25" customHeight="1" x14ac:dyDescent="0.3">
      <c r="A1546" s="10" t="str">
        <f t="shared" si="183"/>
        <v/>
      </c>
      <c r="B1546" s="11">
        <f>Weekly!$H$3</f>
        <v>45920</v>
      </c>
      <c r="C1546" s="12">
        <v>0.36111111111111099</v>
      </c>
      <c r="D1546" s="13">
        <f>Weekly!H108</f>
        <v>0</v>
      </c>
      <c r="E1546" s="13" t="str">
        <f t="shared" si="184"/>
        <v/>
      </c>
      <c r="F1546" s="13" t="str">
        <f t="shared" si="187"/>
        <v/>
      </c>
      <c r="G1546" s="13" t="str">
        <f t="shared" si="185"/>
        <v/>
      </c>
      <c r="H1546" s="13" t="str">
        <f t="shared" si="186"/>
        <v/>
      </c>
      <c r="I1546" s="14" t="str">
        <f t="array" ref="I1546">IF(getRGB1(Weekly!H108)="FFFF00","초방","재방")</f>
        <v>재방</v>
      </c>
    </row>
    <row r="1547" spans="1:9" ht="11.25" customHeight="1" x14ac:dyDescent="0.3">
      <c r="A1547" s="10" t="str">
        <f t="shared" si="183"/>
        <v/>
      </c>
      <c r="B1547" s="11">
        <f>Weekly!$H$3</f>
        <v>45920</v>
      </c>
      <c r="C1547" s="12">
        <v>0.36458333333333298</v>
      </c>
      <c r="D1547" s="13">
        <f>Weekly!H109</f>
        <v>0</v>
      </c>
      <c r="E1547" s="13" t="str">
        <f t="shared" si="184"/>
        <v/>
      </c>
      <c r="F1547" s="13" t="str">
        <f t="shared" si="187"/>
        <v/>
      </c>
      <c r="G1547" s="13" t="str">
        <f t="shared" si="185"/>
        <v/>
      </c>
      <c r="H1547" s="13" t="str">
        <f t="shared" si="186"/>
        <v/>
      </c>
      <c r="I1547" s="14" t="str">
        <f t="array" ref="I1547">IF(getRGB1(Weekly!H109)="FFFF00","초방","재방")</f>
        <v>재방</v>
      </c>
    </row>
    <row r="1548" spans="1:9" ht="11.25" customHeight="1" x14ac:dyDescent="0.3">
      <c r="A1548" s="10" t="str">
        <f t="shared" si="183"/>
        <v/>
      </c>
      <c r="B1548" s="11">
        <f>Weekly!$H$3</f>
        <v>45920</v>
      </c>
      <c r="C1548" s="12">
        <v>0.36805555555555602</v>
      </c>
      <c r="D1548" s="13">
        <f>Weekly!H110</f>
        <v>0</v>
      </c>
      <c r="E1548" s="13" t="str">
        <f t="shared" si="184"/>
        <v/>
      </c>
      <c r="F1548" s="13" t="str">
        <f t="shared" si="187"/>
        <v/>
      </c>
      <c r="G1548" s="13" t="str">
        <f t="shared" si="185"/>
        <v/>
      </c>
      <c r="H1548" s="13" t="str">
        <f t="shared" si="186"/>
        <v/>
      </c>
      <c r="I1548" s="14" t="str">
        <f t="array" ref="I1548">IF(getRGB1(Weekly!H110)="FFFF00","초방","재방")</f>
        <v>재방</v>
      </c>
    </row>
    <row r="1549" spans="1:9" ht="11.25" customHeight="1" x14ac:dyDescent="0.3">
      <c r="A1549" s="10" t="str">
        <f t="shared" si="183"/>
        <v/>
      </c>
      <c r="B1549" s="11">
        <f>Weekly!$H$3</f>
        <v>45920</v>
      </c>
      <c r="C1549" s="12">
        <v>0.37152777777777801</v>
      </c>
      <c r="D1549" s="13">
        <f>Weekly!H111</f>
        <v>0</v>
      </c>
      <c r="E1549" s="13" t="str">
        <f t="shared" si="184"/>
        <v/>
      </c>
      <c r="F1549" s="13" t="str">
        <f t="shared" si="187"/>
        <v/>
      </c>
      <c r="G1549" s="13" t="str">
        <f t="shared" si="185"/>
        <v/>
      </c>
      <c r="H1549" s="13" t="str">
        <f t="shared" si="186"/>
        <v/>
      </c>
      <c r="I1549" s="14" t="str">
        <f t="array" ref="I1549">IF(getRGB1(Weekly!H111)="FFFF00","초방","재방")</f>
        <v>재방</v>
      </c>
    </row>
    <row r="1550" spans="1:9" ht="11.25" customHeight="1" x14ac:dyDescent="0.3">
      <c r="A1550" s="10" t="str">
        <f t="shared" si="183"/>
        <v/>
      </c>
      <c r="B1550" s="11">
        <f>Weekly!$H$3</f>
        <v>45920</v>
      </c>
      <c r="C1550" s="12">
        <v>0.375</v>
      </c>
      <c r="D1550" s="13">
        <f>Weekly!H112</f>
        <v>0</v>
      </c>
      <c r="E1550" s="13" t="str">
        <f t="shared" si="184"/>
        <v/>
      </c>
      <c r="F1550" s="13" t="str">
        <f t="shared" si="187"/>
        <v/>
      </c>
      <c r="G1550" s="13" t="str">
        <f t="shared" si="185"/>
        <v/>
      </c>
      <c r="H1550" s="13" t="str">
        <f t="shared" si="186"/>
        <v/>
      </c>
      <c r="I1550" s="14" t="str">
        <f t="array" ref="I1550">IF(getRGB1(Weekly!H112)="FFFF00","초방","재방")</f>
        <v>재방</v>
      </c>
    </row>
    <row r="1551" spans="1:9" ht="11.25" customHeight="1" x14ac:dyDescent="0.3">
      <c r="A1551" s="10" t="str">
        <f t="shared" si="183"/>
        <v/>
      </c>
      <c r="B1551" s="11">
        <f>Weekly!$H$3</f>
        <v>45920</v>
      </c>
      <c r="C1551" s="12">
        <v>0.37847222222222199</v>
      </c>
      <c r="D1551" s="13">
        <f>Weekly!H113</f>
        <v>0</v>
      </c>
      <c r="E1551" s="13" t="str">
        <f t="shared" si="184"/>
        <v/>
      </c>
      <c r="F1551" s="13" t="str">
        <f t="shared" si="187"/>
        <v/>
      </c>
      <c r="G1551" s="13" t="str">
        <f t="shared" si="185"/>
        <v/>
      </c>
      <c r="H1551" s="13" t="str">
        <f t="shared" si="186"/>
        <v/>
      </c>
      <c r="I1551" s="14" t="str">
        <f t="array" ref="I1551">IF(getRGB1(Weekly!H113)="FFFF00","초방","재방")</f>
        <v>재방</v>
      </c>
    </row>
    <row r="1552" spans="1:9" ht="11.25" customHeight="1" x14ac:dyDescent="0.3">
      <c r="A1552" s="10" t="str">
        <f t="shared" si="183"/>
        <v/>
      </c>
      <c r="B1552" s="11">
        <f>Weekly!$H$3</f>
        <v>45920</v>
      </c>
      <c r="C1552" s="12">
        <v>0.38194444444444398</v>
      </c>
      <c r="D1552" s="13">
        <f>Weekly!H114</f>
        <v>0</v>
      </c>
      <c r="E1552" s="13" t="str">
        <f t="shared" si="184"/>
        <v/>
      </c>
      <c r="F1552" s="13" t="str">
        <f t="shared" si="187"/>
        <v/>
      </c>
      <c r="G1552" s="13" t="str">
        <f t="shared" si="185"/>
        <v/>
      </c>
      <c r="H1552" s="13" t="str">
        <f t="shared" si="186"/>
        <v/>
      </c>
      <c r="I1552" s="14" t="str">
        <f t="array" ref="I1552">IF(getRGB1(Weekly!H114)="FFFF00","초방","재방")</f>
        <v>재방</v>
      </c>
    </row>
    <row r="1553" spans="1:9" ht="11.25" customHeight="1" x14ac:dyDescent="0.3">
      <c r="A1553" s="10" t="str">
        <f t="shared" si="183"/>
        <v/>
      </c>
      <c r="B1553" s="11">
        <f>Weekly!$H$3</f>
        <v>45920</v>
      </c>
      <c r="C1553" s="12">
        <v>0.38541666666666702</v>
      </c>
      <c r="D1553" s="13">
        <f>Weekly!H115</f>
        <v>0</v>
      </c>
      <c r="E1553" s="13" t="str">
        <f t="shared" si="184"/>
        <v/>
      </c>
      <c r="F1553" s="13" t="str">
        <f t="shared" si="187"/>
        <v/>
      </c>
      <c r="G1553" s="13" t="str">
        <f t="shared" si="185"/>
        <v/>
      </c>
      <c r="H1553" s="13" t="str">
        <f t="shared" si="186"/>
        <v/>
      </c>
      <c r="I1553" s="14" t="str">
        <f t="array" ref="I1553">IF(getRGB1(Weekly!H115)="FFFF00","초방","재방")</f>
        <v>재방</v>
      </c>
    </row>
    <row r="1554" spans="1:9" ht="11.25" customHeight="1" x14ac:dyDescent="0.3">
      <c r="A1554" s="10">
        <f t="shared" si="183"/>
        <v>45920.388888888891</v>
      </c>
      <c r="B1554" s="11">
        <f>Weekly!$H$3</f>
        <v>45920</v>
      </c>
      <c r="C1554" s="12">
        <v>0.38888888888888901</v>
      </c>
      <c r="D1554" s="13" t="str">
        <f>Weekly!H116</f>
        <v>눈에 띄는 그녀들 시즌5
&lt;02</v>
      </c>
      <c r="E1554" s="13" t="str">
        <f t="shared" si="184"/>
        <v>눈에 띄는 그녀들 시즌5</v>
      </c>
      <c r="F1554" s="13">
        <f t="shared" si="187"/>
        <v>2</v>
      </c>
      <c r="G1554" s="13" t="str">
        <f t="shared" si="185"/>
        <v/>
      </c>
      <c r="H1554" s="13" t="str">
        <f t="shared" si="186"/>
        <v/>
      </c>
      <c r="I1554" s="14" t="str">
        <f t="array" ref="I1554">IF(getRGB1(Weekly!H116)="FFFF00","초방","재방")</f>
        <v>재방</v>
      </c>
    </row>
    <row r="1555" spans="1:9" ht="11.25" customHeight="1" x14ac:dyDescent="0.3">
      <c r="A1555" s="10" t="str">
        <f t="shared" si="183"/>
        <v/>
      </c>
      <c r="B1555" s="11">
        <f>Weekly!$H$3</f>
        <v>45920</v>
      </c>
      <c r="C1555" s="12">
        <v>0.39236111111111099</v>
      </c>
      <c r="D1555" s="13">
        <f>Weekly!H117</f>
        <v>0</v>
      </c>
      <c r="E1555" s="13" t="str">
        <f t="shared" si="184"/>
        <v/>
      </c>
      <c r="F1555" s="13" t="str">
        <f t="shared" si="187"/>
        <v/>
      </c>
      <c r="G1555" s="13" t="str">
        <f t="shared" si="185"/>
        <v/>
      </c>
      <c r="H1555" s="13" t="str">
        <f t="shared" si="186"/>
        <v/>
      </c>
      <c r="I1555" s="14" t="str">
        <f t="array" ref="I1555">IF(getRGB1(Weekly!H117)="FFFF00","초방","재방")</f>
        <v>재방</v>
      </c>
    </row>
    <row r="1556" spans="1:9" ht="11.25" customHeight="1" x14ac:dyDescent="0.3">
      <c r="A1556" s="10" t="str">
        <f t="shared" si="183"/>
        <v/>
      </c>
      <c r="B1556" s="11">
        <f>Weekly!$H$3</f>
        <v>45920</v>
      </c>
      <c r="C1556" s="12">
        <v>0.39583333333333298</v>
      </c>
      <c r="D1556" s="13">
        <f>Weekly!H118</f>
        <v>0</v>
      </c>
      <c r="E1556" s="13" t="str">
        <f t="shared" si="184"/>
        <v/>
      </c>
      <c r="F1556" s="13" t="str">
        <f t="shared" si="187"/>
        <v/>
      </c>
      <c r="G1556" s="13" t="str">
        <f t="shared" si="185"/>
        <v/>
      </c>
      <c r="H1556" s="13" t="str">
        <f t="shared" si="186"/>
        <v/>
      </c>
      <c r="I1556" s="14" t="str">
        <f t="array" ref="I1556">IF(getRGB1(Weekly!H118)="FFFF00","초방","재방")</f>
        <v>재방</v>
      </c>
    </row>
    <row r="1557" spans="1:9" ht="11.25" customHeight="1" x14ac:dyDescent="0.3">
      <c r="A1557" s="10" t="str">
        <f t="shared" si="183"/>
        <v/>
      </c>
      <c r="B1557" s="11">
        <f>Weekly!$H$3</f>
        <v>45920</v>
      </c>
      <c r="C1557" s="12">
        <v>0.39930555555555602</v>
      </c>
      <c r="D1557" s="13">
        <f>Weekly!H119</f>
        <v>0</v>
      </c>
      <c r="E1557" s="13" t="str">
        <f t="shared" si="184"/>
        <v/>
      </c>
      <c r="F1557" s="13" t="str">
        <f t="shared" si="187"/>
        <v/>
      </c>
      <c r="G1557" s="13" t="str">
        <f t="shared" si="185"/>
        <v/>
      </c>
      <c r="H1557" s="13" t="str">
        <f t="shared" si="186"/>
        <v/>
      </c>
      <c r="I1557" s="14" t="str">
        <f t="array" ref="I1557">IF(getRGB1(Weekly!H119)="FFFF00","초방","재방")</f>
        <v>재방</v>
      </c>
    </row>
    <row r="1558" spans="1:9" ht="11.25" customHeight="1" x14ac:dyDescent="0.3">
      <c r="A1558" s="10" t="str">
        <f t="shared" si="183"/>
        <v/>
      </c>
      <c r="B1558" s="11">
        <f>Weekly!$H$3</f>
        <v>45920</v>
      </c>
      <c r="C1558" s="12">
        <v>0.40277777777777801</v>
      </c>
      <c r="D1558" s="13">
        <f>Weekly!H120</f>
        <v>0</v>
      </c>
      <c r="E1558" s="13" t="str">
        <f t="shared" si="184"/>
        <v/>
      </c>
      <c r="F1558" s="13" t="str">
        <f t="shared" si="187"/>
        <v/>
      </c>
      <c r="G1558" s="13" t="str">
        <f t="shared" si="185"/>
        <v/>
      </c>
      <c r="H1558" s="13" t="str">
        <f t="shared" si="186"/>
        <v/>
      </c>
      <c r="I1558" s="14" t="str">
        <f t="array" ref="I1558">IF(getRGB1(Weekly!H120)="FFFF00","초방","재방")</f>
        <v>재방</v>
      </c>
    </row>
    <row r="1559" spans="1:9" ht="11.25" customHeight="1" x14ac:dyDescent="0.3">
      <c r="A1559" s="10" t="str">
        <f t="shared" si="183"/>
        <v/>
      </c>
      <c r="B1559" s="11">
        <f>Weekly!$H$3</f>
        <v>45920</v>
      </c>
      <c r="C1559" s="12">
        <v>0.40625</v>
      </c>
      <c r="D1559" s="13">
        <f>Weekly!H121</f>
        <v>0</v>
      </c>
      <c r="E1559" s="13" t="str">
        <f t="shared" si="184"/>
        <v/>
      </c>
      <c r="F1559" s="13" t="str">
        <f t="shared" si="187"/>
        <v/>
      </c>
      <c r="G1559" s="13" t="str">
        <f t="shared" si="185"/>
        <v/>
      </c>
      <c r="H1559" s="13" t="str">
        <f t="shared" si="186"/>
        <v/>
      </c>
      <c r="I1559" s="14" t="str">
        <f t="array" ref="I1559">IF(getRGB1(Weekly!H121)="FFFF00","초방","재방")</f>
        <v>재방</v>
      </c>
    </row>
    <row r="1560" spans="1:9" ht="11.25" customHeight="1" x14ac:dyDescent="0.3">
      <c r="A1560" s="10" t="str">
        <f t="shared" si="183"/>
        <v/>
      </c>
      <c r="B1560" s="11">
        <f>Weekly!$H$3</f>
        <v>45920</v>
      </c>
      <c r="C1560" s="12">
        <v>0.40972222222222199</v>
      </c>
      <c r="D1560" s="13">
        <f>Weekly!H122</f>
        <v>0</v>
      </c>
      <c r="E1560" s="13" t="str">
        <f t="shared" si="184"/>
        <v/>
      </c>
      <c r="F1560" s="13" t="str">
        <f t="shared" si="187"/>
        <v/>
      </c>
      <c r="G1560" s="13" t="str">
        <f t="shared" si="185"/>
        <v/>
      </c>
      <c r="H1560" s="13" t="str">
        <f t="shared" si="186"/>
        <v/>
      </c>
      <c r="I1560" s="14" t="str">
        <f t="array" ref="I1560">IF(getRGB1(Weekly!H122)="FFFF00","초방","재방")</f>
        <v>재방</v>
      </c>
    </row>
    <row r="1561" spans="1:9" ht="11.25" customHeight="1" x14ac:dyDescent="0.3">
      <c r="A1561" s="10" t="str">
        <f t="shared" si="183"/>
        <v/>
      </c>
      <c r="B1561" s="11">
        <f>Weekly!$H$3</f>
        <v>45920</v>
      </c>
      <c r="C1561" s="12">
        <v>0.41319444444444398</v>
      </c>
      <c r="D1561" s="13">
        <f>Weekly!H123</f>
        <v>0</v>
      </c>
      <c r="E1561" s="13" t="str">
        <f t="shared" si="184"/>
        <v/>
      </c>
      <c r="F1561" s="13" t="str">
        <f t="shared" si="187"/>
        <v/>
      </c>
      <c r="G1561" s="13" t="str">
        <f t="shared" si="185"/>
        <v/>
      </c>
      <c r="H1561" s="13" t="str">
        <f t="shared" si="186"/>
        <v/>
      </c>
      <c r="I1561" s="14" t="str">
        <f t="array" ref="I1561">IF(getRGB1(Weekly!H123)="FFFF00","초방","재방")</f>
        <v>재방</v>
      </c>
    </row>
    <row r="1562" spans="1:9" ht="11.25" customHeight="1" x14ac:dyDescent="0.3">
      <c r="A1562" s="10">
        <f t="shared" si="183"/>
        <v>45920.416666666664</v>
      </c>
      <c r="B1562" s="11">
        <f>Weekly!$H$3</f>
        <v>45920</v>
      </c>
      <c r="C1562" s="12">
        <v>0.41666666666666702</v>
      </c>
      <c r="D1562" s="13" t="str">
        <f>Weekly!H124</f>
        <v>지방자치TV 스페셜
&lt;21</v>
      </c>
      <c r="E1562" s="13" t="str">
        <f t="shared" si="184"/>
        <v>지방자치TV 스페셜</v>
      </c>
      <c r="F1562" s="13">
        <f t="shared" si="187"/>
        <v>21</v>
      </c>
      <c r="G1562" s="13" t="str">
        <f t="shared" si="185"/>
        <v/>
      </c>
      <c r="H1562" s="13" t="str">
        <f t="shared" si="186"/>
        <v/>
      </c>
      <c r="I1562" s="14" t="str">
        <f t="array" ref="I1562">IF(getRGB1(Weekly!H124)="FFFF00","초방","재방")</f>
        <v>초방</v>
      </c>
    </row>
    <row r="1563" spans="1:9" ht="11.25" customHeight="1" x14ac:dyDescent="0.3">
      <c r="A1563" s="10" t="str">
        <f t="shared" si="183"/>
        <v/>
      </c>
      <c r="B1563" s="11">
        <f>Weekly!$H$3</f>
        <v>45920</v>
      </c>
      <c r="C1563" s="12">
        <v>0.42013888888888901</v>
      </c>
      <c r="D1563" s="13">
        <f>Weekly!H125</f>
        <v>0</v>
      </c>
      <c r="E1563" s="13" t="str">
        <f t="shared" si="184"/>
        <v/>
      </c>
      <c r="F1563" s="13" t="str">
        <f t="shared" si="187"/>
        <v/>
      </c>
      <c r="G1563" s="13" t="str">
        <f t="shared" si="185"/>
        <v/>
      </c>
      <c r="H1563" s="13" t="str">
        <f t="shared" si="186"/>
        <v/>
      </c>
      <c r="I1563" s="14" t="str">
        <f t="array" ref="I1563">IF(getRGB1(Weekly!H125)="FFFF00","초방","재방")</f>
        <v>초방</v>
      </c>
    </row>
    <row r="1564" spans="1:9" ht="11.25" customHeight="1" x14ac:dyDescent="0.3">
      <c r="A1564" s="10" t="str">
        <f t="shared" si="183"/>
        <v/>
      </c>
      <c r="B1564" s="11">
        <f>Weekly!$H$3</f>
        <v>45920</v>
      </c>
      <c r="C1564" s="12">
        <v>0.42361111111111099</v>
      </c>
      <c r="D1564" s="13">
        <f>Weekly!H126</f>
        <v>0</v>
      </c>
      <c r="E1564" s="13" t="str">
        <f t="shared" si="184"/>
        <v/>
      </c>
      <c r="F1564" s="13" t="str">
        <f t="shared" si="187"/>
        <v/>
      </c>
      <c r="G1564" s="13" t="str">
        <f t="shared" si="185"/>
        <v/>
      </c>
      <c r="H1564" s="13" t="str">
        <f t="shared" si="186"/>
        <v/>
      </c>
      <c r="I1564" s="14" t="str">
        <f t="array" ref="I1564">IF(getRGB1(Weekly!H126)="FFFF00","초방","재방")</f>
        <v>초방</v>
      </c>
    </row>
    <row r="1565" spans="1:9" ht="11.25" customHeight="1" x14ac:dyDescent="0.3">
      <c r="A1565" s="10" t="str">
        <f t="shared" si="183"/>
        <v/>
      </c>
      <c r="B1565" s="11">
        <f>Weekly!$H$3</f>
        <v>45920</v>
      </c>
      <c r="C1565" s="12">
        <v>0.42708333333333298</v>
      </c>
      <c r="D1565" s="13">
        <f>Weekly!H127</f>
        <v>0</v>
      </c>
      <c r="E1565" s="13" t="str">
        <f t="shared" si="184"/>
        <v/>
      </c>
      <c r="F1565" s="13" t="str">
        <f t="shared" si="187"/>
        <v/>
      </c>
      <c r="G1565" s="13" t="str">
        <f t="shared" si="185"/>
        <v/>
      </c>
      <c r="H1565" s="13" t="str">
        <f t="shared" si="186"/>
        <v/>
      </c>
      <c r="I1565" s="14" t="str">
        <f t="array" ref="I1565">IF(getRGB1(Weekly!H127)="FFFF00","초방","재방")</f>
        <v>초방</v>
      </c>
    </row>
    <row r="1566" spans="1:9" ht="11.25" customHeight="1" x14ac:dyDescent="0.3">
      <c r="A1566" s="10" t="str">
        <f t="shared" si="183"/>
        <v/>
      </c>
      <c r="B1566" s="11">
        <f>Weekly!$H$3</f>
        <v>45920</v>
      </c>
      <c r="C1566" s="12">
        <v>0.43055555555555602</v>
      </c>
      <c r="D1566" s="13">
        <f>Weekly!H128</f>
        <v>0</v>
      </c>
      <c r="E1566" s="13" t="str">
        <f t="shared" si="184"/>
        <v/>
      </c>
      <c r="F1566" s="13" t="str">
        <f t="shared" si="187"/>
        <v/>
      </c>
      <c r="G1566" s="13" t="str">
        <f t="shared" si="185"/>
        <v/>
      </c>
      <c r="H1566" s="13" t="str">
        <f t="shared" si="186"/>
        <v/>
      </c>
      <c r="I1566" s="14" t="str">
        <f t="array" ref="I1566">IF(getRGB1(Weekly!H128)="FFFF00","초방","재방")</f>
        <v>초방</v>
      </c>
    </row>
    <row r="1567" spans="1:9" ht="11.25" customHeight="1" x14ac:dyDescent="0.3">
      <c r="A1567" s="10" t="str">
        <f t="shared" si="183"/>
        <v/>
      </c>
      <c r="B1567" s="11">
        <f>Weekly!$H$3</f>
        <v>45920</v>
      </c>
      <c r="C1567" s="12">
        <v>0.43402777777777801</v>
      </c>
      <c r="D1567" s="13">
        <f>Weekly!H129</f>
        <v>0</v>
      </c>
      <c r="E1567" s="13" t="str">
        <f t="shared" si="184"/>
        <v/>
      </c>
      <c r="F1567" s="13" t="str">
        <f t="shared" si="187"/>
        <v/>
      </c>
      <c r="G1567" s="13" t="str">
        <f t="shared" si="185"/>
        <v/>
      </c>
      <c r="H1567" s="13" t="str">
        <f t="shared" si="186"/>
        <v/>
      </c>
      <c r="I1567" s="14" t="str">
        <f t="array" ref="I1567">IF(getRGB1(Weekly!H129)="FFFF00","초방","재방")</f>
        <v>초방</v>
      </c>
    </row>
    <row r="1568" spans="1:9" ht="11.25" customHeight="1" x14ac:dyDescent="0.3">
      <c r="A1568" s="10" t="str">
        <f t="shared" si="183"/>
        <v/>
      </c>
      <c r="B1568" s="11">
        <f>Weekly!$H$3</f>
        <v>45920</v>
      </c>
      <c r="C1568" s="12">
        <v>0.4375</v>
      </c>
      <c r="D1568" s="13">
        <f>Weekly!H130</f>
        <v>0</v>
      </c>
      <c r="E1568" s="13" t="str">
        <f t="shared" si="184"/>
        <v/>
      </c>
      <c r="F1568" s="13" t="str">
        <f t="shared" si="187"/>
        <v/>
      </c>
      <c r="G1568" s="13" t="str">
        <f t="shared" si="185"/>
        <v/>
      </c>
      <c r="H1568" s="13" t="str">
        <f t="shared" si="186"/>
        <v/>
      </c>
      <c r="I1568" s="14" t="str">
        <f t="array" ref="I1568">IF(getRGB1(Weekly!H130)="FFFF00","초방","재방")</f>
        <v>초방</v>
      </c>
    </row>
    <row r="1569" spans="1:9" ht="11.25" customHeight="1" x14ac:dyDescent="0.3">
      <c r="A1569" s="10" t="str">
        <f t="shared" si="183"/>
        <v/>
      </c>
      <c r="B1569" s="11">
        <f>Weekly!$H$3</f>
        <v>45920</v>
      </c>
      <c r="C1569" s="12">
        <v>0.44097222222222199</v>
      </c>
      <c r="D1569" s="13">
        <f>Weekly!H131</f>
        <v>0</v>
      </c>
      <c r="E1569" s="13" t="str">
        <f t="shared" si="184"/>
        <v/>
      </c>
      <c r="F1569" s="13" t="str">
        <f t="shared" si="187"/>
        <v/>
      </c>
      <c r="G1569" s="13" t="str">
        <f t="shared" si="185"/>
        <v/>
      </c>
      <c r="H1569" s="13" t="str">
        <f t="shared" si="186"/>
        <v/>
      </c>
      <c r="I1569" s="14" t="str">
        <f t="array" ref="I1569">IF(getRGB1(Weekly!H131)="FFFF00","초방","재방")</f>
        <v>초방</v>
      </c>
    </row>
    <row r="1570" spans="1:9" ht="11.25" customHeight="1" x14ac:dyDescent="0.3">
      <c r="A1570" s="10" t="str">
        <f t="shared" si="183"/>
        <v/>
      </c>
      <c r="B1570" s="11">
        <f>Weekly!$H$3</f>
        <v>45920</v>
      </c>
      <c r="C1570" s="12">
        <v>0.44444444444444398</v>
      </c>
      <c r="D1570" s="13">
        <f>Weekly!H132</f>
        <v>0</v>
      </c>
      <c r="E1570" s="13" t="str">
        <f t="shared" si="184"/>
        <v/>
      </c>
      <c r="F1570" s="13" t="str">
        <f t="shared" si="187"/>
        <v/>
      </c>
      <c r="G1570" s="13" t="str">
        <f t="shared" si="185"/>
        <v/>
      </c>
      <c r="H1570" s="13" t="str">
        <f t="shared" si="186"/>
        <v/>
      </c>
      <c r="I1570" s="14" t="str">
        <f t="array" ref="I1570">IF(getRGB1(Weekly!H132)="FFFF00","초방","재방")</f>
        <v>초방</v>
      </c>
    </row>
    <row r="1571" spans="1:9" ht="11.25" customHeight="1" x14ac:dyDescent="0.3">
      <c r="A1571" s="10" t="str">
        <f t="shared" si="183"/>
        <v/>
      </c>
      <c r="B1571" s="11">
        <f>Weekly!$H$3</f>
        <v>45920</v>
      </c>
      <c r="C1571" s="12">
        <v>0.44791666666666702</v>
      </c>
      <c r="D1571" s="13">
        <f>Weekly!H133</f>
        <v>0</v>
      </c>
      <c r="E1571" s="13" t="str">
        <f t="shared" si="184"/>
        <v/>
      </c>
      <c r="F1571" s="13" t="str">
        <f t="shared" si="187"/>
        <v/>
      </c>
      <c r="G1571" s="13" t="str">
        <f t="shared" si="185"/>
        <v/>
      </c>
      <c r="H1571" s="13" t="str">
        <f t="shared" si="186"/>
        <v/>
      </c>
      <c r="I1571" s="14" t="str">
        <f t="array" ref="I1571">IF(getRGB1(Weekly!H133)="FFFF00","초방","재방")</f>
        <v>초방</v>
      </c>
    </row>
    <row r="1572" spans="1:9" ht="11.25" customHeight="1" x14ac:dyDescent="0.3">
      <c r="A1572" s="10" t="str">
        <f t="shared" si="183"/>
        <v/>
      </c>
      <c r="B1572" s="11">
        <f>Weekly!$H$3</f>
        <v>45920</v>
      </c>
      <c r="C1572" s="12">
        <v>0.45138888888888901</v>
      </c>
      <c r="D1572" s="13">
        <f>Weekly!H134</f>
        <v>0</v>
      </c>
      <c r="E1572" s="13" t="str">
        <f t="shared" si="184"/>
        <v/>
      </c>
      <c r="F1572" s="13" t="str">
        <f t="shared" si="187"/>
        <v/>
      </c>
      <c r="G1572" s="13" t="str">
        <f t="shared" si="185"/>
        <v/>
      </c>
      <c r="H1572" s="13" t="str">
        <f t="shared" si="186"/>
        <v/>
      </c>
      <c r="I1572" s="14" t="str">
        <f t="array" ref="I1572">IF(getRGB1(Weekly!H134)="FFFF00","초방","재방")</f>
        <v>초방</v>
      </c>
    </row>
    <row r="1573" spans="1:9" ht="11.25" customHeight="1" x14ac:dyDescent="0.3">
      <c r="A1573" s="10" t="str">
        <f t="shared" si="183"/>
        <v/>
      </c>
      <c r="B1573" s="11">
        <f>Weekly!$H$3</f>
        <v>45920</v>
      </c>
      <c r="C1573" s="12">
        <v>0.45486111111111099</v>
      </c>
      <c r="D1573" s="13">
        <f>Weekly!H135</f>
        <v>0</v>
      </c>
      <c r="E1573" s="13" t="str">
        <f t="shared" si="184"/>
        <v/>
      </c>
      <c r="F1573" s="13" t="str">
        <f t="shared" si="187"/>
        <v/>
      </c>
      <c r="G1573" s="13" t="str">
        <f t="shared" si="185"/>
        <v/>
      </c>
      <c r="H1573" s="13" t="str">
        <f t="shared" si="186"/>
        <v/>
      </c>
      <c r="I1573" s="14" t="str">
        <f t="array" ref="I1573">IF(getRGB1(Weekly!H135)="FFFF00","초방","재방")</f>
        <v>초방</v>
      </c>
    </row>
    <row r="1574" spans="1:9" ht="11.25" customHeight="1" x14ac:dyDescent="0.3">
      <c r="A1574" s="10">
        <f t="shared" si="183"/>
        <v>45920.458333333336</v>
      </c>
      <c r="B1574" s="11">
        <f>Weekly!$H$3</f>
        <v>45920</v>
      </c>
      <c r="C1574" s="12">
        <v>0.45833333333333298</v>
      </c>
      <c r="D1574" s="13" t="str">
        <f>Weekly!H136</f>
        <v>지방자치TV 스페셜
&lt;22</v>
      </c>
      <c r="E1574" s="13" t="str">
        <f t="shared" si="184"/>
        <v>지방자치TV 스페셜</v>
      </c>
      <c r="F1574" s="13">
        <f t="shared" si="187"/>
        <v>22</v>
      </c>
      <c r="G1574" s="13" t="str">
        <f t="shared" si="185"/>
        <v/>
      </c>
      <c r="H1574" s="13" t="str">
        <f t="shared" si="186"/>
        <v/>
      </c>
      <c r="I1574" s="14" t="str">
        <f t="array" ref="I1574">IF(getRGB1(Weekly!H136)="FFFF00","초방","재방")</f>
        <v>초방</v>
      </c>
    </row>
    <row r="1575" spans="1:9" ht="11.25" customHeight="1" x14ac:dyDescent="0.3">
      <c r="A1575" s="10" t="str">
        <f t="shared" si="183"/>
        <v/>
      </c>
      <c r="B1575" s="11">
        <f>Weekly!$H$3</f>
        <v>45920</v>
      </c>
      <c r="C1575" s="12">
        <v>0.46180555555555602</v>
      </c>
      <c r="D1575" s="13">
        <f>Weekly!H137</f>
        <v>0</v>
      </c>
      <c r="E1575" s="13" t="str">
        <f t="shared" si="184"/>
        <v/>
      </c>
      <c r="F1575" s="13" t="str">
        <f t="shared" si="187"/>
        <v/>
      </c>
      <c r="G1575" s="13" t="str">
        <f t="shared" si="185"/>
        <v/>
      </c>
      <c r="H1575" s="13" t="str">
        <f t="shared" si="186"/>
        <v/>
      </c>
      <c r="I1575" s="14" t="str">
        <f t="array" ref="I1575">IF(getRGB1(Weekly!H137)="FFFF00","초방","재방")</f>
        <v>초방</v>
      </c>
    </row>
    <row r="1576" spans="1:9" ht="11.25" customHeight="1" x14ac:dyDescent="0.3">
      <c r="A1576" s="10" t="str">
        <f t="shared" si="183"/>
        <v/>
      </c>
      <c r="B1576" s="11">
        <f>Weekly!$H$3</f>
        <v>45920</v>
      </c>
      <c r="C1576" s="12">
        <v>0.46527777777777801</v>
      </c>
      <c r="D1576" s="13">
        <f>Weekly!H138</f>
        <v>0</v>
      </c>
      <c r="E1576" s="13" t="str">
        <f t="shared" si="184"/>
        <v/>
      </c>
      <c r="F1576" s="13" t="str">
        <f t="shared" si="187"/>
        <v/>
      </c>
      <c r="G1576" s="13" t="str">
        <f t="shared" si="185"/>
        <v/>
      </c>
      <c r="H1576" s="13" t="str">
        <f t="shared" si="186"/>
        <v/>
      </c>
      <c r="I1576" s="14" t="str">
        <f t="array" ref="I1576">IF(getRGB1(Weekly!H138)="FFFF00","초방","재방")</f>
        <v>초방</v>
      </c>
    </row>
    <row r="1577" spans="1:9" ht="11.25" customHeight="1" x14ac:dyDescent="0.3">
      <c r="A1577" s="10" t="str">
        <f t="shared" si="183"/>
        <v/>
      </c>
      <c r="B1577" s="11">
        <f>Weekly!$H$3</f>
        <v>45920</v>
      </c>
      <c r="C1577" s="12">
        <v>0.46875</v>
      </c>
      <c r="D1577" s="13">
        <f>Weekly!H139</f>
        <v>0</v>
      </c>
      <c r="E1577" s="13" t="str">
        <f t="shared" si="184"/>
        <v/>
      </c>
      <c r="F1577" s="13" t="str">
        <f t="shared" si="187"/>
        <v/>
      </c>
      <c r="G1577" s="13" t="str">
        <f t="shared" si="185"/>
        <v/>
      </c>
      <c r="H1577" s="13" t="str">
        <f t="shared" si="186"/>
        <v/>
      </c>
      <c r="I1577" s="14" t="str">
        <f t="array" ref="I1577">IF(getRGB1(Weekly!H139)="FFFF00","초방","재방")</f>
        <v>초방</v>
      </c>
    </row>
    <row r="1578" spans="1:9" ht="11.25" customHeight="1" x14ac:dyDescent="0.3">
      <c r="A1578" s="10" t="str">
        <f t="shared" si="183"/>
        <v/>
      </c>
      <c r="B1578" s="11">
        <f>Weekly!$H$3</f>
        <v>45920</v>
      </c>
      <c r="C1578" s="12">
        <v>0.47222222222222199</v>
      </c>
      <c r="D1578" s="13">
        <f>Weekly!H140</f>
        <v>0</v>
      </c>
      <c r="E1578" s="13" t="str">
        <f t="shared" si="184"/>
        <v/>
      </c>
      <c r="F1578" s="13" t="str">
        <f t="shared" si="187"/>
        <v/>
      </c>
      <c r="G1578" s="13" t="str">
        <f t="shared" si="185"/>
        <v/>
      </c>
      <c r="H1578" s="13" t="str">
        <f t="shared" si="186"/>
        <v/>
      </c>
      <c r="I1578" s="14" t="str">
        <f t="array" ref="I1578">IF(getRGB1(Weekly!H140)="FFFF00","초방","재방")</f>
        <v>초방</v>
      </c>
    </row>
    <row r="1579" spans="1:9" ht="11.25" customHeight="1" x14ac:dyDescent="0.3">
      <c r="A1579" s="10" t="str">
        <f t="shared" si="183"/>
        <v/>
      </c>
      <c r="B1579" s="11">
        <f>Weekly!$H$3</f>
        <v>45920</v>
      </c>
      <c r="C1579" s="12">
        <v>0.47569444444444398</v>
      </c>
      <c r="D1579" s="13">
        <f>Weekly!H141</f>
        <v>0</v>
      </c>
      <c r="E1579" s="13" t="str">
        <f t="shared" si="184"/>
        <v/>
      </c>
      <c r="F1579" s="13" t="str">
        <f t="shared" si="187"/>
        <v/>
      </c>
      <c r="G1579" s="13" t="str">
        <f t="shared" si="185"/>
        <v/>
      </c>
      <c r="H1579" s="13" t="str">
        <f t="shared" si="186"/>
        <v/>
      </c>
      <c r="I1579" s="14" t="str">
        <f t="array" ref="I1579">IF(getRGB1(Weekly!H141)="FFFF00","초방","재방")</f>
        <v>초방</v>
      </c>
    </row>
    <row r="1580" spans="1:9" ht="11.25" customHeight="1" x14ac:dyDescent="0.3">
      <c r="A1580" s="10" t="str">
        <f t="shared" si="183"/>
        <v/>
      </c>
      <c r="B1580" s="11">
        <f>Weekly!$H$3</f>
        <v>45920</v>
      </c>
      <c r="C1580" s="12">
        <v>0.47916666666666702</v>
      </c>
      <c r="D1580" s="13">
        <f>Weekly!H142</f>
        <v>0</v>
      </c>
      <c r="E1580" s="13" t="str">
        <f t="shared" si="184"/>
        <v/>
      </c>
      <c r="F1580" s="13" t="str">
        <f t="shared" si="187"/>
        <v/>
      </c>
      <c r="G1580" s="13" t="str">
        <f t="shared" si="185"/>
        <v/>
      </c>
      <c r="H1580" s="13" t="str">
        <f t="shared" si="186"/>
        <v/>
      </c>
      <c r="I1580" s="14" t="str">
        <f t="array" ref="I1580">IF(getRGB1(Weekly!H142)="FFFF00","초방","재방")</f>
        <v>초방</v>
      </c>
    </row>
    <row r="1581" spans="1:9" ht="11.25" customHeight="1" x14ac:dyDescent="0.3">
      <c r="A1581" s="10" t="str">
        <f t="shared" si="183"/>
        <v/>
      </c>
      <c r="B1581" s="11">
        <f>Weekly!$H$3</f>
        <v>45920</v>
      </c>
      <c r="C1581" s="12">
        <v>0.48263888888888901</v>
      </c>
      <c r="D1581" s="13">
        <f>Weekly!H143</f>
        <v>0</v>
      </c>
      <c r="E1581" s="13" t="str">
        <f t="shared" si="184"/>
        <v/>
      </c>
      <c r="F1581" s="13" t="str">
        <f t="shared" si="187"/>
        <v/>
      </c>
      <c r="G1581" s="13" t="str">
        <f t="shared" si="185"/>
        <v/>
      </c>
      <c r="H1581" s="13" t="str">
        <f t="shared" si="186"/>
        <v/>
      </c>
      <c r="I1581" s="14" t="str">
        <f t="array" ref="I1581">IF(getRGB1(Weekly!H143)="FFFF00","초방","재방")</f>
        <v>초방</v>
      </c>
    </row>
    <row r="1582" spans="1:9" ht="11.25" customHeight="1" x14ac:dyDescent="0.3">
      <c r="A1582" s="10" t="str">
        <f t="shared" si="183"/>
        <v/>
      </c>
      <c r="B1582" s="11">
        <f>Weekly!$H$3</f>
        <v>45920</v>
      </c>
      <c r="C1582" s="12">
        <v>0.48611111111111099</v>
      </c>
      <c r="D1582" s="13">
        <f>Weekly!H144</f>
        <v>0</v>
      </c>
      <c r="E1582" s="13" t="str">
        <f t="shared" si="184"/>
        <v/>
      </c>
      <c r="F1582" s="13" t="str">
        <f t="shared" si="187"/>
        <v/>
      </c>
      <c r="G1582" s="13" t="str">
        <f t="shared" si="185"/>
        <v/>
      </c>
      <c r="H1582" s="13" t="str">
        <f t="shared" si="186"/>
        <v/>
      </c>
      <c r="I1582" s="14" t="str">
        <f t="array" ref="I1582">IF(getRGB1(Weekly!H144)="FFFF00","초방","재방")</f>
        <v>초방</v>
      </c>
    </row>
    <row r="1583" spans="1:9" ht="11.25" customHeight="1" x14ac:dyDescent="0.3">
      <c r="A1583" s="10" t="str">
        <f t="shared" si="183"/>
        <v/>
      </c>
      <c r="B1583" s="11">
        <f>Weekly!$H$3</f>
        <v>45920</v>
      </c>
      <c r="C1583" s="12">
        <v>0.48958333333333298</v>
      </c>
      <c r="D1583" s="13">
        <f>Weekly!H145</f>
        <v>0</v>
      </c>
      <c r="E1583" s="13" t="str">
        <f t="shared" si="184"/>
        <v/>
      </c>
      <c r="F1583" s="13" t="str">
        <f t="shared" si="187"/>
        <v/>
      </c>
      <c r="G1583" s="13" t="str">
        <f t="shared" si="185"/>
        <v/>
      </c>
      <c r="H1583" s="13" t="str">
        <f t="shared" si="186"/>
        <v/>
      </c>
      <c r="I1583" s="14" t="str">
        <f t="array" ref="I1583">IF(getRGB1(Weekly!H145)="FFFF00","초방","재방")</f>
        <v>초방</v>
      </c>
    </row>
    <row r="1584" spans="1:9" ht="11.25" customHeight="1" x14ac:dyDescent="0.3">
      <c r="A1584" s="10" t="str">
        <f t="shared" si="183"/>
        <v/>
      </c>
      <c r="B1584" s="11">
        <f>Weekly!$H$3</f>
        <v>45920</v>
      </c>
      <c r="C1584" s="12">
        <v>0.49305555555555602</v>
      </c>
      <c r="D1584" s="13">
        <f>Weekly!H146</f>
        <v>0</v>
      </c>
      <c r="E1584" s="13" t="str">
        <f t="shared" si="184"/>
        <v/>
      </c>
      <c r="F1584" s="13" t="str">
        <f t="shared" si="187"/>
        <v/>
      </c>
      <c r="G1584" s="13" t="str">
        <f t="shared" si="185"/>
        <v/>
      </c>
      <c r="H1584" s="13" t="str">
        <f t="shared" si="186"/>
        <v/>
      </c>
      <c r="I1584" s="14" t="str">
        <f t="array" ref="I1584">IF(getRGB1(Weekly!H146)="FFFF00","초방","재방")</f>
        <v>초방</v>
      </c>
    </row>
    <row r="1585" spans="1:9" ht="11.25" customHeight="1" x14ac:dyDescent="0.3">
      <c r="A1585" s="10" t="str">
        <f t="shared" si="183"/>
        <v/>
      </c>
      <c r="B1585" s="11">
        <f>Weekly!$H$3</f>
        <v>45920</v>
      </c>
      <c r="C1585" s="12">
        <v>0.49652777777777801</v>
      </c>
      <c r="D1585" s="13">
        <f>Weekly!H147</f>
        <v>0</v>
      </c>
      <c r="E1585" s="13" t="str">
        <f t="shared" si="184"/>
        <v/>
      </c>
      <c r="F1585" s="13" t="str">
        <f t="shared" si="187"/>
        <v/>
      </c>
      <c r="G1585" s="13" t="str">
        <f t="shared" si="185"/>
        <v/>
      </c>
      <c r="H1585" s="13" t="str">
        <f t="shared" si="186"/>
        <v/>
      </c>
      <c r="I1585" s="14" t="str">
        <f t="array" ref="I1585">IF(getRGB1(Weekly!H147)="FFFF00","초방","재방")</f>
        <v>초방</v>
      </c>
    </row>
    <row r="1586" spans="1:9" ht="11.25" customHeight="1" x14ac:dyDescent="0.3">
      <c r="A1586" s="10">
        <f t="shared" si="183"/>
        <v>45920.5</v>
      </c>
      <c r="B1586" s="11">
        <f>Weekly!$H$3</f>
        <v>45920</v>
      </c>
      <c r="C1586" s="12">
        <v>0.5</v>
      </c>
      <c r="D1586" s="13" t="str">
        <f>Weekly!H148</f>
        <v>행복무지개
&lt;32</v>
      </c>
      <c r="E1586" s="13" t="str">
        <f t="shared" si="184"/>
        <v>행복무지개</v>
      </c>
      <c r="F1586" s="13">
        <f t="shared" si="187"/>
        <v>32</v>
      </c>
      <c r="G1586" s="13" t="str">
        <f t="shared" si="185"/>
        <v/>
      </c>
      <c r="H1586" s="13" t="str">
        <f t="shared" si="186"/>
        <v/>
      </c>
      <c r="I1586" s="14" t="str">
        <f t="array" ref="I1586">IF(getRGB1(Weekly!H148)="FFFF00","초방","재방")</f>
        <v>재방</v>
      </c>
    </row>
    <row r="1587" spans="1:9" ht="11.25" customHeight="1" x14ac:dyDescent="0.3">
      <c r="A1587" s="10" t="str">
        <f t="shared" si="183"/>
        <v/>
      </c>
      <c r="B1587" s="11">
        <f>Weekly!$H$3</f>
        <v>45920</v>
      </c>
      <c r="C1587" s="12">
        <v>0.50347222222222199</v>
      </c>
      <c r="D1587" s="13">
        <f>Weekly!H149</f>
        <v>0</v>
      </c>
      <c r="E1587" s="13" t="str">
        <f t="shared" si="184"/>
        <v/>
      </c>
      <c r="F1587" s="13" t="str">
        <f t="shared" si="187"/>
        <v/>
      </c>
      <c r="G1587" s="13" t="str">
        <f t="shared" si="185"/>
        <v/>
      </c>
      <c r="H1587" s="13" t="str">
        <f t="shared" si="186"/>
        <v/>
      </c>
      <c r="I1587" s="14" t="str">
        <f t="array" ref="I1587">IF(getRGB1(Weekly!H149)="FFFF00","초방","재방")</f>
        <v>재방</v>
      </c>
    </row>
    <row r="1588" spans="1:9" ht="11.25" customHeight="1" x14ac:dyDescent="0.3">
      <c r="A1588" s="10" t="str">
        <f t="shared" si="183"/>
        <v/>
      </c>
      <c r="B1588" s="11">
        <f>Weekly!$H$3</f>
        <v>45920</v>
      </c>
      <c r="C1588" s="12">
        <v>0.50694444444444398</v>
      </c>
      <c r="D1588" s="13">
        <f>Weekly!H150</f>
        <v>0</v>
      </c>
      <c r="E1588" s="13" t="str">
        <f t="shared" si="184"/>
        <v/>
      </c>
      <c r="F1588" s="13" t="str">
        <f t="shared" si="187"/>
        <v/>
      </c>
      <c r="G1588" s="13" t="str">
        <f t="shared" si="185"/>
        <v/>
      </c>
      <c r="H1588" s="13" t="str">
        <f t="shared" si="186"/>
        <v/>
      </c>
      <c r="I1588" s="14" t="str">
        <f t="array" ref="I1588">IF(getRGB1(Weekly!H150)="FFFF00","초방","재방")</f>
        <v>재방</v>
      </c>
    </row>
    <row r="1589" spans="1:9" ht="11.25" customHeight="1" x14ac:dyDescent="0.3">
      <c r="A1589" s="10" t="str">
        <f t="shared" si="183"/>
        <v/>
      </c>
      <c r="B1589" s="11">
        <f>Weekly!$H$3</f>
        <v>45920</v>
      </c>
      <c r="C1589" s="12">
        <v>0.51041666666666696</v>
      </c>
      <c r="D1589" s="13">
        <f>Weekly!H151</f>
        <v>0</v>
      </c>
      <c r="E1589" s="13" t="str">
        <f t="shared" si="184"/>
        <v/>
      </c>
      <c r="F1589" s="13" t="str">
        <f t="shared" si="187"/>
        <v/>
      </c>
      <c r="G1589" s="13" t="str">
        <f t="shared" si="185"/>
        <v/>
      </c>
      <c r="H1589" s="13" t="str">
        <f t="shared" si="186"/>
        <v/>
      </c>
      <c r="I1589" s="14" t="str">
        <f t="array" ref="I1589">IF(getRGB1(Weekly!H151)="FFFF00","초방","재방")</f>
        <v>재방</v>
      </c>
    </row>
    <row r="1590" spans="1:9" ht="11.25" customHeight="1" x14ac:dyDescent="0.3">
      <c r="A1590" s="10" t="str">
        <f t="shared" si="183"/>
        <v/>
      </c>
      <c r="B1590" s="11">
        <f>Weekly!$H$3</f>
        <v>45920</v>
      </c>
      <c r="C1590" s="12">
        <v>0.51388888888888895</v>
      </c>
      <c r="D1590" s="13">
        <f>Weekly!H152</f>
        <v>0</v>
      </c>
      <c r="E1590" s="13" t="str">
        <f t="shared" si="184"/>
        <v/>
      </c>
      <c r="F1590" s="13" t="str">
        <f t="shared" si="187"/>
        <v/>
      </c>
      <c r="G1590" s="13" t="str">
        <f t="shared" si="185"/>
        <v/>
      </c>
      <c r="H1590" s="13" t="str">
        <f t="shared" si="186"/>
        <v/>
      </c>
      <c r="I1590" s="14" t="str">
        <f t="array" ref="I1590">IF(getRGB1(Weekly!H152)="FFFF00","초방","재방")</f>
        <v>재방</v>
      </c>
    </row>
    <row r="1591" spans="1:9" ht="11.25" customHeight="1" x14ac:dyDescent="0.3">
      <c r="A1591" s="10" t="str">
        <f t="shared" si="183"/>
        <v/>
      </c>
      <c r="B1591" s="11">
        <f>Weekly!$H$3</f>
        <v>45920</v>
      </c>
      <c r="C1591" s="12">
        <v>0.51736111111111105</v>
      </c>
      <c r="D1591" s="13">
        <f>Weekly!H153</f>
        <v>0</v>
      </c>
      <c r="E1591" s="13" t="str">
        <f t="shared" si="184"/>
        <v/>
      </c>
      <c r="F1591" s="13" t="str">
        <f t="shared" si="187"/>
        <v/>
      </c>
      <c r="G1591" s="13" t="str">
        <f t="shared" si="185"/>
        <v/>
      </c>
      <c r="H1591" s="13" t="str">
        <f t="shared" si="186"/>
        <v/>
      </c>
      <c r="I1591" s="14" t="str">
        <f t="array" ref="I1591">IF(getRGB1(Weekly!H153)="FFFF00","초방","재방")</f>
        <v>재방</v>
      </c>
    </row>
    <row r="1592" spans="1:9" ht="11.25" customHeight="1" x14ac:dyDescent="0.3">
      <c r="A1592" s="10" t="str">
        <f t="shared" si="183"/>
        <v/>
      </c>
      <c r="B1592" s="11">
        <f>Weekly!$H$3</f>
        <v>45920</v>
      </c>
      <c r="C1592" s="12">
        <v>0.52083333333333304</v>
      </c>
      <c r="D1592" s="13">
        <f>Weekly!H154</f>
        <v>0</v>
      </c>
      <c r="E1592" s="13" t="str">
        <f t="shared" si="184"/>
        <v/>
      </c>
      <c r="F1592" s="13" t="str">
        <f t="shared" si="187"/>
        <v/>
      </c>
      <c r="G1592" s="13" t="str">
        <f t="shared" si="185"/>
        <v/>
      </c>
      <c r="H1592" s="13" t="str">
        <f t="shared" si="186"/>
        <v/>
      </c>
      <c r="I1592" s="14" t="str">
        <f t="array" ref="I1592">IF(getRGB1(Weekly!H154)="FFFF00","초방","재방")</f>
        <v>재방</v>
      </c>
    </row>
    <row r="1593" spans="1:9" ht="11.25" customHeight="1" x14ac:dyDescent="0.3">
      <c r="A1593" s="10" t="str">
        <f t="shared" si="183"/>
        <v/>
      </c>
      <c r="B1593" s="11">
        <f>Weekly!$H$3</f>
        <v>45920</v>
      </c>
      <c r="C1593" s="12">
        <v>0.52430555555555602</v>
      </c>
      <c r="D1593" s="13">
        <f>Weekly!H155</f>
        <v>0</v>
      </c>
      <c r="E1593" s="13" t="str">
        <f t="shared" si="184"/>
        <v/>
      </c>
      <c r="F1593" s="13" t="str">
        <f t="shared" si="187"/>
        <v/>
      </c>
      <c r="G1593" s="13" t="str">
        <f t="shared" si="185"/>
        <v/>
      </c>
      <c r="H1593" s="13" t="str">
        <f t="shared" si="186"/>
        <v/>
      </c>
      <c r="I1593" s="14" t="str">
        <f t="array" ref="I1593">IF(getRGB1(Weekly!H155)="FFFF00","초방","재방")</f>
        <v>재방</v>
      </c>
    </row>
    <row r="1594" spans="1:9" ht="11.25" customHeight="1" x14ac:dyDescent="0.3">
      <c r="A1594" s="10" t="str">
        <f t="shared" si="183"/>
        <v/>
      </c>
      <c r="B1594" s="11">
        <f>Weekly!$H$3</f>
        <v>45920</v>
      </c>
      <c r="C1594" s="12">
        <v>0.52777777777777801</v>
      </c>
      <c r="D1594" s="13">
        <f>Weekly!H156</f>
        <v>0</v>
      </c>
      <c r="E1594" s="13" t="str">
        <f t="shared" si="184"/>
        <v/>
      </c>
      <c r="F1594" s="13" t="str">
        <f t="shared" si="187"/>
        <v/>
      </c>
      <c r="G1594" s="13" t="str">
        <f t="shared" si="185"/>
        <v/>
      </c>
      <c r="H1594" s="13" t="str">
        <f t="shared" si="186"/>
        <v/>
      </c>
      <c r="I1594" s="14" t="str">
        <f t="array" ref="I1594">IF(getRGB1(Weekly!H156)="FFFF00","초방","재방")</f>
        <v>재방</v>
      </c>
    </row>
    <row r="1595" spans="1:9" ht="11.25" customHeight="1" x14ac:dyDescent="0.3">
      <c r="A1595" s="10" t="str">
        <f t="shared" si="183"/>
        <v/>
      </c>
      <c r="B1595" s="11">
        <f>Weekly!$H$3</f>
        <v>45920</v>
      </c>
      <c r="C1595" s="12">
        <v>0.53125</v>
      </c>
      <c r="D1595" s="13">
        <f>Weekly!H157</f>
        <v>0</v>
      </c>
      <c r="E1595" s="13" t="str">
        <f t="shared" si="184"/>
        <v/>
      </c>
      <c r="F1595" s="13" t="str">
        <f t="shared" si="187"/>
        <v/>
      </c>
      <c r="G1595" s="13" t="str">
        <f t="shared" si="185"/>
        <v/>
      </c>
      <c r="H1595" s="13" t="str">
        <f t="shared" si="186"/>
        <v/>
      </c>
      <c r="I1595" s="14" t="str">
        <f t="array" ref="I1595">IF(getRGB1(Weekly!H157)="FFFF00","초방","재방")</f>
        <v>재방</v>
      </c>
    </row>
    <row r="1596" spans="1:9" ht="11.25" customHeight="1" x14ac:dyDescent="0.3">
      <c r="A1596" s="10" t="str">
        <f t="shared" si="183"/>
        <v/>
      </c>
      <c r="B1596" s="11">
        <f>Weekly!$H$3</f>
        <v>45920</v>
      </c>
      <c r="C1596" s="12">
        <v>0.53472222222222199</v>
      </c>
      <c r="D1596" s="13">
        <f>Weekly!H158</f>
        <v>0</v>
      </c>
      <c r="E1596" s="13" t="str">
        <f t="shared" si="184"/>
        <v/>
      </c>
      <c r="F1596" s="13" t="str">
        <f t="shared" si="187"/>
        <v/>
      </c>
      <c r="G1596" s="13" t="str">
        <f t="shared" si="185"/>
        <v/>
      </c>
      <c r="H1596" s="13" t="str">
        <f t="shared" si="186"/>
        <v/>
      </c>
      <c r="I1596" s="14" t="str">
        <f t="array" ref="I1596">IF(getRGB1(Weekly!H158)="FFFF00","초방","재방")</f>
        <v>재방</v>
      </c>
    </row>
    <row r="1597" spans="1:9" ht="11.25" customHeight="1" x14ac:dyDescent="0.3">
      <c r="A1597" s="10" t="str">
        <f t="shared" si="183"/>
        <v/>
      </c>
      <c r="B1597" s="11">
        <f>Weekly!$H$3</f>
        <v>45920</v>
      </c>
      <c r="C1597" s="12">
        <v>0.53819444444444398</v>
      </c>
      <c r="D1597" s="13">
        <f>Weekly!H159</f>
        <v>0</v>
      </c>
      <c r="E1597" s="13" t="str">
        <f t="shared" si="184"/>
        <v/>
      </c>
      <c r="F1597" s="13" t="str">
        <f t="shared" si="187"/>
        <v/>
      </c>
      <c r="G1597" s="13" t="str">
        <f t="shared" si="185"/>
        <v/>
      </c>
      <c r="H1597" s="13" t="str">
        <f t="shared" si="186"/>
        <v/>
      </c>
      <c r="I1597" s="14" t="str">
        <f t="array" ref="I1597">IF(getRGB1(Weekly!H159)="FFFF00","초방","재방")</f>
        <v>재방</v>
      </c>
    </row>
    <row r="1598" spans="1:9" ht="11.25" customHeight="1" x14ac:dyDescent="0.3">
      <c r="A1598" s="10">
        <f t="shared" si="183"/>
        <v>45920.541666666664</v>
      </c>
      <c r="B1598" s="11">
        <f>Weekly!$H$3</f>
        <v>45920</v>
      </c>
      <c r="C1598" s="12">
        <v>0.54166666666666696</v>
      </c>
      <c r="D1598" s="13" t="str">
        <f>Weekly!H160</f>
        <v xml:space="preserve"> NEWSJ
&lt;67</v>
      </c>
      <c r="E1598" s="13" t="str">
        <f t="shared" si="184"/>
        <v>NEWSJ</v>
      </c>
      <c r="F1598" s="13">
        <f t="shared" si="187"/>
        <v>67</v>
      </c>
      <c r="G1598" s="13" t="str">
        <f t="shared" si="185"/>
        <v/>
      </c>
      <c r="H1598" s="13" t="str">
        <f t="shared" si="186"/>
        <v/>
      </c>
      <c r="I1598" s="14" t="str">
        <f t="array" ref="I1598">IF(getRGB1(Weekly!H160)="FFFF00","초방","재방")</f>
        <v>초방</v>
      </c>
    </row>
    <row r="1599" spans="1:9" ht="11.25" customHeight="1" x14ac:dyDescent="0.3">
      <c r="A1599" s="10" t="str">
        <f t="shared" si="183"/>
        <v/>
      </c>
      <c r="B1599" s="11">
        <f>Weekly!$H$3</f>
        <v>45920</v>
      </c>
      <c r="C1599" s="12">
        <v>0.54513888888888895</v>
      </c>
      <c r="D1599" s="13">
        <f>Weekly!H161</f>
        <v>0</v>
      </c>
      <c r="E1599" s="13" t="str">
        <f t="shared" si="184"/>
        <v/>
      </c>
      <c r="F1599" s="13" t="str">
        <f t="shared" si="187"/>
        <v/>
      </c>
      <c r="G1599" s="13" t="str">
        <f t="shared" si="185"/>
        <v/>
      </c>
      <c r="H1599" s="13" t="str">
        <f t="shared" si="186"/>
        <v/>
      </c>
      <c r="I1599" s="14" t="str">
        <f t="array" ref="I1599">IF(getRGB1(Weekly!H161)="FFFF00","초방","재방")</f>
        <v>초방</v>
      </c>
    </row>
    <row r="1600" spans="1:9" ht="11.25" customHeight="1" x14ac:dyDescent="0.3">
      <c r="A1600" s="10" t="str">
        <f t="shared" si="183"/>
        <v/>
      </c>
      <c r="B1600" s="11">
        <f>Weekly!$H$3</f>
        <v>45920</v>
      </c>
      <c r="C1600" s="12">
        <v>0.54861111111111105</v>
      </c>
      <c r="D1600" s="13">
        <f>Weekly!H162</f>
        <v>0</v>
      </c>
      <c r="E1600" s="13" t="str">
        <f t="shared" si="184"/>
        <v/>
      </c>
      <c r="F1600" s="13" t="str">
        <f t="shared" si="187"/>
        <v/>
      </c>
      <c r="G1600" s="13" t="str">
        <f t="shared" si="185"/>
        <v/>
      </c>
      <c r="H1600" s="13" t="str">
        <f t="shared" si="186"/>
        <v/>
      </c>
      <c r="I1600" s="14" t="str">
        <f t="array" ref="I1600">IF(getRGB1(Weekly!H162)="FFFF00","초방","재방")</f>
        <v>초방</v>
      </c>
    </row>
    <row r="1601" spans="1:9" ht="11.25" customHeight="1" x14ac:dyDescent="0.3">
      <c r="A1601" s="10" t="str">
        <f t="shared" si="183"/>
        <v/>
      </c>
      <c r="B1601" s="11">
        <f>Weekly!$H$3</f>
        <v>45920</v>
      </c>
      <c r="C1601" s="12">
        <v>0.55208333333333304</v>
      </c>
      <c r="D1601" s="13">
        <f>Weekly!H163</f>
        <v>0</v>
      </c>
      <c r="E1601" s="13" t="str">
        <f t="shared" si="184"/>
        <v/>
      </c>
      <c r="F1601" s="13" t="str">
        <f t="shared" si="187"/>
        <v/>
      </c>
      <c r="G1601" s="13" t="str">
        <f t="shared" si="185"/>
        <v/>
      </c>
      <c r="H1601" s="13" t="str">
        <f t="shared" si="186"/>
        <v/>
      </c>
      <c r="I1601" s="14" t="str">
        <f t="array" ref="I1601">IF(getRGB1(Weekly!H163)="FFFF00","초방","재방")</f>
        <v>초방</v>
      </c>
    </row>
    <row r="1602" spans="1:9" ht="11.25" customHeight="1" x14ac:dyDescent="0.3">
      <c r="A1602" s="10" t="str">
        <f t="shared" ref="A1602:A1665" si="188">IF(D1602&lt;&gt;0,B1602+C1602,"")</f>
        <v/>
      </c>
      <c r="B1602" s="11">
        <f>Weekly!$H$3</f>
        <v>45920</v>
      </c>
      <c r="C1602" s="12">
        <v>0.55555555555555602</v>
      </c>
      <c r="D1602" s="13">
        <f>Weekly!H164</f>
        <v>0</v>
      </c>
      <c r="E1602" s="13" t="str">
        <f t="shared" ref="E1602:E1665" si="189">IFERROR(SUBSTITUTE(SUBSTITUTE(TRIM(LEFT(D1602,FIND("&lt;",D1602)-1)),CHAR(10),""),"⑮ ",""),"")</f>
        <v/>
      </c>
      <c r="F1602" s="13" t="str">
        <f t="shared" si="187"/>
        <v/>
      </c>
      <c r="G1602" s="13" t="str">
        <f t="shared" ref="G1602:G1665" si="190">IFERROR(MID(D1602,FIND("&gt;",D1602)+1,10),"")</f>
        <v/>
      </c>
      <c r="H1602" s="13" t="str">
        <f t="shared" ref="H1602:H1665" si="191">IFERROR(VLOOKUP(LEFT(D1602,2),$W$1:$X$6,2,0),"")</f>
        <v/>
      </c>
      <c r="I1602" s="14" t="str">
        <f t="array" ref="I1602">IF(getRGB1(Weekly!H164)="FFFF00","초방","재방")</f>
        <v>초방</v>
      </c>
    </row>
    <row r="1603" spans="1:9" ht="11.25" customHeight="1" x14ac:dyDescent="0.3">
      <c r="A1603" s="10" t="str">
        <f t="shared" si="188"/>
        <v/>
      </c>
      <c r="B1603" s="11">
        <f>Weekly!$H$3</f>
        <v>45920</v>
      </c>
      <c r="C1603" s="12">
        <v>0.55902777777777801</v>
      </c>
      <c r="D1603" s="13">
        <f>Weekly!H165</f>
        <v>0</v>
      </c>
      <c r="E1603" s="13" t="str">
        <f t="shared" si="189"/>
        <v/>
      </c>
      <c r="F1603" s="13" t="str">
        <f t="shared" ref="F1603:F1666" si="192">IFERROR((MID(D1603,FIND("&lt;",D1603)+1,4))*1,"")</f>
        <v/>
      </c>
      <c r="G1603" s="13" t="str">
        <f t="shared" si="190"/>
        <v/>
      </c>
      <c r="H1603" s="13" t="str">
        <f t="shared" si="191"/>
        <v/>
      </c>
      <c r="I1603" s="14" t="str">
        <f t="array" ref="I1603">IF(getRGB1(Weekly!H165)="FFFF00","초방","재방")</f>
        <v>초방</v>
      </c>
    </row>
    <row r="1604" spans="1:9" ht="11.25" customHeight="1" x14ac:dyDescent="0.3">
      <c r="A1604" s="10">
        <f t="shared" si="188"/>
        <v>45920.5625</v>
      </c>
      <c r="B1604" s="11">
        <f>Weekly!$H$3</f>
        <v>45920</v>
      </c>
      <c r="C1604" s="12">
        <v>0.5625</v>
      </c>
      <c r="D1604" s="13" t="str">
        <f>Weekly!H166</f>
        <v>더 人터뷰
&lt;54</v>
      </c>
      <c r="E1604" s="13" t="str">
        <f t="shared" si="189"/>
        <v>더 人터뷰</v>
      </c>
      <c r="F1604" s="13">
        <f t="shared" si="192"/>
        <v>54</v>
      </c>
      <c r="G1604" s="13" t="str">
        <f t="shared" si="190"/>
        <v/>
      </c>
      <c r="H1604" s="13" t="str">
        <f t="shared" si="191"/>
        <v/>
      </c>
      <c r="I1604" s="14" t="str">
        <f t="array" ref="I1604">IF(getRGB1(Weekly!H166)="FFFF00","초방","재방")</f>
        <v>재방</v>
      </c>
    </row>
    <row r="1605" spans="1:9" ht="11.25" customHeight="1" x14ac:dyDescent="0.3">
      <c r="A1605" s="10" t="str">
        <f t="shared" si="188"/>
        <v/>
      </c>
      <c r="B1605" s="11">
        <f>Weekly!$H$3</f>
        <v>45920</v>
      </c>
      <c r="C1605" s="12">
        <v>0.56597222222222199</v>
      </c>
      <c r="D1605" s="13">
        <f>Weekly!H167</f>
        <v>0</v>
      </c>
      <c r="E1605" s="13" t="str">
        <f t="shared" si="189"/>
        <v/>
      </c>
      <c r="F1605" s="13" t="str">
        <f t="shared" si="192"/>
        <v/>
      </c>
      <c r="G1605" s="13" t="str">
        <f t="shared" si="190"/>
        <v/>
      </c>
      <c r="H1605" s="13" t="str">
        <f t="shared" si="191"/>
        <v/>
      </c>
      <c r="I1605" s="14" t="str">
        <f t="array" ref="I1605">IF(getRGB1(Weekly!H167)="FFFF00","초방","재방")</f>
        <v>재방</v>
      </c>
    </row>
    <row r="1606" spans="1:9" ht="11.25" customHeight="1" x14ac:dyDescent="0.3">
      <c r="A1606" s="10" t="str">
        <f t="shared" si="188"/>
        <v/>
      </c>
      <c r="B1606" s="11">
        <f>Weekly!$H$3</f>
        <v>45920</v>
      </c>
      <c r="C1606" s="12">
        <v>0.56944444444444398</v>
      </c>
      <c r="D1606" s="13">
        <f>Weekly!H168</f>
        <v>0</v>
      </c>
      <c r="E1606" s="13" t="str">
        <f t="shared" si="189"/>
        <v/>
      </c>
      <c r="F1606" s="13" t="str">
        <f t="shared" si="192"/>
        <v/>
      </c>
      <c r="G1606" s="13" t="str">
        <f t="shared" si="190"/>
        <v/>
      </c>
      <c r="H1606" s="13" t="str">
        <f t="shared" si="191"/>
        <v/>
      </c>
      <c r="I1606" s="14" t="str">
        <f t="array" ref="I1606">IF(getRGB1(Weekly!H168)="FFFF00","초방","재방")</f>
        <v>재방</v>
      </c>
    </row>
    <row r="1607" spans="1:9" ht="11.25" customHeight="1" x14ac:dyDescent="0.3">
      <c r="A1607" s="10" t="str">
        <f t="shared" si="188"/>
        <v/>
      </c>
      <c r="B1607" s="11">
        <f>Weekly!$H$3</f>
        <v>45920</v>
      </c>
      <c r="C1607" s="12">
        <v>0.57291666666666696</v>
      </c>
      <c r="D1607" s="13">
        <f>Weekly!H169</f>
        <v>0</v>
      </c>
      <c r="E1607" s="13" t="str">
        <f t="shared" si="189"/>
        <v/>
      </c>
      <c r="F1607" s="13" t="str">
        <f t="shared" si="192"/>
        <v/>
      </c>
      <c r="G1607" s="13" t="str">
        <f t="shared" si="190"/>
        <v/>
      </c>
      <c r="H1607" s="13" t="str">
        <f t="shared" si="191"/>
        <v/>
      </c>
      <c r="I1607" s="14" t="str">
        <f t="array" ref="I1607">IF(getRGB1(Weekly!H169)="FFFF00","초방","재방")</f>
        <v>재방</v>
      </c>
    </row>
    <row r="1608" spans="1:9" ht="11.25" customHeight="1" x14ac:dyDescent="0.3">
      <c r="A1608" s="10" t="str">
        <f t="shared" si="188"/>
        <v/>
      </c>
      <c r="B1608" s="11">
        <f>Weekly!$H$3</f>
        <v>45920</v>
      </c>
      <c r="C1608" s="12">
        <v>0.57638888888888895</v>
      </c>
      <c r="D1608" s="13">
        <f>Weekly!H170</f>
        <v>0</v>
      </c>
      <c r="E1608" s="13" t="str">
        <f t="shared" si="189"/>
        <v/>
      </c>
      <c r="F1608" s="13" t="str">
        <f t="shared" si="192"/>
        <v/>
      </c>
      <c r="G1608" s="13" t="str">
        <f t="shared" si="190"/>
        <v/>
      </c>
      <c r="H1608" s="13" t="str">
        <f t="shared" si="191"/>
        <v/>
      </c>
      <c r="I1608" s="14" t="str">
        <f t="array" ref="I1608">IF(getRGB1(Weekly!H170)="FFFF00","초방","재방")</f>
        <v>재방</v>
      </c>
    </row>
    <row r="1609" spans="1:9" ht="11.25" customHeight="1" x14ac:dyDescent="0.3">
      <c r="A1609" s="10" t="str">
        <f t="shared" si="188"/>
        <v/>
      </c>
      <c r="B1609" s="11">
        <f>Weekly!$H$3</f>
        <v>45920</v>
      </c>
      <c r="C1609" s="12">
        <v>0.57986111111111105</v>
      </c>
      <c r="D1609" s="13">
        <f>Weekly!H171</f>
        <v>0</v>
      </c>
      <c r="E1609" s="13" t="str">
        <f t="shared" si="189"/>
        <v/>
      </c>
      <c r="F1609" s="13" t="str">
        <f t="shared" si="192"/>
        <v/>
      </c>
      <c r="G1609" s="13" t="str">
        <f t="shared" si="190"/>
        <v/>
      </c>
      <c r="H1609" s="13" t="str">
        <f t="shared" si="191"/>
        <v/>
      </c>
      <c r="I1609" s="14" t="str">
        <f t="array" ref="I1609">IF(getRGB1(Weekly!H171)="FFFF00","초방","재방")</f>
        <v>재방</v>
      </c>
    </row>
    <row r="1610" spans="1:9" ht="11.25" customHeight="1" x14ac:dyDescent="0.3">
      <c r="A1610" s="10">
        <f t="shared" si="188"/>
        <v>45920.583333333336</v>
      </c>
      <c r="B1610" s="11">
        <f>Weekly!$H$3</f>
        <v>45920</v>
      </c>
      <c r="C1610" s="12">
        <v>0.58333333333333304</v>
      </c>
      <c r="D1610" s="13" t="str">
        <f>Weekly!H172</f>
        <v>지방자치TV 스페셜
&lt;23</v>
      </c>
      <c r="E1610" s="13" t="str">
        <f t="shared" si="189"/>
        <v>지방자치TV 스페셜</v>
      </c>
      <c r="F1610" s="13">
        <f t="shared" si="192"/>
        <v>23</v>
      </c>
      <c r="G1610" s="13" t="str">
        <f t="shared" si="190"/>
        <v/>
      </c>
      <c r="H1610" s="13" t="str">
        <f t="shared" si="191"/>
        <v/>
      </c>
      <c r="I1610" s="14" t="str">
        <f t="array" ref="I1610">IF(getRGB1(Weekly!H172)="FFFF00","초방","재방")</f>
        <v>초방</v>
      </c>
    </row>
    <row r="1611" spans="1:9" ht="11.25" customHeight="1" x14ac:dyDescent="0.3">
      <c r="A1611" s="10" t="str">
        <f t="shared" si="188"/>
        <v/>
      </c>
      <c r="B1611" s="11">
        <f>Weekly!$H$3</f>
        <v>45920</v>
      </c>
      <c r="C1611" s="12">
        <v>0.58680555555555503</v>
      </c>
      <c r="D1611" s="13">
        <f>Weekly!H173</f>
        <v>0</v>
      </c>
      <c r="E1611" s="13" t="str">
        <f t="shared" si="189"/>
        <v/>
      </c>
      <c r="F1611" s="13" t="str">
        <f t="shared" si="192"/>
        <v/>
      </c>
      <c r="G1611" s="13" t="str">
        <f t="shared" si="190"/>
        <v/>
      </c>
      <c r="H1611" s="13" t="str">
        <f t="shared" si="191"/>
        <v/>
      </c>
      <c r="I1611" s="14" t="str">
        <f t="array" ref="I1611">IF(getRGB1(Weekly!H173)="FFFF00","초방","재방")</f>
        <v>초방</v>
      </c>
    </row>
    <row r="1612" spans="1:9" ht="11.25" customHeight="1" x14ac:dyDescent="0.3">
      <c r="A1612" s="10" t="str">
        <f t="shared" si="188"/>
        <v/>
      </c>
      <c r="B1612" s="11">
        <f>Weekly!$H$3</f>
        <v>45920</v>
      </c>
      <c r="C1612" s="12">
        <v>0.59027777777777801</v>
      </c>
      <c r="D1612" s="13">
        <f>Weekly!H174</f>
        <v>0</v>
      </c>
      <c r="E1612" s="13" t="str">
        <f t="shared" si="189"/>
        <v/>
      </c>
      <c r="F1612" s="13" t="str">
        <f t="shared" si="192"/>
        <v/>
      </c>
      <c r="G1612" s="13" t="str">
        <f t="shared" si="190"/>
        <v/>
      </c>
      <c r="H1612" s="13" t="str">
        <f t="shared" si="191"/>
        <v/>
      </c>
      <c r="I1612" s="14" t="str">
        <f t="array" ref="I1612">IF(getRGB1(Weekly!H174)="FFFF00","초방","재방")</f>
        <v>초방</v>
      </c>
    </row>
    <row r="1613" spans="1:9" ht="11.25" customHeight="1" x14ac:dyDescent="0.3">
      <c r="A1613" s="10" t="str">
        <f t="shared" si="188"/>
        <v/>
      </c>
      <c r="B1613" s="11">
        <f>Weekly!$H$3</f>
        <v>45920</v>
      </c>
      <c r="C1613" s="12">
        <v>0.59375</v>
      </c>
      <c r="D1613" s="13">
        <f>Weekly!H175</f>
        <v>0</v>
      </c>
      <c r="E1613" s="13" t="str">
        <f t="shared" si="189"/>
        <v/>
      </c>
      <c r="F1613" s="13" t="str">
        <f t="shared" si="192"/>
        <v/>
      </c>
      <c r="G1613" s="13" t="str">
        <f t="shared" si="190"/>
        <v/>
      </c>
      <c r="H1613" s="13" t="str">
        <f t="shared" si="191"/>
        <v/>
      </c>
      <c r="I1613" s="14" t="str">
        <f t="array" ref="I1613">IF(getRGB1(Weekly!H175)="FFFF00","초방","재방")</f>
        <v>초방</v>
      </c>
    </row>
    <row r="1614" spans="1:9" ht="11.25" customHeight="1" x14ac:dyDescent="0.3">
      <c r="A1614" s="10" t="str">
        <f t="shared" si="188"/>
        <v/>
      </c>
      <c r="B1614" s="11">
        <f>Weekly!$H$3</f>
        <v>45920</v>
      </c>
      <c r="C1614" s="12">
        <v>0.59722222222222199</v>
      </c>
      <c r="D1614" s="13">
        <f>Weekly!H176</f>
        <v>0</v>
      </c>
      <c r="E1614" s="13" t="str">
        <f t="shared" si="189"/>
        <v/>
      </c>
      <c r="F1614" s="13" t="str">
        <f t="shared" si="192"/>
        <v/>
      </c>
      <c r="G1614" s="13" t="str">
        <f t="shared" si="190"/>
        <v/>
      </c>
      <c r="H1614" s="13" t="str">
        <f t="shared" si="191"/>
        <v/>
      </c>
      <c r="I1614" s="14" t="str">
        <f t="array" ref="I1614">IF(getRGB1(Weekly!H176)="FFFF00","초방","재방")</f>
        <v>초방</v>
      </c>
    </row>
    <row r="1615" spans="1:9" ht="11.25" customHeight="1" x14ac:dyDescent="0.3">
      <c r="A1615" s="10" t="str">
        <f t="shared" si="188"/>
        <v/>
      </c>
      <c r="B1615" s="11">
        <f>Weekly!$H$3</f>
        <v>45920</v>
      </c>
      <c r="C1615" s="12">
        <v>0.60069444444444398</v>
      </c>
      <c r="D1615" s="13">
        <f>Weekly!H177</f>
        <v>0</v>
      </c>
      <c r="E1615" s="13" t="str">
        <f t="shared" si="189"/>
        <v/>
      </c>
      <c r="F1615" s="13" t="str">
        <f t="shared" si="192"/>
        <v/>
      </c>
      <c r="G1615" s="13" t="str">
        <f t="shared" si="190"/>
        <v/>
      </c>
      <c r="H1615" s="13" t="str">
        <f t="shared" si="191"/>
        <v/>
      </c>
      <c r="I1615" s="14" t="str">
        <f t="array" ref="I1615">IF(getRGB1(Weekly!H177)="FFFF00","초방","재방")</f>
        <v>초방</v>
      </c>
    </row>
    <row r="1616" spans="1:9" ht="11.25" customHeight="1" x14ac:dyDescent="0.3">
      <c r="A1616" s="10" t="str">
        <f t="shared" si="188"/>
        <v/>
      </c>
      <c r="B1616" s="11">
        <f>Weekly!$H$3</f>
        <v>45920</v>
      </c>
      <c r="C1616" s="12">
        <v>0.60416666666666696</v>
      </c>
      <c r="D1616" s="13">
        <f>Weekly!H178</f>
        <v>0</v>
      </c>
      <c r="E1616" s="13" t="str">
        <f t="shared" si="189"/>
        <v/>
      </c>
      <c r="F1616" s="13" t="str">
        <f t="shared" si="192"/>
        <v/>
      </c>
      <c r="G1616" s="13" t="str">
        <f t="shared" si="190"/>
        <v/>
      </c>
      <c r="H1616" s="13" t="str">
        <f t="shared" si="191"/>
        <v/>
      </c>
      <c r="I1616" s="14" t="str">
        <f t="array" ref="I1616">IF(getRGB1(Weekly!H178)="FFFF00","초방","재방")</f>
        <v>초방</v>
      </c>
    </row>
    <row r="1617" spans="1:9" ht="11.25" customHeight="1" x14ac:dyDescent="0.3">
      <c r="A1617" s="10" t="str">
        <f t="shared" si="188"/>
        <v/>
      </c>
      <c r="B1617" s="11">
        <f>Weekly!$H$3</f>
        <v>45920</v>
      </c>
      <c r="C1617" s="12">
        <v>0.60763888888888895</v>
      </c>
      <c r="D1617" s="13">
        <f>Weekly!H179</f>
        <v>0</v>
      </c>
      <c r="E1617" s="13" t="str">
        <f t="shared" si="189"/>
        <v/>
      </c>
      <c r="F1617" s="13" t="str">
        <f t="shared" si="192"/>
        <v/>
      </c>
      <c r="G1617" s="13" t="str">
        <f t="shared" si="190"/>
        <v/>
      </c>
      <c r="H1617" s="13" t="str">
        <f t="shared" si="191"/>
        <v/>
      </c>
      <c r="I1617" s="14" t="str">
        <f t="array" ref="I1617">IF(getRGB1(Weekly!H179)="FFFF00","초방","재방")</f>
        <v>초방</v>
      </c>
    </row>
    <row r="1618" spans="1:9" ht="11.25" customHeight="1" x14ac:dyDescent="0.3">
      <c r="A1618" s="10" t="str">
        <f t="shared" si="188"/>
        <v/>
      </c>
      <c r="B1618" s="11">
        <f>Weekly!$H$3</f>
        <v>45920</v>
      </c>
      <c r="C1618" s="12">
        <v>0.61111111111111105</v>
      </c>
      <c r="D1618" s="13">
        <f>Weekly!H180</f>
        <v>0</v>
      </c>
      <c r="E1618" s="13" t="str">
        <f t="shared" si="189"/>
        <v/>
      </c>
      <c r="F1618" s="13" t="str">
        <f t="shared" si="192"/>
        <v/>
      </c>
      <c r="G1618" s="13" t="str">
        <f t="shared" si="190"/>
        <v/>
      </c>
      <c r="H1618" s="13" t="str">
        <f t="shared" si="191"/>
        <v/>
      </c>
      <c r="I1618" s="14" t="str">
        <f t="array" ref="I1618">IF(getRGB1(Weekly!H180)="FFFF00","초방","재방")</f>
        <v>초방</v>
      </c>
    </row>
    <row r="1619" spans="1:9" ht="11.25" customHeight="1" x14ac:dyDescent="0.3">
      <c r="A1619" s="10" t="str">
        <f t="shared" si="188"/>
        <v/>
      </c>
      <c r="B1619" s="11">
        <f>Weekly!$H$3</f>
        <v>45920</v>
      </c>
      <c r="C1619" s="12">
        <v>0.61458333333333304</v>
      </c>
      <c r="D1619" s="13">
        <f>Weekly!H181</f>
        <v>0</v>
      </c>
      <c r="E1619" s="13" t="str">
        <f t="shared" si="189"/>
        <v/>
      </c>
      <c r="F1619" s="13" t="str">
        <f t="shared" si="192"/>
        <v/>
      </c>
      <c r="G1619" s="13" t="str">
        <f t="shared" si="190"/>
        <v/>
      </c>
      <c r="H1619" s="13" t="str">
        <f t="shared" si="191"/>
        <v/>
      </c>
      <c r="I1619" s="14" t="str">
        <f t="array" ref="I1619">IF(getRGB1(Weekly!H181)="FFFF00","초방","재방")</f>
        <v>초방</v>
      </c>
    </row>
    <row r="1620" spans="1:9" ht="11.25" customHeight="1" x14ac:dyDescent="0.3">
      <c r="A1620" s="10" t="str">
        <f t="shared" si="188"/>
        <v/>
      </c>
      <c r="B1620" s="11">
        <f>Weekly!$H$3</f>
        <v>45920</v>
      </c>
      <c r="C1620" s="12">
        <v>0.61805555555555503</v>
      </c>
      <c r="D1620" s="13">
        <f>Weekly!H182</f>
        <v>0</v>
      </c>
      <c r="E1620" s="13" t="str">
        <f t="shared" si="189"/>
        <v/>
      </c>
      <c r="F1620" s="13" t="str">
        <f t="shared" si="192"/>
        <v/>
      </c>
      <c r="G1620" s="13" t="str">
        <f t="shared" si="190"/>
        <v/>
      </c>
      <c r="H1620" s="13" t="str">
        <f t="shared" si="191"/>
        <v/>
      </c>
      <c r="I1620" s="14" t="str">
        <f t="array" ref="I1620">IF(getRGB1(Weekly!H182)="FFFF00","초방","재방")</f>
        <v>초방</v>
      </c>
    </row>
    <row r="1621" spans="1:9" ht="11.25" customHeight="1" x14ac:dyDescent="0.3">
      <c r="A1621" s="10" t="str">
        <f t="shared" si="188"/>
        <v/>
      </c>
      <c r="B1621" s="11">
        <f>Weekly!$H$3</f>
        <v>45920</v>
      </c>
      <c r="C1621" s="12">
        <v>0.62152777777777801</v>
      </c>
      <c r="D1621" s="13">
        <f>Weekly!H183</f>
        <v>0</v>
      </c>
      <c r="E1621" s="13" t="str">
        <f t="shared" si="189"/>
        <v/>
      </c>
      <c r="F1621" s="13" t="str">
        <f t="shared" si="192"/>
        <v/>
      </c>
      <c r="G1621" s="13" t="str">
        <f t="shared" si="190"/>
        <v/>
      </c>
      <c r="H1621" s="13" t="str">
        <f t="shared" si="191"/>
        <v/>
      </c>
      <c r="I1621" s="14" t="str">
        <f t="array" ref="I1621">IF(getRGB1(Weekly!H183)="FFFF00","초방","재방")</f>
        <v>초방</v>
      </c>
    </row>
    <row r="1622" spans="1:9" ht="11.25" customHeight="1" x14ac:dyDescent="0.3">
      <c r="A1622" s="10">
        <f t="shared" si="188"/>
        <v>45920.625</v>
      </c>
      <c r="B1622" s="11">
        <f>Weekly!$H$3</f>
        <v>45920</v>
      </c>
      <c r="C1622" s="12">
        <v>0.625</v>
      </c>
      <c r="D1622" s="13" t="str">
        <f>Weekly!H184</f>
        <v>행복무지개
&lt;31</v>
      </c>
      <c r="E1622" s="13" t="str">
        <f t="shared" si="189"/>
        <v>행복무지개</v>
      </c>
      <c r="F1622" s="13">
        <f t="shared" si="192"/>
        <v>31</v>
      </c>
      <c r="G1622" s="13" t="str">
        <f t="shared" si="190"/>
        <v/>
      </c>
      <c r="H1622" s="13" t="str">
        <f t="shared" si="191"/>
        <v/>
      </c>
      <c r="I1622" s="14" t="str">
        <f t="array" ref="I1622">IF(getRGB1(Weekly!H184)="FFFF00","초방","재방")</f>
        <v>재방</v>
      </c>
    </row>
    <row r="1623" spans="1:9" ht="11.25" customHeight="1" x14ac:dyDescent="0.3">
      <c r="A1623" s="10" t="str">
        <f t="shared" si="188"/>
        <v/>
      </c>
      <c r="B1623" s="11">
        <f>Weekly!$H$3</f>
        <v>45920</v>
      </c>
      <c r="C1623" s="12">
        <v>0.62847222222222199</v>
      </c>
      <c r="D1623" s="13">
        <f>Weekly!H185</f>
        <v>0</v>
      </c>
      <c r="E1623" s="13" t="str">
        <f t="shared" si="189"/>
        <v/>
      </c>
      <c r="F1623" s="13" t="str">
        <f t="shared" si="192"/>
        <v/>
      </c>
      <c r="G1623" s="13" t="str">
        <f t="shared" si="190"/>
        <v/>
      </c>
      <c r="H1623" s="13" t="str">
        <f t="shared" si="191"/>
        <v/>
      </c>
      <c r="I1623" s="14" t="str">
        <f t="array" ref="I1623">IF(getRGB1(Weekly!H185)="FFFF00","초방","재방")</f>
        <v>재방</v>
      </c>
    </row>
    <row r="1624" spans="1:9" ht="11.25" customHeight="1" x14ac:dyDescent="0.3">
      <c r="A1624" s="10" t="str">
        <f t="shared" si="188"/>
        <v/>
      </c>
      <c r="B1624" s="11">
        <f>Weekly!$H$3</f>
        <v>45920</v>
      </c>
      <c r="C1624" s="12">
        <v>0.63194444444444398</v>
      </c>
      <c r="D1624" s="13">
        <f>Weekly!H186</f>
        <v>0</v>
      </c>
      <c r="E1624" s="13" t="str">
        <f t="shared" si="189"/>
        <v/>
      </c>
      <c r="F1624" s="13" t="str">
        <f t="shared" si="192"/>
        <v/>
      </c>
      <c r="G1624" s="13" t="str">
        <f t="shared" si="190"/>
        <v/>
      </c>
      <c r="H1624" s="13" t="str">
        <f t="shared" si="191"/>
        <v/>
      </c>
      <c r="I1624" s="14" t="str">
        <f t="array" ref="I1624">IF(getRGB1(Weekly!H186)="FFFF00","초방","재방")</f>
        <v>재방</v>
      </c>
    </row>
    <row r="1625" spans="1:9" ht="11.25" customHeight="1" x14ac:dyDescent="0.3">
      <c r="A1625" s="10" t="str">
        <f t="shared" si="188"/>
        <v/>
      </c>
      <c r="B1625" s="11">
        <f>Weekly!$H$3</f>
        <v>45920</v>
      </c>
      <c r="C1625" s="12">
        <v>0.63541666666666696</v>
      </c>
      <c r="D1625" s="13">
        <f>Weekly!H187</f>
        <v>0</v>
      </c>
      <c r="E1625" s="13" t="str">
        <f t="shared" si="189"/>
        <v/>
      </c>
      <c r="F1625" s="13" t="str">
        <f t="shared" si="192"/>
        <v/>
      </c>
      <c r="G1625" s="13" t="str">
        <f t="shared" si="190"/>
        <v/>
      </c>
      <c r="H1625" s="13" t="str">
        <f t="shared" si="191"/>
        <v/>
      </c>
      <c r="I1625" s="14" t="str">
        <f t="array" ref="I1625">IF(getRGB1(Weekly!H187)="FFFF00","초방","재방")</f>
        <v>재방</v>
      </c>
    </row>
    <row r="1626" spans="1:9" ht="11.25" customHeight="1" x14ac:dyDescent="0.3">
      <c r="A1626" s="10" t="str">
        <f t="shared" si="188"/>
        <v/>
      </c>
      <c r="B1626" s="11">
        <f>Weekly!$H$3</f>
        <v>45920</v>
      </c>
      <c r="C1626" s="12">
        <v>0.63888888888888895</v>
      </c>
      <c r="D1626" s="13">
        <f>Weekly!H188</f>
        <v>0</v>
      </c>
      <c r="E1626" s="13" t="str">
        <f t="shared" si="189"/>
        <v/>
      </c>
      <c r="F1626" s="13" t="str">
        <f t="shared" si="192"/>
        <v/>
      </c>
      <c r="G1626" s="13" t="str">
        <f t="shared" si="190"/>
        <v/>
      </c>
      <c r="H1626" s="13" t="str">
        <f t="shared" si="191"/>
        <v/>
      </c>
      <c r="I1626" s="14" t="str">
        <f t="array" ref="I1626">IF(getRGB1(Weekly!H188)="FFFF00","초방","재방")</f>
        <v>재방</v>
      </c>
    </row>
    <row r="1627" spans="1:9" ht="11.25" customHeight="1" x14ac:dyDescent="0.3">
      <c r="A1627" s="10" t="str">
        <f t="shared" si="188"/>
        <v/>
      </c>
      <c r="B1627" s="11">
        <f>Weekly!$H$3</f>
        <v>45920</v>
      </c>
      <c r="C1627" s="12">
        <v>0.64236111111111105</v>
      </c>
      <c r="D1627" s="13">
        <f>Weekly!H189</f>
        <v>0</v>
      </c>
      <c r="E1627" s="13" t="str">
        <f t="shared" si="189"/>
        <v/>
      </c>
      <c r="F1627" s="13" t="str">
        <f t="shared" si="192"/>
        <v/>
      </c>
      <c r="G1627" s="13" t="str">
        <f t="shared" si="190"/>
        <v/>
      </c>
      <c r="H1627" s="13" t="str">
        <f t="shared" si="191"/>
        <v/>
      </c>
      <c r="I1627" s="14" t="str">
        <f t="array" ref="I1627">IF(getRGB1(Weekly!H189)="FFFF00","초방","재방")</f>
        <v>재방</v>
      </c>
    </row>
    <row r="1628" spans="1:9" ht="11.25" customHeight="1" x14ac:dyDescent="0.3">
      <c r="A1628" s="10" t="str">
        <f t="shared" si="188"/>
        <v/>
      </c>
      <c r="B1628" s="11">
        <f>Weekly!$H$3</f>
        <v>45920</v>
      </c>
      <c r="C1628" s="12">
        <v>0.64583333333333304</v>
      </c>
      <c r="D1628" s="13">
        <f>Weekly!H190</f>
        <v>0</v>
      </c>
      <c r="E1628" s="13" t="str">
        <f t="shared" si="189"/>
        <v/>
      </c>
      <c r="F1628" s="13" t="str">
        <f t="shared" si="192"/>
        <v/>
      </c>
      <c r="G1628" s="13" t="str">
        <f t="shared" si="190"/>
        <v/>
      </c>
      <c r="H1628" s="13" t="str">
        <f t="shared" si="191"/>
        <v/>
      </c>
      <c r="I1628" s="14" t="str">
        <f t="array" ref="I1628">IF(getRGB1(Weekly!H190)="FFFF00","초방","재방")</f>
        <v>재방</v>
      </c>
    </row>
    <row r="1629" spans="1:9" ht="11.25" customHeight="1" x14ac:dyDescent="0.3">
      <c r="A1629" s="10" t="str">
        <f t="shared" si="188"/>
        <v/>
      </c>
      <c r="B1629" s="11">
        <f>Weekly!$H$3</f>
        <v>45920</v>
      </c>
      <c r="C1629" s="12">
        <v>0.64930555555555503</v>
      </c>
      <c r="D1629" s="13">
        <f>Weekly!H191</f>
        <v>0</v>
      </c>
      <c r="E1629" s="13" t="str">
        <f t="shared" si="189"/>
        <v/>
      </c>
      <c r="F1629" s="13" t="str">
        <f t="shared" si="192"/>
        <v/>
      </c>
      <c r="G1629" s="13" t="str">
        <f t="shared" si="190"/>
        <v/>
      </c>
      <c r="H1629" s="13" t="str">
        <f t="shared" si="191"/>
        <v/>
      </c>
      <c r="I1629" s="14" t="str">
        <f t="array" ref="I1629">IF(getRGB1(Weekly!H191)="FFFF00","초방","재방")</f>
        <v>재방</v>
      </c>
    </row>
    <row r="1630" spans="1:9" ht="11.25" customHeight="1" x14ac:dyDescent="0.3">
      <c r="A1630" s="10" t="str">
        <f t="shared" si="188"/>
        <v/>
      </c>
      <c r="B1630" s="11">
        <f>Weekly!$H$3</f>
        <v>45920</v>
      </c>
      <c r="C1630" s="12">
        <v>0.65277777777777801</v>
      </c>
      <c r="D1630" s="13">
        <f>Weekly!H192</f>
        <v>0</v>
      </c>
      <c r="E1630" s="13" t="str">
        <f t="shared" si="189"/>
        <v/>
      </c>
      <c r="F1630" s="13" t="str">
        <f t="shared" si="192"/>
        <v/>
      </c>
      <c r="G1630" s="13" t="str">
        <f t="shared" si="190"/>
        <v/>
      </c>
      <c r="H1630" s="13" t="str">
        <f t="shared" si="191"/>
        <v/>
      </c>
      <c r="I1630" s="14" t="str">
        <f t="array" ref="I1630">IF(getRGB1(Weekly!H192)="FFFF00","초방","재방")</f>
        <v>재방</v>
      </c>
    </row>
    <row r="1631" spans="1:9" ht="11.25" customHeight="1" x14ac:dyDescent="0.3">
      <c r="A1631" s="10" t="str">
        <f t="shared" si="188"/>
        <v/>
      </c>
      <c r="B1631" s="11">
        <f>Weekly!$H$3</f>
        <v>45920</v>
      </c>
      <c r="C1631" s="12">
        <v>0.65625</v>
      </c>
      <c r="D1631" s="13">
        <f>Weekly!H193</f>
        <v>0</v>
      </c>
      <c r="E1631" s="13" t="str">
        <f t="shared" si="189"/>
        <v/>
      </c>
      <c r="F1631" s="13" t="str">
        <f t="shared" si="192"/>
        <v/>
      </c>
      <c r="G1631" s="13" t="str">
        <f t="shared" si="190"/>
        <v/>
      </c>
      <c r="H1631" s="13" t="str">
        <f t="shared" si="191"/>
        <v/>
      </c>
      <c r="I1631" s="14" t="str">
        <f t="array" ref="I1631">IF(getRGB1(Weekly!H193)="FFFF00","초방","재방")</f>
        <v>재방</v>
      </c>
    </row>
    <row r="1632" spans="1:9" ht="11.25" customHeight="1" x14ac:dyDescent="0.3">
      <c r="A1632" s="10" t="str">
        <f t="shared" si="188"/>
        <v/>
      </c>
      <c r="B1632" s="11">
        <f>Weekly!$H$3</f>
        <v>45920</v>
      </c>
      <c r="C1632" s="12">
        <v>0.65972222222222199</v>
      </c>
      <c r="D1632" s="13">
        <f>Weekly!H194</f>
        <v>0</v>
      </c>
      <c r="E1632" s="13" t="str">
        <f t="shared" si="189"/>
        <v/>
      </c>
      <c r="F1632" s="13" t="str">
        <f t="shared" si="192"/>
        <v/>
      </c>
      <c r="G1632" s="13" t="str">
        <f t="shared" si="190"/>
        <v/>
      </c>
      <c r="H1632" s="13" t="str">
        <f t="shared" si="191"/>
        <v/>
      </c>
      <c r="I1632" s="14" t="str">
        <f t="array" ref="I1632">IF(getRGB1(Weekly!H194)="FFFF00","초방","재방")</f>
        <v>재방</v>
      </c>
    </row>
    <row r="1633" spans="1:9" ht="11.25" customHeight="1" x14ac:dyDescent="0.3">
      <c r="A1633" s="10" t="str">
        <f t="shared" si="188"/>
        <v/>
      </c>
      <c r="B1633" s="11">
        <f>Weekly!$H$3</f>
        <v>45920</v>
      </c>
      <c r="C1633" s="12">
        <v>0.66319444444444398</v>
      </c>
      <c r="D1633" s="13">
        <f>Weekly!H195</f>
        <v>0</v>
      </c>
      <c r="E1633" s="13" t="str">
        <f t="shared" si="189"/>
        <v/>
      </c>
      <c r="F1633" s="13" t="str">
        <f t="shared" si="192"/>
        <v/>
      </c>
      <c r="G1633" s="13" t="str">
        <f t="shared" si="190"/>
        <v/>
      </c>
      <c r="H1633" s="13" t="str">
        <f t="shared" si="191"/>
        <v/>
      </c>
      <c r="I1633" s="14" t="str">
        <f t="array" ref="I1633">IF(getRGB1(Weekly!H195)="FFFF00","초방","재방")</f>
        <v>재방</v>
      </c>
    </row>
    <row r="1634" spans="1:9" ht="11.25" customHeight="1" x14ac:dyDescent="0.3">
      <c r="A1634" s="10">
        <f t="shared" si="188"/>
        <v>45920.666666666664</v>
      </c>
      <c r="B1634" s="11">
        <f>Weekly!$H$3</f>
        <v>45920</v>
      </c>
      <c r="C1634" s="12">
        <v>0.66666666666666696</v>
      </c>
      <c r="D1634" s="13" t="str">
        <f>Weekly!H196</f>
        <v xml:space="preserve"> NEWS4
&lt;64</v>
      </c>
      <c r="E1634" s="13" t="str">
        <f t="shared" si="189"/>
        <v>NEWS4</v>
      </c>
      <c r="F1634" s="13">
        <f t="shared" si="192"/>
        <v>64</v>
      </c>
      <c r="G1634" s="13" t="str">
        <f t="shared" si="190"/>
        <v/>
      </c>
      <c r="H1634" s="13" t="str">
        <f t="shared" si="191"/>
        <v/>
      </c>
      <c r="I1634" s="14" t="str">
        <f t="array" ref="I1634">IF(getRGB1(Weekly!H196)="FFFF00","초방","재방")</f>
        <v>재방</v>
      </c>
    </row>
    <row r="1635" spans="1:9" ht="11.25" customHeight="1" x14ac:dyDescent="0.3">
      <c r="A1635" s="10" t="str">
        <f t="shared" si="188"/>
        <v/>
      </c>
      <c r="B1635" s="11">
        <f>Weekly!$H$3</f>
        <v>45920</v>
      </c>
      <c r="C1635" s="12">
        <v>0.67013888888888895</v>
      </c>
      <c r="D1635" s="13">
        <f>Weekly!H197</f>
        <v>0</v>
      </c>
      <c r="E1635" s="13" t="str">
        <f t="shared" si="189"/>
        <v/>
      </c>
      <c r="F1635" s="13" t="str">
        <f t="shared" si="192"/>
        <v/>
      </c>
      <c r="G1635" s="13" t="str">
        <f t="shared" si="190"/>
        <v/>
      </c>
      <c r="H1635" s="13" t="str">
        <f t="shared" si="191"/>
        <v/>
      </c>
      <c r="I1635" s="14" t="str">
        <f t="array" ref="I1635">IF(getRGB1(Weekly!H197)="FFFF00","초방","재방")</f>
        <v>재방</v>
      </c>
    </row>
    <row r="1636" spans="1:9" ht="11.25" customHeight="1" x14ac:dyDescent="0.3">
      <c r="A1636" s="10" t="str">
        <f t="shared" si="188"/>
        <v/>
      </c>
      <c r="B1636" s="11">
        <f>Weekly!$H$3</f>
        <v>45920</v>
      </c>
      <c r="C1636" s="12">
        <v>0.67361111111111105</v>
      </c>
      <c r="D1636" s="13">
        <f>Weekly!H198</f>
        <v>0</v>
      </c>
      <c r="E1636" s="13" t="str">
        <f t="shared" si="189"/>
        <v/>
      </c>
      <c r="F1636" s="13" t="str">
        <f t="shared" si="192"/>
        <v/>
      </c>
      <c r="G1636" s="13" t="str">
        <f t="shared" si="190"/>
        <v/>
      </c>
      <c r="H1636" s="13" t="str">
        <f t="shared" si="191"/>
        <v/>
      </c>
      <c r="I1636" s="14" t="str">
        <f t="array" ref="I1636">IF(getRGB1(Weekly!H198)="FFFF00","초방","재방")</f>
        <v>재방</v>
      </c>
    </row>
    <row r="1637" spans="1:9" ht="11.25" customHeight="1" x14ac:dyDescent="0.3">
      <c r="A1637" s="10" t="str">
        <f t="shared" si="188"/>
        <v/>
      </c>
      <c r="B1637" s="11">
        <f>Weekly!$H$3</f>
        <v>45920</v>
      </c>
      <c r="C1637" s="12">
        <v>0.67708333333333304</v>
      </c>
      <c r="D1637" s="13">
        <f>Weekly!H199</f>
        <v>0</v>
      </c>
      <c r="E1637" s="13" t="str">
        <f t="shared" si="189"/>
        <v/>
      </c>
      <c r="F1637" s="13" t="str">
        <f t="shared" si="192"/>
        <v/>
      </c>
      <c r="G1637" s="13" t="str">
        <f t="shared" si="190"/>
        <v/>
      </c>
      <c r="H1637" s="13" t="str">
        <f t="shared" si="191"/>
        <v/>
      </c>
      <c r="I1637" s="14" t="str">
        <f t="array" ref="I1637">IF(getRGB1(Weekly!H199)="FFFF00","초방","재방")</f>
        <v>재방</v>
      </c>
    </row>
    <row r="1638" spans="1:9" ht="11.25" customHeight="1" x14ac:dyDescent="0.3">
      <c r="A1638" s="10" t="str">
        <f t="shared" si="188"/>
        <v/>
      </c>
      <c r="B1638" s="11">
        <f>Weekly!$H$3</f>
        <v>45920</v>
      </c>
      <c r="C1638" s="12">
        <v>0.68055555555555503</v>
      </c>
      <c r="D1638" s="13">
        <f>Weekly!H200</f>
        <v>0</v>
      </c>
      <c r="E1638" s="13" t="str">
        <f t="shared" si="189"/>
        <v/>
      </c>
      <c r="F1638" s="13" t="str">
        <f t="shared" si="192"/>
        <v/>
      </c>
      <c r="G1638" s="13" t="str">
        <f t="shared" si="190"/>
        <v/>
      </c>
      <c r="H1638" s="13" t="str">
        <f t="shared" si="191"/>
        <v/>
      </c>
      <c r="I1638" s="14" t="str">
        <f t="array" ref="I1638">IF(getRGB1(Weekly!H200)="FFFF00","초방","재방")</f>
        <v>재방</v>
      </c>
    </row>
    <row r="1639" spans="1:9" ht="11.25" customHeight="1" x14ac:dyDescent="0.3">
      <c r="A1639" s="10" t="str">
        <f t="shared" si="188"/>
        <v/>
      </c>
      <c r="B1639" s="11">
        <f>Weekly!$H$3</f>
        <v>45920</v>
      </c>
      <c r="C1639" s="12">
        <v>0.68402777777777801</v>
      </c>
      <c r="D1639" s="13">
        <f>Weekly!H201</f>
        <v>0</v>
      </c>
      <c r="E1639" s="13" t="str">
        <f t="shared" si="189"/>
        <v/>
      </c>
      <c r="F1639" s="13" t="str">
        <f t="shared" si="192"/>
        <v/>
      </c>
      <c r="G1639" s="13" t="str">
        <f t="shared" si="190"/>
        <v/>
      </c>
      <c r="H1639" s="13" t="str">
        <f t="shared" si="191"/>
        <v/>
      </c>
      <c r="I1639" s="14" t="str">
        <f t="array" ref="I1639">IF(getRGB1(Weekly!H201)="FFFF00","초방","재방")</f>
        <v>재방</v>
      </c>
    </row>
    <row r="1640" spans="1:9" ht="11.25" customHeight="1" x14ac:dyDescent="0.3">
      <c r="A1640" s="10">
        <f t="shared" si="188"/>
        <v>45920.6875</v>
      </c>
      <c r="B1640" s="11">
        <f>Weekly!$H$3</f>
        <v>45920</v>
      </c>
      <c r="C1640" s="12">
        <v>0.6875</v>
      </c>
      <c r="D1640" s="13" t="str">
        <f>Weekly!H202</f>
        <v>지금은 지방시대 강원
&lt;18</v>
      </c>
      <c r="E1640" s="13" t="str">
        <f t="shared" si="189"/>
        <v>지금은 지방시대 강원</v>
      </c>
      <c r="F1640" s="13">
        <f t="shared" si="192"/>
        <v>18</v>
      </c>
      <c r="G1640" s="13" t="str">
        <f t="shared" si="190"/>
        <v/>
      </c>
      <c r="H1640" s="13" t="str">
        <f t="shared" si="191"/>
        <v/>
      </c>
      <c r="I1640" s="14" t="str">
        <f t="array" ref="I1640">IF(getRGB1(Weekly!H202)="FFFF00","초방","재방")</f>
        <v>초방</v>
      </c>
    </row>
    <row r="1641" spans="1:9" ht="11.25" customHeight="1" x14ac:dyDescent="0.3">
      <c r="A1641" s="10" t="str">
        <f t="shared" si="188"/>
        <v/>
      </c>
      <c r="B1641" s="11">
        <f>Weekly!$H$3</f>
        <v>45920</v>
      </c>
      <c r="C1641" s="12">
        <v>0.69097222222222199</v>
      </c>
      <c r="D1641" s="13">
        <f>Weekly!H203</f>
        <v>0</v>
      </c>
      <c r="E1641" s="13" t="str">
        <f t="shared" si="189"/>
        <v/>
      </c>
      <c r="F1641" s="13" t="str">
        <f t="shared" si="192"/>
        <v/>
      </c>
      <c r="G1641" s="13" t="str">
        <f t="shared" si="190"/>
        <v/>
      </c>
      <c r="H1641" s="13" t="str">
        <f t="shared" si="191"/>
        <v/>
      </c>
      <c r="I1641" s="14" t="str">
        <f t="array" ref="I1641">IF(getRGB1(Weekly!H203)="FFFF00","초방","재방")</f>
        <v>초방</v>
      </c>
    </row>
    <row r="1642" spans="1:9" ht="11.25" customHeight="1" x14ac:dyDescent="0.3">
      <c r="A1642" s="10" t="str">
        <f t="shared" si="188"/>
        <v/>
      </c>
      <c r="B1642" s="11">
        <f>Weekly!$H$3</f>
        <v>45920</v>
      </c>
      <c r="C1642" s="12">
        <v>0.69444444444444398</v>
      </c>
      <c r="D1642" s="13">
        <f>Weekly!H204</f>
        <v>0</v>
      </c>
      <c r="E1642" s="13" t="str">
        <f t="shared" si="189"/>
        <v/>
      </c>
      <c r="F1642" s="13" t="str">
        <f t="shared" si="192"/>
        <v/>
      </c>
      <c r="G1642" s="13" t="str">
        <f t="shared" si="190"/>
        <v/>
      </c>
      <c r="H1642" s="13" t="str">
        <f t="shared" si="191"/>
        <v/>
      </c>
      <c r="I1642" s="14" t="str">
        <f t="array" ref="I1642">IF(getRGB1(Weekly!H204)="FFFF00","초방","재방")</f>
        <v>초방</v>
      </c>
    </row>
    <row r="1643" spans="1:9" ht="11.25" customHeight="1" x14ac:dyDescent="0.3">
      <c r="A1643" s="10" t="str">
        <f t="shared" si="188"/>
        <v/>
      </c>
      <c r="B1643" s="11">
        <f>Weekly!$H$3</f>
        <v>45920</v>
      </c>
      <c r="C1643" s="12">
        <v>0.69791666666666696</v>
      </c>
      <c r="D1643" s="13">
        <f>Weekly!H205</f>
        <v>0</v>
      </c>
      <c r="E1643" s="13" t="str">
        <f t="shared" si="189"/>
        <v/>
      </c>
      <c r="F1643" s="13" t="str">
        <f t="shared" si="192"/>
        <v/>
      </c>
      <c r="G1643" s="13" t="str">
        <f t="shared" si="190"/>
        <v/>
      </c>
      <c r="H1643" s="13" t="str">
        <f t="shared" si="191"/>
        <v/>
      </c>
      <c r="I1643" s="14" t="str">
        <f t="array" ref="I1643">IF(getRGB1(Weekly!H205)="FFFF00","초방","재방")</f>
        <v>초방</v>
      </c>
    </row>
    <row r="1644" spans="1:9" ht="11.25" customHeight="1" x14ac:dyDescent="0.3">
      <c r="A1644" s="10" t="str">
        <f t="shared" si="188"/>
        <v/>
      </c>
      <c r="B1644" s="11">
        <f>Weekly!$H$3</f>
        <v>45920</v>
      </c>
      <c r="C1644" s="12">
        <v>0.70138888888888895</v>
      </c>
      <c r="D1644" s="13">
        <f>Weekly!H206</f>
        <v>0</v>
      </c>
      <c r="E1644" s="13" t="str">
        <f t="shared" si="189"/>
        <v/>
      </c>
      <c r="F1644" s="13" t="str">
        <f t="shared" si="192"/>
        <v/>
      </c>
      <c r="G1644" s="13" t="str">
        <f t="shared" si="190"/>
        <v/>
      </c>
      <c r="H1644" s="13" t="str">
        <f t="shared" si="191"/>
        <v/>
      </c>
      <c r="I1644" s="14" t="str">
        <f t="array" ref="I1644">IF(getRGB1(Weekly!H206)="FFFF00","초방","재방")</f>
        <v>초방</v>
      </c>
    </row>
    <row r="1645" spans="1:9" ht="11.25" customHeight="1" x14ac:dyDescent="0.3">
      <c r="A1645" s="10" t="str">
        <f t="shared" si="188"/>
        <v/>
      </c>
      <c r="B1645" s="11">
        <f>Weekly!$H$3</f>
        <v>45920</v>
      </c>
      <c r="C1645" s="12">
        <v>0.70486111111111105</v>
      </c>
      <c r="D1645" s="13">
        <f>Weekly!H207</f>
        <v>0</v>
      </c>
      <c r="E1645" s="13" t="str">
        <f t="shared" si="189"/>
        <v/>
      </c>
      <c r="F1645" s="13" t="str">
        <f t="shared" si="192"/>
        <v/>
      </c>
      <c r="G1645" s="13" t="str">
        <f t="shared" si="190"/>
        <v/>
      </c>
      <c r="H1645" s="13" t="str">
        <f t="shared" si="191"/>
        <v/>
      </c>
      <c r="I1645" s="14" t="str">
        <f t="array" ref="I1645">IF(getRGB1(Weekly!H207)="FFFF00","초방","재방")</f>
        <v>초방</v>
      </c>
    </row>
    <row r="1646" spans="1:9" ht="11.25" customHeight="1" x14ac:dyDescent="0.3">
      <c r="A1646" s="10">
        <f t="shared" si="188"/>
        <v>45920.708333333336</v>
      </c>
      <c r="B1646" s="11">
        <f>Weekly!$H$3</f>
        <v>45920</v>
      </c>
      <c r="C1646" s="12">
        <v>0.70833333333333304</v>
      </c>
      <c r="D1646" s="13" t="str">
        <f>Weekly!H208</f>
        <v>최선규의 이제는 지방시대
&lt;03</v>
      </c>
      <c r="E1646" s="13" t="str">
        <f t="shared" si="189"/>
        <v>최선규의 이제는 지방시대</v>
      </c>
      <c r="F1646" s="13">
        <f t="shared" si="192"/>
        <v>3</v>
      </c>
      <c r="G1646" s="13" t="str">
        <f t="shared" si="190"/>
        <v/>
      </c>
      <c r="H1646" s="13" t="str">
        <f t="shared" si="191"/>
        <v/>
      </c>
      <c r="I1646" s="14" t="str">
        <f t="array" ref="I1646">IF(getRGB1(Weekly!H208)="FFFF00","초방","재방")</f>
        <v>재방</v>
      </c>
    </row>
    <row r="1647" spans="1:9" ht="11.25" customHeight="1" x14ac:dyDescent="0.3">
      <c r="A1647" s="10" t="str">
        <f t="shared" si="188"/>
        <v/>
      </c>
      <c r="B1647" s="11">
        <f>Weekly!$H$3</f>
        <v>45920</v>
      </c>
      <c r="C1647" s="12">
        <v>0.71180555555555503</v>
      </c>
      <c r="D1647" s="13">
        <f>Weekly!H209</f>
        <v>0</v>
      </c>
      <c r="E1647" s="13" t="str">
        <f t="shared" si="189"/>
        <v/>
      </c>
      <c r="F1647" s="13" t="str">
        <f t="shared" si="192"/>
        <v/>
      </c>
      <c r="G1647" s="13" t="str">
        <f t="shared" si="190"/>
        <v/>
      </c>
      <c r="H1647" s="13" t="str">
        <f t="shared" si="191"/>
        <v/>
      </c>
      <c r="I1647" s="14" t="str">
        <f t="array" ref="I1647">IF(getRGB1(Weekly!H209)="FFFF00","초방","재방")</f>
        <v>재방</v>
      </c>
    </row>
    <row r="1648" spans="1:9" ht="11.25" customHeight="1" x14ac:dyDescent="0.3">
      <c r="A1648" s="10" t="str">
        <f t="shared" si="188"/>
        <v/>
      </c>
      <c r="B1648" s="11">
        <f>Weekly!$H$3</f>
        <v>45920</v>
      </c>
      <c r="C1648" s="12">
        <v>0.71527777777777801</v>
      </c>
      <c r="D1648" s="13">
        <f>Weekly!H210</f>
        <v>0</v>
      </c>
      <c r="E1648" s="13" t="str">
        <f t="shared" si="189"/>
        <v/>
      </c>
      <c r="F1648" s="13" t="str">
        <f t="shared" si="192"/>
        <v/>
      </c>
      <c r="G1648" s="13" t="str">
        <f t="shared" si="190"/>
        <v/>
      </c>
      <c r="H1648" s="13" t="str">
        <f t="shared" si="191"/>
        <v/>
      </c>
      <c r="I1648" s="14" t="str">
        <f t="array" ref="I1648">IF(getRGB1(Weekly!H210)="FFFF00","초방","재방")</f>
        <v>재방</v>
      </c>
    </row>
    <row r="1649" spans="1:9" ht="11.25" customHeight="1" x14ac:dyDescent="0.3">
      <c r="A1649" s="10" t="str">
        <f t="shared" si="188"/>
        <v/>
      </c>
      <c r="B1649" s="11">
        <f>Weekly!$H$3</f>
        <v>45920</v>
      </c>
      <c r="C1649" s="12">
        <v>0.71875</v>
      </c>
      <c r="D1649" s="13">
        <f>Weekly!H211</f>
        <v>0</v>
      </c>
      <c r="E1649" s="13" t="str">
        <f t="shared" si="189"/>
        <v/>
      </c>
      <c r="F1649" s="13" t="str">
        <f t="shared" si="192"/>
        <v/>
      </c>
      <c r="G1649" s="13" t="str">
        <f t="shared" si="190"/>
        <v/>
      </c>
      <c r="H1649" s="13" t="str">
        <f t="shared" si="191"/>
        <v/>
      </c>
      <c r="I1649" s="14" t="str">
        <f t="array" ref="I1649">IF(getRGB1(Weekly!H211)="FFFF00","초방","재방")</f>
        <v>재방</v>
      </c>
    </row>
    <row r="1650" spans="1:9" ht="11.25" customHeight="1" x14ac:dyDescent="0.3">
      <c r="A1650" s="10" t="str">
        <f t="shared" si="188"/>
        <v/>
      </c>
      <c r="B1650" s="11">
        <f>Weekly!$H$3</f>
        <v>45920</v>
      </c>
      <c r="C1650" s="12">
        <v>0.72222222222222199</v>
      </c>
      <c r="D1650" s="13">
        <f>Weekly!H212</f>
        <v>0</v>
      </c>
      <c r="E1650" s="13" t="str">
        <f t="shared" si="189"/>
        <v/>
      </c>
      <c r="F1650" s="13" t="str">
        <f t="shared" si="192"/>
        <v/>
      </c>
      <c r="G1650" s="13" t="str">
        <f t="shared" si="190"/>
        <v/>
      </c>
      <c r="H1650" s="13" t="str">
        <f t="shared" si="191"/>
        <v/>
      </c>
      <c r="I1650" s="14" t="str">
        <f t="array" ref="I1650">IF(getRGB1(Weekly!H212)="FFFF00","초방","재방")</f>
        <v>재방</v>
      </c>
    </row>
    <row r="1651" spans="1:9" ht="11.25" customHeight="1" x14ac:dyDescent="0.3">
      <c r="A1651" s="10" t="str">
        <f t="shared" si="188"/>
        <v/>
      </c>
      <c r="B1651" s="11">
        <f>Weekly!$H$3</f>
        <v>45920</v>
      </c>
      <c r="C1651" s="12">
        <v>0.72569444444444398</v>
      </c>
      <c r="D1651" s="13">
        <f>Weekly!H213</f>
        <v>0</v>
      </c>
      <c r="E1651" s="13" t="str">
        <f t="shared" si="189"/>
        <v/>
      </c>
      <c r="F1651" s="13" t="str">
        <f t="shared" si="192"/>
        <v/>
      </c>
      <c r="G1651" s="13" t="str">
        <f t="shared" si="190"/>
        <v/>
      </c>
      <c r="H1651" s="13" t="str">
        <f t="shared" si="191"/>
        <v/>
      </c>
      <c r="I1651" s="14" t="str">
        <f t="array" ref="I1651">IF(getRGB1(Weekly!H213)="FFFF00","초방","재방")</f>
        <v>재방</v>
      </c>
    </row>
    <row r="1652" spans="1:9" ht="11.25" customHeight="1" x14ac:dyDescent="0.3">
      <c r="A1652" s="10" t="str">
        <f t="shared" si="188"/>
        <v/>
      </c>
      <c r="B1652" s="11">
        <f>Weekly!$H$3</f>
        <v>45920</v>
      </c>
      <c r="C1652" s="12">
        <v>0.72916666666666696</v>
      </c>
      <c r="D1652" s="13">
        <f>Weekly!H214</f>
        <v>0</v>
      </c>
      <c r="E1652" s="13" t="str">
        <f t="shared" si="189"/>
        <v/>
      </c>
      <c r="F1652" s="13" t="str">
        <f t="shared" si="192"/>
        <v/>
      </c>
      <c r="G1652" s="13" t="str">
        <f t="shared" si="190"/>
        <v/>
      </c>
      <c r="H1652" s="13" t="str">
        <f t="shared" si="191"/>
        <v/>
      </c>
      <c r="I1652" s="14" t="str">
        <f t="array" ref="I1652">IF(getRGB1(Weekly!H214)="FFFF00","초방","재방")</f>
        <v>재방</v>
      </c>
    </row>
    <row r="1653" spans="1:9" ht="11.25" customHeight="1" x14ac:dyDescent="0.3">
      <c r="A1653" s="10" t="str">
        <f t="shared" si="188"/>
        <v/>
      </c>
      <c r="B1653" s="11">
        <f>Weekly!$H$3</f>
        <v>45920</v>
      </c>
      <c r="C1653" s="12">
        <v>0.73263888888888895</v>
      </c>
      <c r="D1653" s="13">
        <f>Weekly!H215</f>
        <v>0</v>
      </c>
      <c r="E1653" s="13" t="str">
        <f t="shared" si="189"/>
        <v/>
      </c>
      <c r="F1653" s="13" t="str">
        <f t="shared" si="192"/>
        <v/>
      </c>
      <c r="G1653" s="13" t="str">
        <f t="shared" si="190"/>
        <v/>
      </c>
      <c r="H1653" s="13" t="str">
        <f t="shared" si="191"/>
        <v/>
      </c>
      <c r="I1653" s="14" t="str">
        <f t="array" ref="I1653">IF(getRGB1(Weekly!H215)="FFFF00","초방","재방")</f>
        <v>재방</v>
      </c>
    </row>
    <row r="1654" spans="1:9" ht="11.25" customHeight="1" x14ac:dyDescent="0.3">
      <c r="A1654" s="10" t="str">
        <f t="shared" si="188"/>
        <v/>
      </c>
      <c r="B1654" s="11">
        <f>Weekly!$H$3</f>
        <v>45920</v>
      </c>
      <c r="C1654" s="12">
        <v>0.73611111111111105</v>
      </c>
      <c r="D1654" s="13">
        <f>Weekly!H216</f>
        <v>0</v>
      </c>
      <c r="E1654" s="13" t="str">
        <f t="shared" si="189"/>
        <v/>
      </c>
      <c r="F1654" s="13" t="str">
        <f t="shared" si="192"/>
        <v/>
      </c>
      <c r="G1654" s="13" t="str">
        <f t="shared" si="190"/>
        <v/>
      </c>
      <c r="H1654" s="13" t="str">
        <f t="shared" si="191"/>
        <v/>
      </c>
      <c r="I1654" s="14" t="str">
        <f t="array" ref="I1654">IF(getRGB1(Weekly!H216)="FFFF00","초방","재방")</f>
        <v>재방</v>
      </c>
    </row>
    <row r="1655" spans="1:9" ht="11.25" customHeight="1" x14ac:dyDescent="0.3">
      <c r="A1655" s="10" t="str">
        <f t="shared" si="188"/>
        <v/>
      </c>
      <c r="B1655" s="11">
        <f>Weekly!$H$3</f>
        <v>45920</v>
      </c>
      <c r="C1655" s="12">
        <v>0.73958333333333304</v>
      </c>
      <c r="D1655" s="13">
        <f>Weekly!H217</f>
        <v>0</v>
      </c>
      <c r="E1655" s="13" t="str">
        <f t="shared" si="189"/>
        <v/>
      </c>
      <c r="F1655" s="13" t="str">
        <f t="shared" si="192"/>
        <v/>
      </c>
      <c r="G1655" s="13" t="str">
        <f t="shared" si="190"/>
        <v/>
      </c>
      <c r="H1655" s="13" t="str">
        <f t="shared" si="191"/>
        <v/>
      </c>
      <c r="I1655" s="14" t="str">
        <f t="array" ref="I1655">IF(getRGB1(Weekly!H217)="FFFF00","초방","재방")</f>
        <v>재방</v>
      </c>
    </row>
    <row r="1656" spans="1:9" ht="11.25" customHeight="1" x14ac:dyDescent="0.3">
      <c r="A1656" s="10" t="str">
        <f t="shared" si="188"/>
        <v/>
      </c>
      <c r="B1656" s="11">
        <f>Weekly!$H$3</f>
        <v>45920</v>
      </c>
      <c r="C1656" s="12">
        <v>0.74305555555555503</v>
      </c>
      <c r="D1656" s="13">
        <f>Weekly!H218</f>
        <v>0</v>
      </c>
      <c r="E1656" s="13" t="str">
        <f t="shared" si="189"/>
        <v/>
      </c>
      <c r="F1656" s="13" t="str">
        <f t="shared" si="192"/>
        <v/>
      </c>
      <c r="G1656" s="13" t="str">
        <f t="shared" si="190"/>
        <v/>
      </c>
      <c r="H1656" s="13" t="str">
        <f t="shared" si="191"/>
        <v/>
      </c>
      <c r="I1656" s="14" t="str">
        <f t="array" ref="I1656">IF(getRGB1(Weekly!H218)="FFFF00","초방","재방")</f>
        <v>재방</v>
      </c>
    </row>
    <row r="1657" spans="1:9" ht="11.25" customHeight="1" x14ac:dyDescent="0.3">
      <c r="A1657" s="10" t="str">
        <f t="shared" si="188"/>
        <v/>
      </c>
      <c r="B1657" s="11">
        <f>Weekly!$H$3</f>
        <v>45920</v>
      </c>
      <c r="C1657" s="12">
        <v>0.74652777777777801</v>
      </c>
      <c r="D1657" s="13">
        <f>Weekly!H219</f>
        <v>0</v>
      </c>
      <c r="E1657" s="13" t="str">
        <f t="shared" si="189"/>
        <v/>
      </c>
      <c r="F1657" s="13" t="str">
        <f t="shared" si="192"/>
        <v/>
      </c>
      <c r="G1657" s="13" t="str">
        <f t="shared" si="190"/>
        <v/>
      </c>
      <c r="H1657" s="13" t="str">
        <f t="shared" si="191"/>
        <v/>
      </c>
      <c r="I1657" s="14" t="str">
        <f t="array" ref="I1657">IF(getRGB1(Weekly!H219)="FFFF00","초방","재방")</f>
        <v>재방</v>
      </c>
    </row>
    <row r="1658" spans="1:9" ht="11.25" customHeight="1" x14ac:dyDescent="0.3">
      <c r="A1658" s="10">
        <f t="shared" si="188"/>
        <v>45920.75</v>
      </c>
      <c r="B1658" s="11">
        <f>Weekly!$H$3</f>
        <v>45920</v>
      </c>
      <c r="C1658" s="12">
        <v>0.75</v>
      </c>
      <c r="D1658" s="13" t="str">
        <f>Weekly!H220</f>
        <v>지방자치단체장 인터뷰
&lt;47</v>
      </c>
      <c r="E1658" s="13" t="str">
        <f t="shared" si="189"/>
        <v>지방자치단체장 인터뷰</v>
      </c>
      <c r="F1658" s="13">
        <f t="shared" si="192"/>
        <v>47</v>
      </c>
      <c r="G1658" s="13" t="str">
        <f t="shared" si="190"/>
        <v/>
      </c>
      <c r="H1658" s="13" t="str">
        <f t="shared" si="191"/>
        <v/>
      </c>
      <c r="I1658" s="14" t="str">
        <f t="array" ref="I1658">IF(getRGB1(Weekly!H220)="FFFF00","초방","재방")</f>
        <v>재방</v>
      </c>
    </row>
    <row r="1659" spans="1:9" ht="11.25" customHeight="1" x14ac:dyDescent="0.3">
      <c r="A1659" s="10" t="str">
        <f t="shared" si="188"/>
        <v/>
      </c>
      <c r="B1659" s="11">
        <f>Weekly!$H$3</f>
        <v>45920</v>
      </c>
      <c r="C1659" s="12">
        <v>0.75347222222222199</v>
      </c>
      <c r="D1659" s="13">
        <f>Weekly!H221</f>
        <v>0</v>
      </c>
      <c r="E1659" s="13" t="str">
        <f t="shared" si="189"/>
        <v/>
      </c>
      <c r="F1659" s="13" t="str">
        <f t="shared" si="192"/>
        <v/>
      </c>
      <c r="G1659" s="13" t="str">
        <f t="shared" si="190"/>
        <v/>
      </c>
      <c r="H1659" s="13" t="str">
        <f t="shared" si="191"/>
        <v/>
      </c>
      <c r="I1659" s="14" t="str">
        <f t="array" ref="I1659">IF(getRGB1(Weekly!H221)="FFFF00","초방","재방")</f>
        <v>재방</v>
      </c>
    </row>
    <row r="1660" spans="1:9" ht="11.25" customHeight="1" x14ac:dyDescent="0.3">
      <c r="A1660" s="10" t="str">
        <f t="shared" si="188"/>
        <v/>
      </c>
      <c r="B1660" s="11">
        <f>Weekly!$H$3</f>
        <v>45920</v>
      </c>
      <c r="C1660" s="12">
        <v>0.75694444444444398</v>
      </c>
      <c r="D1660" s="13">
        <f>Weekly!H222</f>
        <v>0</v>
      </c>
      <c r="E1660" s="13" t="str">
        <f t="shared" si="189"/>
        <v/>
      </c>
      <c r="F1660" s="13" t="str">
        <f t="shared" si="192"/>
        <v/>
      </c>
      <c r="G1660" s="13" t="str">
        <f t="shared" si="190"/>
        <v/>
      </c>
      <c r="H1660" s="13" t="str">
        <f t="shared" si="191"/>
        <v/>
      </c>
      <c r="I1660" s="14" t="str">
        <f t="array" ref="I1660">IF(getRGB1(Weekly!H222)="FFFF00","초방","재방")</f>
        <v>재방</v>
      </c>
    </row>
    <row r="1661" spans="1:9" ht="11.25" customHeight="1" x14ac:dyDescent="0.3">
      <c r="A1661" s="10" t="str">
        <f t="shared" si="188"/>
        <v/>
      </c>
      <c r="B1661" s="11">
        <f>Weekly!$H$3</f>
        <v>45920</v>
      </c>
      <c r="C1661" s="12">
        <v>0.76041666666666696</v>
      </c>
      <c r="D1661" s="13">
        <f>Weekly!H223</f>
        <v>0</v>
      </c>
      <c r="E1661" s="13" t="str">
        <f t="shared" si="189"/>
        <v/>
      </c>
      <c r="F1661" s="13" t="str">
        <f t="shared" si="192"/>
        <v/>
      </c>
      <c r="G1661" s="13" t="str">
        <f t="shared" si="190"/>
        <v/>
      </c>
      <c r="H1661" s="13" t="str">
        <f t="shared" si="191"/>
        <v/>
      </c>
      <c r="I1661" s="14" t="str">
        <f t="array" ref="I1661">IF(getRGB1(Weekly!H223)="FFFF00","초방","재방")</f>
        <v>재방</v>
      </c>
    </row>
    <row r="1662" spans="1:9" ht="11.25" customHeight="1" x14ac:dyDescent="0.3">
      <c r="A1662" s="10" t="str">
        <f t="shared" si="188"/>
        <v/>
      </c>
      <c r="B1662" s="11">
        <f>Weekly!$H$3</f>
        <v>45920</v>
      </c>
      <c r="C1662" s="12">
        <v>0.76388888888888895</v>
      </c>
      <c r="D1662" s="13">
        <f>Weekly!H224</f>
        <v>0</v>
      </c>
      <c r="E1662" s="13" t="str">
        <f t="shared" si="189"/>
        <v/>
      </c>
      <c r="F1662" s="13" t="str">
        <f t="shared" si="192"/>
        <v/>
      </c>
      <c r="G1662" s="13" t="str">
        <f t="shared" si="190"/>
        <v/>
      </c>
      <c r="H1662" s="13" t="str">
        <f t="shared" si="191"/>
        <v/>
      </c>
      <c r="I1662" s="14" t="str">
        <f t="array" ref="I1662">IF(getRGB1(Weekly!H224)="FFFF00","초방","재방")</f>
        <v>재방</v>
      </c>
    </row>
    <row r="1663" spans="1:9" ht="11.25" customHeight="1" x14ac:dyDescent="0.3">
      <c r="A1663" s="10" t="str">
        <f t="shared" si="188"/>
        <v/>
      </c>
      <c r="B1663" s="11">
        <f>Weekly!$H$3</f>
        <v>45920</v>
      </c>
      <c r="C1663" s="12">
        <v>0.76736111111111105</v>
      </c>
      <c r="D1663" s="13">
        <f>Weekly!H225</f>
        <v>0</v>
      </c>
      <c r="E1663" s="13" t="str">
        <f t="shared" si="189"/>
        <v/>
      </c>
      <c r="F1663" s="13" t="str">
        <f t="shared" si="192"/>
        <v/>
      </c>
      <c r="G1663" s="13" t="str">
        <f t="shared" si="190"/>
        <v/>
      </c>
      <c r="H1663" s="13" t="str">
        <f t="shared" si="191"/>
        <v/>
      </c>
      <c r="I1663" s="14" t="str">
        <f t="array" ref="I1663">IF(getRGB1(Weekly!H225)="FFFF00","초방","재방")</f>
        <v>재방</v>
      </c>
    </row>
    <row r="1664" spans="1:9" ht="11.25" customHeight="1" x14ac:dyDescent="0.3">
      <c r="A1664" s="10">
        <f t="shared" si="188"/>
        <v>45920.770833333336</v>
      </c>
      <c r="B1664" s="11">
        <f>Weekly!$H$3</f>
        <v>45920</v>
      </c>
      <c r="C1664" s="12">
        <v>0.77083333333333304</v>
      </c>
      <c r="D1664" s="13" t="str">
        <f>Weekly!H226</f>
        <v>더 人터뷰
&lt;54</v>
      </c>
      <c r="E1664" s="13" t="str">
        <f t="shared" si="189"/>
        <v>더 人터뷰</v>
      </c>
      <c r="F1664" s="13">
        <f t="shared" si="192"/>
        <v>54</v>
      </c>
      <c r="G1664" s="13" t="str">
        <f t="shared" si="190"/>
        <v/>
      </c>
      <c r="H1664" s="13" t="str">
        <f t="shared" si="191"/>
        <v/>
      </c>
      <c r="I1664" s="14" t="str">
        <f t="array" ref="I1664">IF(getRGB1(Weekly!H226)="FFFF00","초방","재방")</f>
        <v>재방</v>
      </c>
    </row>
    <row r="1665" spans="1:9" ht="11.25" customHeight="1" x14ac:dyDescent="0.3">
      <c r="A1665" s="10" t="str">
        <f t="shared" si="188"/>
        <v/>
      </c>
      <c r="B1665" s="11">
        <f>Weekly!$H$3</f>
        <v>45920</v>
      </c>
      <c r="C1665" s="12">
        <v>0.77430555555555503</v>
      </c>
      <c r="D1665" s="13">
        <f>Weekly!H227</f>
        <v>0</v>
      </c>
      <c r="E1665" s="13" t="str">
        <f t="shared" si="189"/>
        <v/>
      </c>
      <c r="F1665" s="13" t="str">
        <f t="shared" si="192"/>
        <v/>
      </c>
      <c r="G1665" s="13" t="str">
        <f t="shared" si="190"/>
        <v/>
      </c>
      <c r="H1665" s="13" t="str">
        <f t="shared" si="191"/>
        <v/>
      </c>
      <c r="I1665" s="14" t="str">
        <f t="array" ref="I1665">IF(getRGB1(Weekly!H227)="FFFF00","초방","재방")</f>
        <v>재방</v>
      </c>
    </row>
    <row r="1666" spans="1:9" ht="11.25" customHeight="1" x14ac:dyDescent="0.3">
      <c r="A1666" s="10" t="str">
        <f t="shared" ref="A1666:A1729" si="193">IF(D1666&lt;&gt;0,B1666+C1666,"")</f>
        <v/>
      </c>
      <c r="B1666" s="11">
        <f>Weekly!$H$3</f>
        <v>45920</v>
      </c>
      <c r="C1666" s="12">
        <v>0.77777777777777801</v>
      </c>
      <c r="D1666" s="13">
        <f>Weekly!H228</f>
        <v>0</v>
      </c>
      <c r="E1666" s="13" t="str">
        <f t="shared" ref="E1666:E1729" si="194">IFERROR(SUBSTITUTE(SUBSTITUTE(TRIM(LEFT(D1666,FIND("&lt;",D1666)-1)),CHAR(10),""),"⑮ ",""),"")</f>
        <v/>
      </c>
      <c r="F1666" s="13" t="str">
        <f t="shared" si="192"/>
        <v/>
      </c>
      <c r="G1666" s="13" t="str">
        <f t="shared" ref="G1666:G1729" si="195">IFERROR(MID(D1666,FIND("&gt;",D1666)+1,10),"")</f>
        <v/>
      </c>
      <c r="H1666" s="13" t="str">
        <f t="shared" ref="H1666:H1729" si="196">IFERROR(VLOOKUP(LEFT(D1666,2),$W$1:$X$6,2,0),"")</f>
        <v/>
      </c>
      <c r="I1666" s="14" t="str">
        <f t="array" ref="I1666">IF(getRGB1(Weekly!H228)="FFFF00","초방","재방")</f>
        <v>재방</v>
      </c>
    </row>
    <row r="1667" spans="1:9" ht="11.25" customHeight="1" x14ac:dyDescent="0.3">
      <c r="A1667" s="10" t="str">
        <f t="shared" si="193"/>
        <v/>
      </c>
      <c r="B1667" s="11">
        <f>Weekly!$H$3</f>
        <v>45920</v>
      </c>
      <c r="C1667" s="12">
        <v>0.78125</v>
      </c>
      <c r="D1667" s="13">
        <f>Weekly!H229</f>
        <v>0</v>
      </c>
      <c r="E1667" s="13" t="str">
        <f t="shared" si="194"/>
        <v/>
      </c>
      <c r="F1667" s="13" t="str">
        <f t="shared" ref="F1667:F1730" si="197">IFERROR((MID(D1667,FIND("&lt;",D1667)+1,4))*1,"")</f>
        <v/>
      </c>
      <c r="G1667" s="13" t="str">
        <f t="shared" si="195"/>
        <v/>
      </c>
      <c r="H1667" s="13" t="str">
        <f t="shared" si="196"/>
        <v/>
      </c>
      <c r="I1667" s="14" t="str">
        <f t="array" ref="I1667">IF(getRGB1(Weekly!H229)="FFFF00","초방","재방")</f>
        <v>재방</v>
      </c>
    </row>
    <row r="1668" spans="1:9" ht="11.25" customHeight="1" x14ac:dyDescent="0.3">
      <c r="A1668" s="10" t="str">
        <f t="shared" si="193"/>
        <v/>
      </c>
      <c r="B1668" s="11">
        <f>Weekly!$H$3</f>
        <v>45920</v>
      </c>
      <c r="C1668" s="12">
        <v>0.78472222222222199</v>
      </c>
      <c r="D1668" s="13">
        <f>Weekly!H230</f>
        <v>0</v>
      </c>
      <c r="E1668" s="13" t="str">
        <f t="shared" si="194"/>
        <v/>
      </c>
      <c r="F1668" s="13" t="str">
        <f t="shared" si="197"/>
        <v/>
      </c>
      <c r="G1668" s="13" t="str">
        <f t="shared" si="195"/>
        <v/>
      </c>
      <c r="H1668" s="13" t="str">
        <f t="shared" si="196"/>
        <v/>
      </c>
      <c r="I1668" s="14" t="str">
        <f t="array" ref="I1668">IF(getRGB1(Weekly!H230)="FFFF00","초방","재방")</f>
        <v>재방</v>
      </c>
    </row>
    <row r="1669" spans="1:9" ht="11.25" customHeight="1" x14ac:dyDescent="0.3">
      <c r="A1669" s="10" t="str">
        <f t="shared" si="193"/>
        <v/>
      </c>
      <c r="B1669" s="11">
        <f>Weekly!$H$3</f>
        <v>45920</v>
      </c>
      <c r="C1669" s="12">
        <v>0.78819444444444398</v>
      </c>
      <c r="D1669" s="13">
        <f>Weekly!H231</f>
        <v>0</v>
      </c>
      <c r="E1669" s="13" t="str">
        <f t="shared" si="194"/>
        <v/>
      </c>
      <c r="F1669" s="13" t="str">
        <f t="shared" si="197"/>
        <v/>
      </c>
      <c r="G1669" s="13" t="str">
        <f t="shared" si="195"/>
        <v/>
      </c>
      <c r="H1669" s="13" t="str">
        <f t="shared" si="196"/>
        <v/>
      </c>
      <c r="I1669" s="14" t="str">
        <f t="array" ref="I1669">IF(getRGB1(Weekly!H231)="FFFF00","초방","재방")</f>
        <v>재방</v>
      </c>
    </row>
    <row r="1670" spans="1:9" ht="11.25" customHeight="1" x14ac:dyDescent="0.3">
      <c r="A1670" s="10">
        <f t="shared" si="193"/>
        <v>45920.791666666664</v>
      </c>
      <c r="B1670" s="11">
        <f>Weekly!$H$3</f>
        <v>45920</v>
      </c>
      <c r="C1670" s="12">
        <v>0.79166666666666696</v>
      </c>
      <c r="D1670" s="13" t="str">
        <f>Weekly!H232</f>
        <v>더 人터뷰
&lt;03</v>
      </c>
      <c r="E1670" s="13" t="str">
        <f t="shared" si="194"/>
        <v>더 人터뷰</v>
      </c>
      <c r="F1670" s="13">
        <f t="shared" si="197"/>
        <v>3</v>
      </c>
      <c r="G1670" s="13" t="str">
        <f t="shared" si="195"/>
        <v/>
      </c>
      <c r="H1670" s="13" t="str">
        <f t="shared" si="196"/>
        <v/>
      </c>
      <c r="I1670" s="14" t="str">
        <f t="array" ref="I1670">IF(getRGB1(Weekly!H232)="FFFF00","초방","재방")</f>
        <v>재방</v>
      </c>
    </row>
    <row r="1671" spans="1:9" ht="11.25" customHeight="1" x14ac:dyDescent="0.3">
      <c r="A1671" s="10" t="str">
        <f t="shared" si="193"/>
        <v/>
      </c>
      <c r="B1671" s="11">
        <f>Weekly!$H$3</f>
        <v>45920</v>
      </c>
      <c r="C1671" s="12">
        <v>0.79513888888888895</v>
      </c>
      <c r="D1671" s="13">
        <f>Weekly!H233</f>
        <v>0</v>
      </c>
      <c r="E1671" s="13" t="str">
        <f t="shared" si="194"/>
        <v/>
      </c>
      <c r="F1671" s="13" t="str">
        <f t="shared" si="197"/>
        <v/>
      </c>
      <c r="G1671" s="13" t="str">
        <f t="shared" si="195"/>
        <v/>
      </c>
      <c r="H1671" s="13" t="str">
        <f t="shared" si="196"/>
        <v/>
      </c>
      <c r="I1671" s="14" t="str">
        <f t="array" ref="I1671">IF(getRGB1(Weekly!H233)="FFFF00","초방","재방")</f>
        <v>재방</v>
      </c>
    </row>
    <row r="1672" spans="1:9" ht="11.25" customHeight="1" x14ac:dyDescent="0.3">
      <c r="A1672" s="10" t="str">
        <f t="shared" si="193"/>
        <v/>
      </c>
      <c r="B1672" s="11">
        <f>Weekly!$H$3</f>
        <v>45920</v>
      </c>
      <c r="C1672" s="12">
        <v>0.79861111111111105</v>
      </c>
      <c r="D1672" s="13">
        <f>Weekly!H234</f>
        <v>0</v>
      </c>
      <c r="E1672" s="13" t="str">
        <f t="shared" si="194"/>
        <v/>
      </c>
      <c r="F1672" s="13" t="str">
        <f t="shared" si="197"/>
        <v/>
      </c>
      <c r="G1672" s="13" t="str">
        <f t="shared" si="195"/>
        <v/>
      </c>
      <c r="H1672" s="13" t="str">
        <f t="shared" si="196"/>
        <v/>
      </c>
      <c r="I1672" s="14" t="str">
        <f t="array" ref="I1672">IF(getRGB1(Weekly!H234)="FFFF00","초방","재방")</f>
        <v>재방</v>
      </c>
    </row>
    <row r="1673" spans="1:9" ht="11.25" customHeight="1" x14ac:dyDescent="0.3">
      <c r="A1673" s="10" t="str">
        <f t="shared" si="193"/>
        <v/>
      </c>
      <c r="B1673" s="11">
        <f>Weekly!$H$3</f>
        <v>45920</v>
      </c>
      <c r="C1673" s="12">
        <v>0.80208333333333304</v>
      </c>
      <c r="D1673" s="13">
        <f>Weekly!H235</f>
        <v>0</v>
      </c>
      <c r="E1673" s="13" t="str">
        <f t="shared" si="194"/>
        <v/>
      </c>
      <c r="F1673" s="13" t="str">
        <f t="shared" si="197"/>
        <v/>
      </c>
      <c r="G1673" s="13" t="str">
        <f t="shared" si="195"/>
        <v/>
      </c>
      <c r="H1673" s="13" t="str">
        <f t="shared" si="196"/>
        <v/>
      </c>
      <c r="I1673" s="14" t="str">
        <f t="array" ref="I1673">IF(getRGB1(Weekly!H235)="FFFF00","초방","재방")</f>
        <v>재방</v>
      </c>
    </row>
    <row r="1674" spans="1:9" ht="11.25" customHeight="1" x14ac:dyDescent="0.3">
      <c r="A1674" s="10" t="str">
        <f t="shared" si="193"/>
        <v/>
      </c>
      <c r="B1674" s="11">
        <f>Weekly!$H$3</f>
        <v>45920</v>
      </c>
      <c r="C1674" s="12">
        <v>0.80555555555555503</v>
      </c>
      <c r="D1674" s="13">
        <f>Weekly!H236</f>
        <v>0</v>
      </c>
      <c r="E1674" s="13" t="str">
        <f t="shared" si="194"/>
        <v/>
      </c>
      <c r="F1674" s="13" t="str">
        <f t="shared" si="197"/>
        <v/>
      </c>
      <c r="G1674" s="13" t="str">
        <f t="shared" si="195"/>
        <v/>
      </c>
      <c r="H1674" s="13" t="str">
        <f t="shared" si="196"/>
        <v/>
      </c>
      <c r="I1674" s="14" t="str">
        <f t="array" ref="I1674">IF(getRGB1(Weekly!H236)="FFFF00","초방","재방")</f>
        <v>재방</v>
      </c>
    </row>
    <row r="1675" spans="1:9" ht="11.25" customHeight="1" x14ac:dyDescent="0.3">
      <c r="A1675" s="10" t="str">
        <f t="shared" si="193"/>
        <v/>
      </c>
      <c r="B1675" s="11">
        <f>Weekly!$H$3</f>
        <v>45920</v>
      </c>
      <c r="C1675" s="12">
        <v>0.80902777777777801</v>
      </c>
      <c r="D1675" s="13">
        <f>Weekly!H237</f>
        <v>0</v>
      </c>
      <c r="E1675" s="13" t="str">
        <f t="shared" si="194"/>
        <v/>
      </c>
      <c r="F1675" s="13" t="str">
        <f t="shared" si="197"/>
        <v/>
      </c>
      <c r="G1675" s="13" t="str">
        <f t="shared" si="195"/>
        <v/>
      </c>
      <c r="H1675" s="13" t="str">
        <f t="shared" si="196"/>
        <v/>
      </c>
      <c r="I1675" s="14" t="str">
        <f t="array" ref="I1675">IF(getRGB1(Weekly!H237)="FFFF00","초방","재방")</f>
        <v>재방</v>
      </c>
    </row>
    <row r="1676" spans="1:9" ht="11.25" customHeight="1" x14ac:dyDescent="0.3">
      <c r="A1676" s="10" t="str">
        <f t="shared" si="193"/>
        <v/>
      </c>
      <c r="B1676" s="11">
        <f>Weekly!$H$3</f>
        <v>45920</v>
      </c>
      <c r="C1676" s="12">
        <v>0.8125</v>
      </c>
      <c r="D1676" s="13">
        <f>Weekly!H238</f>
        <v>0</v>
      </c>
      <c r="E1676" s="13" t="str">
        <f t="shared" si="194"/>
        <v/>
      </c>
      <c r="F1676" s="13" t="str">
        <f t="shared" si="197"/>
        <v/>
      </c>
      <c r="G1676" s="13" t="str">
        <f t="shared" si="195"/>
        <v/>
      </c>
      <c r="H1676" s="13" t="str">
        <f t="shared" si="196"/>
        <v/>
      </c>
      <c r="I1676" s="14" t="str">
        <f t="array" ref="I1676">IF(getRGB1(Weekly!H238)="FFFF00","초방","재방")</f>
        <v>재방</v>
      </c>
    </row>
    <row r="1677" spans="1:9" ht="11.25" customHeight="1" x14ac:dyDescent="0.3">
      <c r="A1677" s="10" t="str">
        <f t="shared" si="193"/>
        <v/>
      </c>
      <c r="B1677" s="11">
        <f>Weekly!$H$3</f>
        <v>45920</v>
      </c>
      <c r="C1677" s="12">
        <v>0.81597222222222199</v>
      </c>
      <c r="D1677" s="13">
        <f>Weekly!H239</f>
        <v>0</v>
      </c>
      <c r="E1677" s="13" t="str">
        <f t="shared" si="194"/>
        <v/>
      </c>
      <c r="F1677" s="13" t="str">
        <f t="shared" si="197"/>
        <v/>
      </c>
      <c r="G1677" s="13" t="str">
        <f t="shared" si="195"/>
        <v/>
      </c>
      <c r="H1677" s="13" t="str">
        <f t="shared" si="196"/>
        <v/>
      </c>
      <c r="I1677" s="14" t="str">
        <f t="array" ref="I1677">IF(getRGB1(Weekly!H239)="FFFF00","초방","재방")</f>
        <v>재방</v>
      </c>
    </row>
    <row r="1678" spans="1:9" ht="11.25" customHeight="1" x14ac:dyDescent="0.3">
      <c r="A1678" s="10" t="str">
        <f t="shared" si="193"/>
        <v/>
      </c>
      <c r="B1678" s="11">
        <f>Weekly!$H$3</f>
        <v>45920</v>
      </c>
      <c r="C1678" s="12">
        <v>0.81944444444444398</v>
      </c>
      <c r="D1678" s="13">
        <f>Weekly!H240</f>
        <v>0</v>
      </c>
      <c r="E1678" s="13" t="str">
        <f t="shared" si="194"/>
        <v/>
      </c>
      <c r="F1678" s="13" t="str">
        <f t="shared" si="197"/>
        <v/>
      </c>
      <c r="G1678" s="13" t="str">
        <f t="shared" si="195"/>
        <v/>
      </c>
      <c r="H1678" s="13" t="str">
        <f t="shared" si="196"/>
        <v/>
      </c>
      <c r="I1678" s="14" t="str">
        <f t="array" ref="I1678">IF(getRGB1(Weekly!H240)="FFFF00","초방","재방")</f>
        <v>재방</v>
      </c>
    </row>
    <row r="1679" spans="1:9" ht="11.25" customHeight="1" x14ac:dyDescent="0.3">
      <c r="A1679" s="10" t="str">
        <f t="shared" si="193"/>
        <v/>
      </c>
      <c r="B1679" s="11">
        <f>Weekly!$H$3</f>
        <v>45920</v>
      </c>
      <c r="C1679" s="12">
        <v>0.82291666666666696</v>
      </c>
      <c r="D1679" s="13">
        <f>Weekly!H241</f>
        <v>0</v>
      </c>
      <c r="E1679" s="13" t="str">
        <f t="shared" si="194"/>
        <v/>
      </c>
      <c r="F1679" s="13" t="str">
        <f t="shared" si="197"/>
        <v/>
      </c>
      <c r="G1679" s="13" t="str">
        <f t="shared" si="195"/>
        <v/>
      </c>
      <c r="H1679" s="13" t="str">
        <f t="shared" si="196"/>
        <v/>
      </c>
      <c r="I1679" s="14" t="str">
        <f t="array" ref="I1679">IF(getRGB1(Weekly!H241)="FFFF00","초방","재방")</f>
        <v>재방</v>
      </c>
    </row>
    <row r="1680" spans="1:9" ht="11.25" customHeight="1" x14ac:dyDescent="0.3">
      <c r="A1680" s="10" t="str">
        <f t="shared" si="193"/>
        <v/>
      </c>
      <c r="B1680" s="11">
        <f>Weekly!$H$3</f>
        <v>45920</v>
      </c>
      <c r="C1680" s="12">
        <v>0.82638888888888895</v>
      </c>
      <c r="D1680" s="13">
        <f>Weekly!H242</f>
        <v>0</v>
      </c>
      <c r="E1680" s="13" t="str">
        <f t="shared" si="194"/>
        <v/>
      </c>
      <c r="F1680" s="13" t="str">
        <f t="shared" si="197"/>
        <v/>
      </c>
      <c r="G1680" s="13" t="str">
        <f t="shared" si="195"/>
        <v/>
      </c>
      <c r="H1680" s="13" t="str">
        <f t="shared" si="196"/>
        <v/>
      </c>
      <c r="I1680" s="14" t="str">
        <f t="array" ref="I1680">IF(getRGB1(Weekly!H242)="FFFF00","초방","재방")</f>
        <v>재방</v>
      </c>
    </row>
    <row r="1681" spans="1:9" ht="11.25" customHeight="1" x14ac:dyDescent="0.3">
      <c r="A1681" s="10" t="str">
        <f t="shared" si="193"/>
        <v/>
      </c>
      <c r="B1681" s="11">
        <f>Weekly!$H$3</f>
        <v>45920</v>
      </c>
      <c r="C1681" s="12">
        <v>0.82986111111111105</v>
      </c>
      <c r="D1681" s="13">
        <f>Weekly!H243</f>
        <v>0</v>
      </c>
      <c r="E1681" s="13" t="str">
        <f t="shared" si="194"/>
        <v/>
      </c>
      <c r="F1681" s="13" t="str">
        <f t="shared" si="197"/>
        <v/>
      </c>
      <c r="G1681" s="13" t="str">
        <f t="shared" si="195"/>
        <v/>
      </c>
      <c r="H1681" s="13" t="str">
        <f t="shared" si="196"/>
        <v/>
      </c>
      <c r="I1681" s="14" t="str">
        <f t="array" ref="I1681">IF(getRGB1(Weekly!H243)="FFFF00","초방","재방")</f>
        <v>재방</v>
      </c>
    </row>
    <row r="1682" spans="1:9" ht="11.25" customHeight="1" x14ac:dyDescent="0.3">
      <c r="A1682" s="10">
        <f t="shared" si="193"/>
        <v>45920.833333333336</v>
      </c>
      <c r="B1682" s="11">
        <f>Weekly!$H$3</f>
        <v>45920</v>
      </c>
      <c r="C1682" s="12">
        <v>0.83333333333333304</v>
      </c>
      <c r="D1682" s="13" t="str">
        <f>Weekly!H244</f>
        <v xml:space="preserve"> NEWSON
&lt;67</v>
      </c>
      <c r="E1682" s="13" t="str">
        <f t="shared" si="194"/>
        <v>NEWSON</v>
      </c>
      <c r="F1682" s="13">
        <f t="shared" si="197"/>
        <v>67</v>
      </c>
      <c r="G1682" s="13" t="str">
        <f t="shared" si="195"/>
        <v/>
      </c>
      <c r="H1682" s="13" t="str">
        <f t="shared" si="196"/>
        <v/>
      </c>
      <c r="I1682" s="14" t="str">
        <f t="array" ref="I1682">IF(getRGB1(Weekly!H244)="FFFF00","초방","재방")</f>
        <v>초방</v>
      </c>
    </row>
    <row r="1683" spans="1:9" ht="11.25" customHeight="1" x14ac:dyDescent="0.3">
      <c r="A1683" s="10" t="str">
        <f t="shared" si="193"/>
        <v/>
      </c>
      <c r="B1683" s="11">
        <f>Weekly!$H$3</f>
        <v>45920</v>
      </c>
      <c r="C1683" s="12">
        <v>0.83680555555555503</v>
      </c>
      <c r="D1683" s="13">
        <f>Weekly!H245</f>
        <v>0</v>
      </c>
      <c r="E1683" s="13" t="str">
        <f t="shared" si="194"/>
        <v/>
      </c>
      <c r="F1683" s="13" t="str">
        <f t="shared" si="197"/>
        <v/>
      </c>
      <c r="G1683" s="13" t="str">
        <f t="shared" si="195"/>
        <v/>
      </c>
      <c r="H1683" s="13" t="str">
        <f t="shared" si="196"/>
        <v/>
      </c>
      <c r="I1683" s="14" t="str">
        <f t="array" ref="I1683">IF(getRGB1(Weekly!H245)="FFFF00","초방","재방")</f>
        <v>초방</v>
      </c>
    </row>
    <row r="1684" spans="1:9" ht="11.25" customHeight="1" x14ac:dyDescent="0.3">
      <c r="A1684" s="10" t="str">
        <f t="shared" si="193"/>
        <v/>
      </c>
      <c r="B1684" s="11">
        <f>Weekly!$H$3</f>
        <v>45920</v>
      </c>
      <c r="C1684" s="12">
        <v>0.84027777777777801</v>
      </c>
      <c r="D1684" s="13">
        <f>Weekly!H246</f>
        <v>0</v>
      </c>
      <c r="E1684" s="13" t="str">
        <f t="shared" si="194"/>
        <v/>
      </c>
      <c r="F1684" s="13" t="str">
        <f t="shared" si="197"/>
        <v/>
      </c>
      <c r="G1684" s="13" t="str">
        <f t="shared" si="195"/>
        <v/>
      </c>
      <c r="H1684" s="13" t="str">
        <f t="shared" si="196"/>
        <v/>
      </c>
      <c r="I1684" s="14" t="str">
        <f t="array" ref="I1684">IF(getRGB1(Weekly!H246)="FFFF00","초방","재방")</f>
        <v>초방</v>
      </c>
    </row>
    <row r="1685" spans="1:9" ht="11.25" customHeight="1" x14ac:dyDescent="0.3">
      <c r="A1685" s="10" t="str">
        <f t="shared" si="193"/>
        <v/>
      </c>
      <c r="B1685" s="11">
        <f>Weekly!$H$3</f>
        <v>45920</v>
      </c>
      <c r="C1685" s="12">
        <v>0.84375</v>
      </c>
      <c r="D1685" s="13">
        <f>Weekly!H247</f>
        <v>0</v>
      </c>
      <c r="E1685" s="13" t="str">
        <f t="shared" si="194"/>
        <v/>
      </c>
      <c r="F1685" s="13" t="str">
        <f t="shared" si="197"/>
        <v/>
      </c>
      <c r="G1685" s="13" t="str">
        <f t="shared" si="195"/>
        <v/>
      </c>
      <c r="H1685" s="13" t="str">
        <f t="shared" si="196"/>
        <v/>
      </c>
      <c r="I1685" s="14" t="str">
        <f t="array" ref="I1685">IF(getRGB1(Weekly!H247)="FFFF00","초방","재방")</f>
        <v>초방</v>
      </c>
    </row>
    <row r="1686" spans="1:9" ht="11.25" customHeight="1" x14ac:dyDescent="0.3">
      <c r="A1686" s="10" t="str">
        <f t="shared" si="193"/>
        <v/>
      </c>
      <c r="B1686" s="11">
        <f>Weekly!$H$3</f>
        <v>45920</v>
      </c>
      <c r="C1686" s="12">
        <v>0.84722222222222199</v>
      </c>
      <c r="D1686" s="13">
        <f>Weekly!H248</f>
        <v>0</v>
      </c>
      <c r="E1686" s="13" t="str">
        <f t="shared" si="194"/>
        <v/>
      </c>
      <c r="F1686" s="13" t="str">
        <f t="shared" si="197"/>
        <v/>
      </c>
      <c r="G1686" s="13" t="str">
        <f t="shared" si="195"/>
        <v/>
      </c>
      <c r="H1686" s="13" t="str">
        <f t="shared" si="196"/>
        <v/>
      </c>
      <c r="I1686" s="14" t="str">
        <f t="array" ref="I1686">IF(getRGB1(Weekly!H248)="FFFF00","초방","재방")</f>
        <v>초방</v>
      </c>
    </row>
    <row r="1687" spans="1:9" ht="11.25" customHeight="1" x14ac:dyDescent="0.3">
      <c r="A1687" s="10" t="str">
        <f t="shared" si="193"/>
        <v/>
      </c>
      <c r="B1687" s="11">
        <f>Weekly!$H$3</f>
        <v>45920</v>
      </c>
      <c r="C1687" s="12">
        <v>0.85069444444444398</v>
      </c>
      <c r="D1687" s="13">
        <f>Weekly!H249</f>
        <v>0</v>
      </c>
      <c r="E1687" s="13" t="str">
        <f t="shared" si="194"/>
        <v/>
      </c>
      <c r="F1687" s="13" t="str">
        <f t="shared" si="197"/>
        <v/>
      </c>
      <c r="G1687" s="13" t="str">
        <f t="shared" si="195"/>
        <v/>
      </c>
      <c r="H1687" s="13" t="str">
        <f t="shared" si="196"/>
        <v/>
      </c>
      <c r="I1687" s="14" t="str">
        <f t="array" ref="I1687">IF(getRGB1(Weekly!H249)="FFFF00","초방","재방")</f>
        <v>초방</v>
      </c>
    </row>
    <row r="1688" spans="1:9" ht="11.25" customHeight="1" x14ac:dyDescent="0.3">
      <c r="A1688" s="10">
        <f t="shared" si="193"/>
        <v>45920.854166666664</v>
      </c>
      <c r="B1688" s="11">
        <f>Weekly!$H$3</f>
        <v>45920</v>
      </c>
      <c r="C1688" s="12">
        <v>0.85416666666666696</v>
      </c>
      <c r="D1688" s="13" t="str">
        <f>Weekly!H250</f>
        <v>우리동네 너튜브
&lt;09</v>
      </c>
      <c r="E1688" s="13" t="str">
        <f t="shared" si="194"/>
        <v>우리동네 너튜브</v>
      </c>
      <c r="F1688" s="13">
        <f t="shared" si="197"/>
        <v>9</v>
      </c>
      <c r="G1688" s="13" t="str">
        <f t="shared" si="195"/>
        <v/>
      </c>
      <c r="H1688" s="13" t="str">
        <f t="shared" si="196"/>
        <v/>
      </c>
      <c r="I1688" s="14" t="str">
        <f t="array" ref="I1688">IF(getRGB1(Weekly!H250)="FFFF00","초방","재방")</f>
        <v>재방</v>
      </c>
    </row>
    <row r="1689" spans="1:9" ht="11.25" customHeight="1" x14ac:dyDescent="0.3">
      <c r="A1689" s="10" t="str">
        <f t="shared" si="193"/>
        <v/>
      </c>
      <c r="B1689" s="11">
        <f>Weekly!$H$3</f>
        <v>45920</v>
      </c>
      <c r="C1689" s="12">
        <v>0.85763888888888895</v>
      </c>
      <c r="D1689" s="13">
        <f>Weekly!H251</f>
        <v>0</v>
      </c>
      <c r="E1689" s="13" t="str">
        <f t="shared" si="194"/>
        <v/>
      </c>
      <c r="F1689" s="13" t="str">
        <f t="shared" si="197"/>
        <v/>
      </c>
      <c r="G1689" s="13" t="str">
        <f t="shared" si="195"/>
        <v/>
      </c>
      <c r="H1689" s="13" t="str">
        <f t="shared" si="196"/>
        <v/>
      </c>
      <c r="I1689" s="14" t="str">
        <f t="array" ref="I1689">IF(getRGB1(Weekly!H251)="FFFF00","초방","재방")</f>
        <v>재방</v>
      </c>
    </row>
    <row r="1690" spans="1:9" ht="11.25" customHeight="1" x14ac:dyDescent="0.3">
      <c r="A1690" s="10" t="str">
        <f t="shared" si="193"/>
        <v/>
      </c>
      <c r="B1690" s="11">
        <f>Weekly!$H$3</f>
        <v>45920</v>
      </c>
      <c r="C1690" s="12">
        <v>0.86111111111111105</v>
      </c>
      <c r="D1690" s="13">
        <f>Weekly!H252</f>
        <v>0</v>
      </c>
      <c r="E1690" s="13" t="str">
        <f t="shared" si="194"/>
        <v/>
      </c>
      <c r="F1690" s="13" t="str">
        <f t="shared" si="197"/>
        <v/>
      </c>
      <c r="G1690" s="13" t="str">
        <f t="shared" si="195"/>
        <v/>
      </c>
      <c r="H1690" s="13" t="str">
        <f t="shared" si="196"/>
        <v/>
      </c>
      <c r="I1690" s="14" t="str">
        <f t="array" ref="I1690">IF(getRGB1(Weekly!H252)="FFFF00","초방","재방")</f>
        <v>재방</v>
      </c>
    </row>
    <row r="1691" spans="1:9" ht="11.25" customHeight="1" x14ac:dyDescent="0.3">
      <c r="A1691" s="10" t="str">
        <f t="shared" si="193"/>
        <v/>
      </c>
      <c r="B1691" s="11">
        <f>Weekly!$H$3</f>
        <v>45920</v>
      </c>
      <c r="C1691" s="12">
        <v>0.86458333333333304</v>
      </c>
      <c r="D1691" s="13">
        <f>Weekly!H253</f>
        <v>0</v>
      </c>
      <c r="E1691" s="13" t="str">
        <f t="shared" si="194"/>
        <v/>
      </c>
      <c r="F1691" s="13" t="str">
        <f t="shared" si="197"/>
        <v/>
      </c>
      <c r="G1691" s="13" t="str">
        <f t="shared" si="195"/>
        <v/>
      </c>
      <c r="H1691" s="13" t="str">
        <f t="shared" si="196"/>
        <v/>
      </c>
      <c r="I1691" s="14" t="str">
        <f t="array" ref="I1691">IF(getRGB1(Weekly!H253)="FFFF00","초방","재방")</f>
        <v>재방</v>
      </c>
    </row>
    <row r="1692" spans="1:9" ht="11.25" customHeight="1" x14ac:dyDescent="0.3">
      <c r="A1692" s="10" t="str">
        <f t="shared" si="193"/>
        <v/>
      </c>
      <c r="B1692" s="11">
        <f>Weekly!$H$3</f>
        <v>45920</v>
      </c>
      <c r="C1692" s="12">
        <v>0.86805555555555503</v>
      </c>
      <c r="D1692" s="13">
        <f>Weekly!H254</f>
        <v>0</v>
      </c>
      <c r="E1692" s="13" t="str">
        <f t="shared" si="194"/>
        <v/>
      </c>
      <c r="F1692" s="13" t="str">
        <f t="shared" si="197"/>
        <v/>
      </c>
      <c r="G1692" s="13" t="str">
        <f t="shared" si="195"/>
        <v/>
      </c>
      <c r="H1692" s="13" t="str">
        <f t="shared" si="196"/>
        <v/>
      </c>
      <c r="I1692" s="14" t="str">
        <f t="array" ref="I1692">IF(getRGB1(Weekly!H254)="FFFF00","초방","재방")</f>
        <v>재방</v>
      </c>
    </row>
    <row r="1693" spans="1:9" ht="11.25" customHeight="1" x14ac:dyDescent="0.3">
      <c r="A1693" s="10" t="str">
        <f t="shared" si="193"/>
        <v/>
      </c>
      <c r="B1693" s="11">
        <f>Weekly!$H$3</f>
        <v>45920</v>
      </c>
      <c r="C1693" s="12">
        <v>0.87152777777777801</v>
      </c>
      <c r="D1693" s="13">
        <f>Weekly!H255</f>
        <v>0</v>
      </c>
      <c r="E1693" s="13" t="str">
        <f t="shared" si="194"/>
        <v/>
      </c>
      <c r="F1693" s="13" t="str">
        <f t="shared" si="197"/>
        <v/>
      </c>
      <c r="G1693" s="13" t="str">
        <f t="shared" si="195"/>
        <v/>
      </c>
      <c r="H1693" s="13" t="str">
        <f t="shared" si="196"/>
        <v/>
      </c>
      <c r="I1693" s="14" t="str">
        <f t="array" ref="I1693">IF(getRGB1(Weekly!H255)="FFFF00","초방","재방")</f>
        <v>재방</v>
      </c>
    </row>
    <row r="1694" spans="1:9" ht="11.25" customHeight="1" x14ac:dyDescent="0.3">
      <c r="A1694" s="10" t="str">
        <f t="shared" si="193"/>
        <v/>
      </c>
      <c r="B1694" s="11">
        <f>Weekly!$H$3</f>
        <v>45920</v>
      </c>
      <c r="C1694" s="12">
        <v>0.875</v>
      </c>
      <c r="D1694" s="13">
        <f>Weekly!H256</f>
        <v>0</v>
      </c>
      <c r="E1694" s="13" t="str">
        <f t="shared" si="194"/>
        <v/>
      </c>
      <c r="F1694" s="13" t="str">
        <f t="shared" si="197"/>
        <v/>
      </c>
      <c r="G1694" s="13" t="str">
        <f t="shared" si="195"/>
        <v/>
      </c>
      <c r="H1694" s="13" t="str">
        <f t="shared" si="196"/>
        <v/>
      </c>
      <c r="I1694" s="14" t="str">
        <f t="array" ref="I1694">IF(getRGB1(Weekly!H256)="FFFF00","초방","재방")</f>
        <v>재방</v>
      </c>
    </row>
    <row r="1695" spans="1:9" ht="11.25" customHeight="1" x14ac:dyDescent="0.3">
      <c r="A1695" s="10" t="str">
        <f t="shared" si="193"/>
        <v/>
      </c>
      <c r="B1695" s="11">
        <f>Weekly!$H$3</f>
        <v>45920</v>
      </c>
      <c r="C1695" s="12">
        <v>0.87847222222222199</v>
      </c>
      <c r="D1695" s="13">
        <f>Weekly!H257</f>
        <v>0</v>
      </c>
      <c r="E1695" s="13" t="str">
        <f t="shared" si="194"/>
        <v/>
      </c>
      <c r="F1695" s="13" t="str">
        <f t="shared" si="197"/>
        <v/>
      </c>
      <c r="G1695" s="13" t="str">
        <f t="shared" si="195"/>
        <v/>
      </c>
      <c r="H1695" s="13" t="str">
        <f t="shared" si="196"/>
        <v/>
      </c>
      <c r="I1695" s="14" t="str">
        <f t="array" ref="I1695">IF(getRGB1(Weekly!H257)="FFFF00","초방","재방")</f>
        <v>재방</v>
      </c>
    </row>
    <row r="1696" spans="1:9" ht="11.25" customHeight="1" x14ac:dyDescent="0.3">
      <c r="A1696" s="10" t="str">
        <f t="shared" si="193"/>
        <v/>
      </c>
      <c r="B1696" s="11">
        <f>Weekly!$H$3</f>
        <v>45920</v>
      </c>
      <c r="C1696" s="12">
        <v>0.88194444444444398</v>
      </c>
      <c r="D1696" s="13">
        <f>Weekly!H258</f>
        <v>0</v>
      </c>
      <c r="E1696" s="13" t="str">
        <f t="shared" si="194"/>
        <v/>
      </c>
      <c r="F1696" s="13" t="str">
        <f t="shared" si="197"/>
        <v/>
      </c>
      <c r="G1696" s="13" t="str">
        <f t="shared" si="195"/>
        <v/>
      </c>
      <c r="H1696" s="13" t="str">
        <f t="shared" si="196"/>
        <v/>
      </c>
      <c r="I1696" s="14" t="str">
        <f t="array" ref="I1696">IF(getRGB1(Weekly!H258)="FFFF00","초방","재방")</f>
        <v>재방</v>
      </c>
    </row>
    <row r="1697" spans="1:9" ht="11.25" customHeight="1" x14ac:dyDescent="0.3">
      <c r="A1697" s="10" t="str">
        <f t="shared" si="193"/>
        <v/>
      </c>
      <c r="B1697" s="11">
        <f>Weekly!$H$3</f>
        <v>45920</v>
      </c>
      <c r="C1697" s="12">
        <v>0.88541666666666696</v>
      </c>
      <c r="D1697" s="13">
        <f>Weekly!H259</f>
        <v>0</v>
      </c>
      <c r="E1697" s="13" t="str">
        <f t="shared" si="194"/>
        <v/>
      </c>
      <c r="F1697" s="13" t="str">
        <f t="shared" si="197"/>
        <v/>
      </c>
      <c r="G1697" s="13" t="str">
        <f t="shared" si="195"/>
        <v/>
      </c>
      <c r="H1697" s="13" t="str">
        <f t="shared" si="196"/>
        <v/>
      </c>
      <c r="I1697" s="14" t="str">
        <f t="array" ref="I1697">IF(getRGB1(Weekly!H259)="FFFF00","초방","재방")</f>
        <v>재방</v>
      </c>
    </row>
    <row r="1698" spans="1:9" ht="11.25" customHeight="1" x14ac:dyDescent="0.3">
      <c r="A1698" s="10">
        <f t="shared" si="193"/>
        <v>45920.888888888891</v>
      </c>
      <c r="B1698" s="11">
        <f>Weekly!$H$3</f>
        <v>45920</v>
      </c>
      <c r="C1698" s="12">
        <v>0.88888888888888895</v>
      </c>
      <c r="D1698" s="13" t="str">
        <f>Weekly!H260</f>
        <v>낭만살롱
&lt;06</v>
      </c>
      <c r="E1698" s="13" t="str">
        <f t="shared" si="194"/>
        <v>낭만살롱</v>
      </c>
      <c r="F1698" s="13">
        <f t="shared" si="197"/>
        <v>6</v>
      </c>
      <c r="G1698" s="13" t="str">
        <f t="shared" si="195"/>
        <v/>
      </c>
      <c r="H1698" s="13" t="str">
        <f t="shared" si="196"/>
        <v/>
      </c>
      <c r="I1698" s="14" t="str">
        <f t="array" ref="I1698">IF(getRGB1(Weekly!H260)="FFFF00","초방","재방")</f>
        <v>재방</v>
      </c>
    </row>
    <row r="1699" spans="1:9" ht="11.25" customHeight="1" x14ac:dyDescent="0.3">
      <c r="A1699" s="10" t="str">
        <f t="shared" si="193"/>
        <v/>
      </c>
      <c r="B1699" s="11">
        <f>Weekly!$H$3</f>
        <v>45920</v>
      </c>
      <c r="C1699" s="12">
        <v>0.89236111111111105</v>
      </c>
      <c r="D1699" s="13">
        <f>Weekly!H261</f>
        <v>0</v>
      </c>
      <c r="E1699" s="13" t="str">
        <f t="shared" si="194"/>
        <v/>
      </c>
      <c r="F1699" s="13" t="str">
        <f t="shared" si="197"/>
        <v/>
      </c>
      <c r="G1699" s="13" t="str">
        <f t="shared" si="195"/>
        <v/>
      </c>
      <c r="H1699" s="13" t="str">
        <f t="shared" si="196"/>
        <v/>
      </c>
      <c r="I1699" s="14" t="str">
        <f t="array" ref="I1699">IF(getRGB1(Weekly!H261)="FFFF00","초방","재방")</f>
        <v>재방</v>
      </c>
    </row>
    <row r="1700" spans="1:9" ht="11.25" customHeight="1" x14ac:dyDescent="0.3">
      <c r="A1700" s="10" t="str">
        <f t="shared" si="193"/>
        <v/>
      </c>
      <c r="B1700" s="11">
        <f>Weekly!$H$3</f>
        <v>45920</v>
      </c>
      <c r="C1700" s="12">
        <v>0.89583333333333304</v>
      </c>
      <c r="D1700" s="13">
        <f>Weekly!H262</f>
        <v>0</v>
      </c>
      <c r="E1700" s="13" t="str">
        <f t="shared" si="194"/>
        <v/>
      </c>
      <c r="F1700" s="13" t="str">
        <f t="shared" si="197"/>
        <v/>
      </c>
      <c r="G1700" s="13" t="str">
        <f t="shared" si="195"/>
        <v/>
      </c>
      <c r="H1700" s="13" t="str">
        <f t="shared" si="196"/>
        <v/>
      </c>
      <c r="I1700" s="14" t="str">
        <f t="array" ref="I1700">IF(getRGB1(Weekly!H262)="FFFF00","초방","재방")</f>
        <v>재방</v>
      </c>
    </row>
    <row r="1701" spans="1:9" ht="11.25" customHeight="1" x14ac:dyDescent="0.3">
      <c r="A1701" s="10" t="str">
        <f t="shared" si="193"/>
        <v/>
      </c>
      <c r="B1701" s="11">
        <f>Weekly!$H$3</f>
        <v>45920</v>
      </c>
      <c r="C1701" s="12">
        <v>0.89930555555555503</v>
      </c>
      <c r="D1701" s="13">
        <f>Weekly!H263</f>
        <v>0</v>
      </c>
      <c r="E1701" s="13" t="str">
        <f t="shared" si="194"/>
        <v/>
      </c>
      <c r="F1701" s="13" t="str">
        <f t="shared" si="197"/>
        <v/>
      </c>
      <c r="G1701" s="13" t="str">
        <f t="shared" si="195"/>
        <v/>
      </c>
      <c r="H1701" s="13" t="str">
        <f t="shared" si="196"/>
        <v/>
      </c>
      <c r="I1701" s="14" t="str">
        <f t="array" ref="I1701">IF(getRGB1(Weekly!H263)="FFFF00","초방","재방")</f>
        <v>재방</v>
      </c>
    </row>
    <row r="1702" spans="1:9" ht="11.25" customHeight="1" x14ac:dyDescent="0.3">
      <c r="A1702" s="10" t="str">
        <f t="shared" si="193"/>
        <v/>
      </c>
      <c r="B1702" s="11">
        <f>Weekly!$H$3</f>
        <v>45920</v>
      </c>
      <c r="C1702" s="12">
        <v>0.90277777777777801</v>
      </c>
      <c r="D1702" s="13">
        <f>Weekly!H264</f>
        <v>0</v>
      </c>
      <c r="E1702" s="13" t="str">
        <f t="shared" si="194"/>
        <v/>
      </c>
      <c r="F1702" s="13" t="str">
        <f t="shared" si="197"/>
        <v/>
      </c>
      <c r="G1702" s="13" t="str">
        <f t="shared" si="195"/>
        <v/>
      </c>
      <c r="H1702" s="13" t="str">
        <f t="shared" si="196"/>
        <v/>
      </c>
      <c r="I1702" s="14" t="str">
        <f t="array" ref="I1702">IF(getRGB1(Weekly!H264)="FFFF00","초방","재방")</f>
        <v>재방</v>
      </c>
    </row>
    <row r="1703" spans="1:9" ht="11.25" customHeight="1" x14ac:dyDescent="0.3">
      <c r="A1703" s="10" t="str">
        <f t="shared" si="193"/>
        <v/>
      </c>
      <c r="B1703" s="11">
        <f>Weekly!$H$3</f>
        <v>45920</v>
      </c>
      <c r="C1703" s="12">
        <v>0.90625</v>
      </c>
      <c r="D1703" s="13">
        <f>Weekly!H265</f>
        <v>0</v>
      </c>
      <c r="E1703" s="13" t="str">
        <f t="shared" si="194"/>
        <v/>
      </c>
      <c r="F1703" s="13" t="str">
        <f t="shared" si="197"/>
        <v/>
      </c>
      <c r="G1703" s="13" t="str">
        <f t="shared" si="195"/>
        <v/>
      </c>
      <c r="H1703" s="13" t="str">
        <f t="shared" si="196"/>
        <v/>
      </c>
      <c r="I1703" s="14" t="str">
        <f t="array" ref="I1703">IF(getRGB1(Weekly!H265)="FFFF00","초방","재방")</f>
        <v>재방</v>
      </c>
    </row>
    <row r="1704" spans="1:9" ht="11.25" customHeight="1" x14ac:dyDescent="0.3">
      <c r="A1704" s="10" t="str">
        <f t="shared" si="193"/>
        <v/>
      </c>
      <c r="B1704" s="11">
        <f>Weekly!$H$3</f>
        <v>45920</v>
      </c>
      <c r="C1704" s="12">
        <v>0.90972222222222199</v>
      </c>
      <c r="D1704" s="13">
        <f>Weekly!H266</f>
        <v>0</v>
      </c>
      <c r="E1704" s="13" t="str">
        <f t="shared" si="194"/>
        <v/>
      </c>
      <c r="F1704" s="13" t="str">
        <f t="shared" si="197"/>
        <v/>
      </c>
      <c r="G1704" s="13" t="str">
        <f t="shared" si="195"/>
        <v/>
      </c>
      <c r="H1704" s="13" t="str">
        <f t="shared" si="196"/>
        <v/>
      </c>
      <c r="I1704" s="14" t="str">
        <f t="array" ref="I1704">IF(getRGB1(Weekly!H266)="FFFF00","초방","재방")</f>
        <v>재방</v>
      </c>
    </row>
    <row r="1705" spans="1:9" ht="11.25" customHeight="1" x14ac:dyDescent="0.3">
      <c r="A1705" s="10" t="str">
        <f t="shared" si="193"/>
        <v/>
      </c>
      <c r="B1705" s="11">
        <f>Weekly!$H$3</f>
        <v>45920</v>
      </c>
      <c r="C1705" s="12">
        <v>0.91319444444444398</v>
      </c>
      <c r="D1705" s="13">
        <f>Weekly!H267</f>
        <v>0</v>
      </c>
      <c r="E1705" s="13" t="str">
        <f t="shared" si="194"/>
        <v/>
      </c>
      <c r="F1705" s="13" t="str">
        <f t="shared" si="197"/>
        <v/>
      </c>
      <c r="G1705" s="13" t="str">
        <f t="shared" si="195"/>
        <v/>
      </c>
      <c r="H1705" s="13" t="str">
        <f t="shared" si="196"/>
        <v/>
      </c>
      <c r="I1705" s="14" t="str">
        <f t="array" ref="I1705">IF(getRGB1(Weekly!H267)="FFFF00","초방","재방")</f>
        <v>재방</v>
      </c>
    </row>
    <row r="1706" spans="1:9" ht="11.25" customHeight="1" x14ac:dyDescent="0.3">
      <c r="A1706" s="10">
        <f t="shared" si="193"/>
        <v>45920.916666666664</v>
      </c>
      <c r="B1706" s="11">
        <f>Weekly!$H$3</f>
        <v>45920</v>
      </c>
      <c r="C1706" s="12">
        <v>0.91666666666666696</v>
      </c>
      <c r="D1706" s="13" t="str">
        <f>Weekly!H268</f>
        <v>지방차치TV 하이라이트
&lt;13</v>
      </c>
      <c r="E1706" s="13" t="str">
        <f t="shared" si="194"/>
        <v>지방차치TV 하이라이트</v>
      </c>
      <c r="F1706" s="13">
        <f t="shared" si="197"/>
        <v>13</v>
      </c>
      <c r="G1706" s="13" t="str">
        <f t="shared" si="195"/>
        <v/>
      </c>
      <c r="H1706" s="13" t="str">
        <f t="shared" si="196"/>
        <v/>
      </c>
      <c r="I1706" s="14" t="str">
        <f t="array" ref="I1706">IF(getRGB1(Weekly!H268)="FFFF00","초방","재방")</f>
        <v>초방</v>
      </c>
    </row>
    <row r="1707" spans="1:9" ht="11.25" customHeight="1" x14ac:dyDescent="0.3">
      <c r="A1707" s="10" t="str">
        <f t="shared" si="193"/>
        <v/>
      </c>
      <c r="B1707" s="11">
        <f>Weekly!$H$3</f>
        <v>45920</v>
      </c>
      <c r="C1707" s="12">
        <v>0.92013888888888895</v>
      </c>
      <c r="D1707" s="13">
        <f>Weekly!H269</f>
        <v>0</v>
      </c>
      <c r="E1707" s="13" t="str">
        <f t="shared" si="194"/>
        <v/>
      </c>
      <c r="F1707" s="13" t="str">
        <f t="shared" si="197"/>
        <v/>
      </c>
      <c r="G1707" s="13" t="str">
        <f t="shared" si="195"/>
        <v/>
      </c>
      <c r="H1707" s="13" t="str">
        <f t="shared" si="196"/>
        <v/>
      </c>
      <c r="I1707" s="14" t="str">
        <f t="array" ref="I1707">IF(getRGB1(Weekly!H269)="FFFF00","초방","재방")</f>
        <v>초방</v>
      </c>
    </row>
    <row r="1708" spans="1:9" ht="11.25" customHeight="1" x14ac:dyDescent="0.3">
      <c r="A1708" s="10" t="str">
        <f t="shared" si="193"/>
        <v/>
      </c>
      <c r="B1708" s="11">
        <f>Weekly!$H$3</f>
        <v>45920</v>
      </c>
      <c r="C1708" s="12">
        <v>0.92361111111111105</v>
      </c>
      <c r="D1708" s="13">
        <f>Weekly!H270</f>
        <v>0</v>
      </c>
      <c r="E1708" s="13" t="str">
        <f t="shared" si="194"/>
        <v/>
      </c>
      <c r="F1708" s="13" t="str">
        <f t="shared" si="197"/>
        <v/>
      </c>
      <c r="G1708" s="13" t="str">
        <f t="shared" si="195"/>
        <v/>
      </c>
      <c r="H1708" s="13" t="str">
        <f t="shared" si="196"/>
        <v/>
      </c>
      <c r="I1708" s="14" t="str">
        <f t="array" ref="I1708">IF(getRGB1(Weekly!H270)="FFFF00","초방","재방")</f>
        <v>초방</v>
      </c>
    </row>
    <row r="1709" spans="1:9" ht="11.25" customHeight="1" x14ac:dyDescent="0.3">
      <c r="A1709" s="10" t="str">
        <f t="shared" si="193"/>
        <v/>
      </c>
      <c r="B1709" s="11">
        <f>Weekly!$H$3</f>
        <v>45920</v>
      </c>
      <c r="C1709" s="12">
        <v>0.92708333333333304</v>
      </c>
      <c r="D1709" s="13">
        <f>Weekly!H271</f>
        <v>0</v>
      </c>
      <c r="E1709" s="13" t="str">
        <f t="shared" si="194"/>
        <v/>
      </c>
      <c r="F1709" s="13" t="str">
        <f t="shared" si="197"/>
        <v/>
      </c>
      <c r="G1709" s="13" t="str">
        <f t="shared" si="195"/>
        <v/>
      </c>
      <c r="H1709" s="13" t="str">
        <f t="shared" si="196"/>
        <v/>
      </c>
      <c r="I1709" s="14" t="str">
        <f t="array" ref="I1709">IF(getRGB1(Weekly!H271)="FFFF00","초방","재방")</f>
        <v>초방</v>
      </c>
    </row>
    <row r="1710" spans="1:9" ht="11.25" customHeight="1" x14ac:dyDescent="0.3">
      <c r="A1710" s="10" t="str">
        <f t="shared" si="193"/>
        <v/>
      </c>
      <c r="B1710" s="11">
        <f>Weekly!$H$3</f>
        <v>45920</v>
      </c>
      <c r="C1710" s="12">
        <v>0.93055555555555503</v>
      </c>
      <c r="D1710" s="13">
        <f>Weekly!H272</f>
        <v>0</v>
      </c>
      <c r="E1710" s="13" t="str">
        <f t="shared" si="194"/>
        <v/>
      </c>
      <c r="F1710" s="13" t="str">
        <f t="shared" si="197"/>
        <v/>
      </c>
      <c r="G1710" s="13" t="str">
        <f t="shared" si="195"/>
        <v/>
      </c>
      <c r="H1710" s="13" t="str">
        <f t="shared" si="196"/>
        <v/>
      </c>
      <c r="I1710" s="14" t="str">
        <f t="array" ref="I1710">IF(getRGB1(Weekly!H272)="FFFF00","초방","재방")</f>
        <v>초방</v>
      </c>
    </row>
    <row r="1711" spans="1:9" ht="11.25" customHeight="1" x14ac:dyDescent="0.3">
      <c r="A1711" s="10" t="str">
        <f t="shared" si="193"/>
        <v/>
      </c>
      <c r="B1711" s="11">
        <f>Weekly!$H$3</f>
        <v>45920</v>
      </c>
      <c r="C1711" s="12">
        <v>0.93402777777777801</v>
      </c>
      <c r="D1711" s="13">
        <f>Weekly!H273</f>
        <v>0</v>
      </c>
      <c r="E1711" s="13" t="str">
        <f t="shared" si="194"/>
        <v/>
      </c>
      <c r="F1711" s="13" t="str">
        <f t="shared" si="197"/>
        <v/>
      </c>
      <c r="G1711" s="13" t="str">
        <f t="shared" si="195"/>
        <v/>
      </c>
      <c r="H1711" s="13" t="str">
        <f t="shared" si="196"/>
        <v/>
      </c>
      <c r="I1711" s="14" t="str">
        <f t="array" ref="I1711">IF(getRGB1(Weekly!H273)="FFFF00","초방","재방")</f>
        <v>초방</v>
      </c>
    </row>
    <row r="1712" spans="1:9" ht="11.25" customHeight="1" x14ac:dyDescent="0.3">
      <c r="A1712" s="10" t="str">
        <f t="shared" si="193"/>
        <v/>
      </c>
      <c r="B1712" s="11">
        <f>Weekly!$H$3</f>
        <v>45920</v>
      </c>
      <c r="C1712" s="12">
        <v>0.9375</v>
      </c>
      <c r="D1712" s="13">
        <f>Weekly!H274</f>
        <v>0</v>
      </c>
      <c r="E1712" s="13" t="str">
        <f t="shared" si="194"/>
        <v/>
      </c>
      <c r="F1712" s="13" t="str">
        <f t="shared" si="197"/>
        <v/>
      </c>
      <c r="G1712" s="13" t="str">
        <f t="shared" si="195"/>
        <v/>
      </c>
      <c r="H1712" s="13" t="str">
        <f t="shared" si="196"/>
        <v/>
      </c>
      <c r="I1712" s="14" t="str">
        <f t="array" ref="I1712">IF(getRGB1(Weekly!H274)="FFFF00","초방","재방")</f>
        <v>초방</v>
      </c>
    </row>
    <row r="1713" spans="1:9" ht="11.25" customHeight="1" x14ac:dyDescent="0.3">
      <c r="A1713" s="10">
        <f t="shared" si="193"/>
        <v>45920.940972222219</v>
      </c>
      <c r="B1713" s="11">
        <f>Weekly!$H$3</f>
        <v>45920</v>
      </c>
      <c r="C1713" s="12">
        <v>0.94097222222222199</v>
      </c>
      <c r="D1713" s="13" t="str">
        <f>Weekly!H275</f>
        <v>지방자치TV 스페셜
&lt;24</v>
      </c>
      <c r="E1713" s="13" t="str">
        <f t="shared" si="194"/>
        <v>지방자치TV 스페셜</v>
      </c>
      <c r="F1713" s="13">
        <f t="shared" si="197"/>
        <v>24</v>
      </c>
      <c r="G1713" s="13" t="str">
        <f t="shared" si="195"/>
        <v/>
      </c>
      <c r="H1713" s="13" t="str">
        <f t="shared" si="196"/>
        <v/>
      </c>
      <c r="I1713" s="14" t="str">
        <f t="array" ref="I1713">IF(getRGB1(Weekly!H275)="FFFF00","초방","재방")</f>
        <v>초방</v>
      </c>
    </row>
    <row r="1714" spans="1:9" ht="11.25" customHeight="1" x14ac:dyDescent="0.3">
      <c r="A1714" s="10" t="str">
        <f t="shared" si="193"/>
        <v/>
      </c>
      <c r="B1714" s="11">
        <f>Weekly!$H$3</f>
        <v>45920</v>
      </c>
      <c r="C1714" s="12">
        <v>0.94444444444444398</v>
      </c>
      <c r="D1714" s="13">
        <f>Weekly!H276</f>
        <v>0</v>
      </c>
      <c r="E1714" s="13" t="str">
        <f t="shared" si="194"/>
        <v/>
      </c>
      <c r="F1714" s="13" t="str">
        <f t="shared" si="197"/>
        <v/>
      </c>
      <c r="G1714" s="13" t="str">
        <f t="shared" si="195"/>
        <v/>
      </c>
      <c r="H1714" s="13" t="str">
        <f t="shared" si="196"/>
        <v/>
      </c>
      <c r="I1714" s="14" t="str">
        <f t="array" ref="I1714">IF(getRGB1(Weekly!H276)="FFFF00","초방","재방")</f>
        <v>초방</v>
      </c>
    </row>
    <row r="1715" spans="1:9" ht="11.25" customHeight="1" x14ac:dyDescent="0.3">
      <c r="A1715" s="10" t="str">
        <f t="shared" si="193"/>
        <v/>
      </c>
      <c r="B1715" s="11">
        <f>Weekly!$H$3</f>
        <v>45920</v>
      </c>
      <c r="C1715" s="12">
        <v>0.94791666666666696</v>
      </c>
      <c r="D1715" s="13">
        <f>Weekly!H277</f>
        <v>0</v>
      </c>
      <c r="E1715" s="13" t="str">
        <f t="shared" si="194"/>
        <v/>
      </c>
      <c r="F1715" s="13" t="str">
        <f t="shared" si="197"/>
        <v/>
      </c>
      <c r="G1715" s="13" t="str">
        <f t="shared" si="195"/>
        <v/>
      </c>
      <c r="H1715" s="13" t="str">
        <f t="shared" si="196"/>
        <v/>
      </c>
      <c r="I1715" s="14" t="str">
        <f t="array" ref="I1715">IF(getRGB1(Weekly!H277)="FFFF00","초방","재방")</f>
        <v>초방</v>
      </c>
    </row>
    <row r="1716" spans="1:9" ht="11.25" customHeight="1" x14ac:dyDescent="0.3">
      <c r="A1716" s="10" t="str">
        <f t="shared" si="193"/>
        <v/>
      </c>
      <c r="B1716" s="11">
        <f>Weekly!$H$3</f>
        <v>45920</v>
      </c>
      <c r="C1716" s="12">
        <v>0.95138888888888895</v>
      </c>
      <c r="D1716" s="13">
        <f>Weekly!H278</f>
        <v>0</v>
      </c>
      <c r="E1716" s="13" t="str">
        <f t="shared" si="194"/>
        <v/>
      </c>
      <c r="F1716" s="13" t="str">
        <f t="shared" si="197"/>
        <v/>
      </c>
      <c r="G1716" s="13" t="str">
        <f t="shared" si="195"/>
        <v/>
      </c>
      <c r="H1716" s="13" t="str">
        <f t="shared" si="196"/>
        <v/>
      </c>
      <c r="I1716" s="14" t="str">
        <f t="array" ref="I1716">IF(getRGB1(Weekly!H278)="FFFF00","초방","재방")</f>
        <v>초방</v>
      </c>
    </row>
    <row r="1717" spans="1:9" ht="11.25" customHeight="1" x14ac:dyDescent="0.3">
      <c r="A1717" s="10" t="str">
        <f t="shared" si="193"/>
        <v/>
      </c>
      <c r="B1717" s="11">
        <f>Weekly!$H$3</f>
        <v>45920</v>
      </c>
      <c r="C1717" s="12">
        <v>0.95486111111111105</v>
      </c>
      <c r="D1717" s="13">
        <f>Weekly!H279</f>
        <v>0</v>
      </c>
      <c r="E1717" s="13" t="str">
        <f t="shared" si="194"/>
        <v/>
      </c>
      <c r="F1717" s="13" t="str">
        <f t="shared" si="197"/>
        <v/>
      </c>
      <c r="G1717" s="13" t="str">
        <f t="shared" si="195"/>
        <v/>
      </c>
      <c r="H1717" s="13" t="str">
        <f t="shared" si="196"/>
        <v/>
      </c>
      <c r="I1717" s="14" t="str">
        <f t="array" ref="I1717">IF(getRGB1(Weekly!H279)="FFFF00","초방","재방")</f>
        <v>초방</v>
      </c>
    </row>
    <row r="1718" spans="1:9" ht="11.25" customHeight="1" x14ac:dyDescent="0.3">
      <c r="A1718" s="10" t="str">
        <f t="shared" si="193"/>
        <v/>
      </c>
      <c r="B1718" s="11">
        <f>Weekly!$H$3</f>
        <v>45920</v>
      </c>
      <c r="C1718" s="12">
        <v>0.95833333333333304</v>
      </c>
      <c r="D1718" s="13">
        <f>Weekly!H280</f>
        <v>0</v>
      </c>
      <c r="E1718" s="13" t="str">
        <f t="shared" si="194"/>
        <v/>
      </c>
      <c r="F1718" s="13" t="str">
        <f t="shared" si="197"/>
        <v/>
      </c>
      <c r="G1718" s="13" t="str">
        <f t="shared" si="195"/>
        <v/>
      </c>
      <c r="H1718" s="13" t="str">
        <f t="shared" si="196"/>
        <v/>
      </c>
      <c r="I1718" s="14" t="str">
        <f t="array" ref="I1718">IF(getRGB1(Weekly!H280)="FFFF00","초방","재방")</f>
        <v>초방</v>
      </c>
    </row>
    <row r="1719" spans="1:9" ht="11.25" customHeight="1" x14ac:dyDescent="0.3">
      <c r="A1719" s="10" t="str">
        <f t="shared" si="193"/>
        <v/>
      </c>
      <c r="B1719" s="11">
        <f>Weekly!$H$3</f>
        <v>45920</v>
      </c>
      <c r="C1719" s="12">
        <v>0.96180555555555503</v>
      </c>
      <c r="D1719" s="13">
        <f>Weekly!H281</f>
        <v>0</v>
      </c>
      <c r="E1719" s="13" t="str">
        <f t="shared" si="194"/>
        <v/>
      </c>
      <c r="F1719" s="13" t="str">
        <f t="shared" si="197"/>
        <v/>
      </c>
      <c r="G1719" s="13" t="str">
        <f t="shared" si="195"/>
        <v/>
      </c>
      <c r="H1719" s="13" t="str">
        <f t="shared" si="196"/>
        <v/>
      </c>
      <c r="I1719" s="14" t="str">
        <f t="array" ref="I1719">IF(getRGB1(Weekly!H281)="FFFF00","초방","재방")</f>
        <v>초방</v>
      </c>
    </row>
    <row r="1720" spans="1:9" ht="11.25" customHeight="1" x14ac:dyDescent="0.3">
      <c r="A1720" s="10" t="str">
        <f t="shared" si="193"/>
        <v/>
      </c>
      <c r="B1720" s="11">
        <f>Weekly!$H$3</f>
        <v>45920</v>
      </c>
      <c r="C1720" s="12">
        <v>0.96527777777777801</v>
      </c>
      <c r="D1720" s="13">
        <f>Weekly!H282</f>
        <v>0</v>
      </c>
      <c r="E1720" s="13" t="str">
        <f t="shared" si="194"/>
        <v/>
      </c>
      <c r="F1720" s="13" t="str">
        <f t="shared" si="197"/>
        <v/>
      </c>
      <c r="G1720" s="13" t="str">
        <f t="shared" si="195"/>
        <v/>
      </c>
      <c r="H1720" s="13" t="str">
        <f t="shared" si="196"/>
        <v/>
      </c>
      <c r="I1720" s="14" t="str">
        <f t="array" ref="I1720">IF(getRGB1(Weekly!H282)="FFFF00","초방","재방")</f>
        <v>초방</v>
      </c>
    </row>
    <row r="1721" spans="1:9" ht="11.25" customHeight="1" x14ac:dyDescent="0.3">
      <c r="A1721" s="10" t="str">
        <f t="shared" si="193"/>
        <v/>
      </c>
      <c r="B1721" s="11">
        <f>Weekly!$H$3</f>
        <v>45920</v>
      </c>
      <c r="C1721" s="12">
        <v>0.96875</v>
      </c>
      <c r="D1721" s="13">
        <f>Weekly!H283</f>
        <v>0</v>
      </c>
      <c r="E1721" s="13" t="str">
        <f t="shared" si="194"/>
        <v/>
      </c>
      <c r="F1721" s="13" t="str">
        <f t="shared" si="197"/>
        <v/>
      </c>
      <c r="G1721" s="13" t="str">
        <f t="shared" si="195"/>
        <v/>
      </c>
      <c r="H1721" s="13" t="str">
        <f t="shared" si="196"/>
        <v/>
      </c>
      <c r="I1721" s="14" t="str">
        <f t="array" ref="I1721">IF(getRGB1(Weekly!H283)="FFFF00","초방","재방")</f>
        <v>초방</v>
      </c>
    </row>
    <row r="1722" spans="1:9" ht="11.25" customHeight="1" x14ac:dyDescent="0.3">
      <c r="A1722" s="10" t="str">
        <f t="shared" si="193"/>
        <v/>
      </c>
      <c r="B1722" s="11">
        <f>Weekly!$H$3</f>
        <v>45920</v>
      </c>
      <c r="C1722" s="12">
        <v>0.97222222222222199</v>
      </c>
      <c r="D1722" s="13">
        <f>Weekly!H284</f>
        <v>0</v>
      </c>
      <c r="E1722" s="13" t="str">
        <f t="shared" si="194"/>
        <v/>
      </c>
      <c r="F1722" s="13" t="str">
        <f t="shared" si="197"/>
        <v/>
      </c>
      <c r="G1722" s="13" t="str">
        <f t="shared" si="195"/>
        <v/>
      </c>
      <c r="H1722" s="13" t="str">
        <f t="shared" si="196"/>
        <v/>
      </c>
      <c r="I1722" s="14" t="str">
        <f t="array" ref="I1722">IF(getRGB1(Weekly!H284)="FFFF00","초방","재방")</f>
        <v>초방</v>
      </c>
    </row>
    <row r="1723" spans="1:9" ht="11.25" customHeight="1" x14ac:dyDescent="0.3">
      <c r="A1723" s="10" t="str">
        <f t="shared" si="193"/>
        <v/>
      </c>
      <c r="B1723" s="11">
        <f>Weekly!$H$3</f>
        <v>45920</v>
      </c>
      <c r="C1723" s="12">
        <v>0.97569444444444398</v>
      </c>
      <c r="D1723" s="13">
        <f>Weekly!H285</f>
        <v>0</v>
      </c>
      <c r="E1723" s="13" t="str">
        <f t="shared" si="194"/>
        <v/>
      </c>
      <c r="F1723" s="13" t="str">
        <f t="shared" si="197"/>
        <v/>
      </c>
      <c r="G1723" s="13" t="str">
        <f t="shared" si="195"/>
        <v/>
      </c>
      <c r="H1723" s="13" t="str">
        <f t="shared" si="196"/>
        <v/>
      </c>
      <c r="I1723" s="14" t="str">
        <f t="array" ref="I1723">IF(getRGB1(Weekly!H285)="FFFF00","초방","재방")</f>
        <v>초방</v>
      </c>
    </row>
    <row r="1724" spans="1:9" ht="11.25" customHeight="1" x14ac:dyDescent="0.3">
      <c r="A1724" s="10" t="str">
        <f t="shared" si="193"/>
        <v/>
      </c>
      <c r="B1724" s="11">
        <f>Weekly!$H$3</f>
        <v>45920</v>
      </c>
      <c r="C1724" s="12">
        <v>0.97916666666666696</v>
      </c>
      <c r="D1724" s="13">
        <f>Weekly!H286</f>
        <v>0</v>
      </c>
      <c r="E1724" s="13" t="str">
        <f t="shared" si="194"/>
        <v/>
      </c>
      <c r="F1724" s="13" t="str">
        <f t="shared" si="197"/>
        <v/>
      </c>
      <c r="G1724" s="13" t="str">
        <f t="shared" si="195"/>
        <v/>
      </c>
      <c r="H1724" s="13" t="str">
        <f t="shared" si="196"/>
        <v/>
      </c>
      <c r="I1724" s="14" t="str">
        <f t="array" ref="I1724">IF(getRGB1(Weekly!H286)="FFFF00","초방","재방")</f>
        <v>초방</v>
      </c>
    </row>
    <row r="1725" spans="1:9" ht="11.25" customHeight="1" x14ac:dyDescent="0.3">
      <c r="A1725" s="10" t="str">
        <f t="shared" si="193"/>
        <v/>
      </c>
      <c r="B1725" s="11">
        <f>Weekly!$H$3</f>
        <v>45920</v>
      </c>
      <c r="C1725" s="12">
        <v>0.98263888888888895</v>
      </c>
      <c r="D1725" s="13">
        <f>Weekly!H287</f>
        <v>0</v>
      </c>
      <c r="E1725" s="13" t="str">
        <f t="shared" si="194"/>
        <v/>
      </c>
      <c r="F1725" s="13" t="str">
        <f t="shared" si="197"/>
        <v/>
      </c>
      <c r="G1725" s="13" t="str">
        <f t="shared" si="195"/>
        <v/>
      </c>
      <c r="H1725" s="13" t="str">
        <f t="shared" si="196"/>
        <v/>
      </c>
      <c r="I1725" s="14" t="str">
        <f t="array" ref="I1725">IF(getRGB1(Weekly!H287)="FFFF00","초방","재방")</f>
        <v>초방</v>
      </c>
    </row>
    <row r="1726" spans="1:9" ht="11.25" customHeight="1" x14ac:dyDescent="0.3">
      <c r="A1726" s="10" t="str">
        <f t="shared" si="193"/>
        <v/>
      </c>
      <c r="B1726" s="11">
        <f>Weekly!$H$3</f>
        <v>45920</v>
      </c>
      <c r="C1726" s="12">
        <v>0.98611111111111105</v>
      </c>
      <c r="D1726" s="13">
        <f>Weekly!H288</f>
        <v>0</v>
      </c>
      <c r="E1726" s="13" t="str">
        <f t="shared" si="194"/>
        <v/>
      </c>
      <c r="F1726" s="13" t="str">
        <f t="shared" si="197"/>
        <v/>
      </c>
      <c r="G1726" s="13" t="str">
        <f t="shared" si="195"/>
        <v/>
      </c>
      <c r="H1726" s="13" t="str">
        <f t="shared" si="196"/>
        <v/>
      </c>
      <c r="I1726" s="14" t="str">
        <f t="array" ref="I1726">IF(getRGB1(Weekly!H288)="FFFF00","초방","재방")</f>
        <v>초방</v>
      </c>
    </row>
    <row r="1727" spans="1:9" ht="11.25" customHeight="1" x14ac:dyDescent="0.3">
      <c r="A1727" s="10" t="str">
        <f t="shared" si="193"/>
        <v/>
      </c>
      <c r="B1727" s="11">
        <f>Weekly!$H$3</f>
        <v>45920</v>
      </c>
      <c r="C1727" s="12">
        <v>0.98958333333333304</v>
      </c>
      <c r="D1727" s="13">
        <f>Weekly!H289</f>
        <v>0</v>
      </c>
      <c r="E1727" s="13" t="str">
        <f t="shared" si="194"/>
        <v/>
      </c>
      <c r="F1727" s="13" t="str">
        <f t="shared" si="197"/>
        <v/>
      </c>
      <c r="G1727" s="13" t="str">
        <f t="shared" si="195"/>
        <v/>
      </c>
      <c r="H1727" s="13" t="str">
        <f t="shared" si="196"/>
        <v/>
      </c>
      <c r="I1727" s="14" t="str">
        <f t="array" ref="I1727">IF(getRGB1(Weekly!H289)="FFFF00","초방","재방")</f>
        <v>초방</v>
      </c>
    </row>
    <row r="1728" spans="1:9" ht="11.25" customHeight="1" x14ac:dyDescent="0.3">
      <c r="A1728" s="10" t="str">
        <f t="shared" si="193"/>
        <v/>
      </c>
      <c r="B1728" s="11">
        <f>Weekly!$H$3</f>
        <v>45920</v>
      </c>
      <c r="C1728" s="12">
        <v>0.99305555555555503</v>
      </c>
      <c r="D1728" s="13">
        <f>Weekly!H290</f>
        <v>0</v>
      </c>
      <c r="E1728" s="13" t="str">
        <f t="shared" si="194"/>
        <v/>
      </c>
      <c r="F1728" s="13" t="str">
        <f t="shared" si="197"/>
        <v/>
      </c>
      <c r="G1728" s="13" t="str">
        <f t="shared" si="195"/>
        <v/>
      </c>
      <c r="H1728" s="13" t="str">
        <f t="shared" si="196"/>
        <v/>
      </c>
      <c r="I1728" s="14" t="str">
        <f t="array" ref="I1728">IF(getRGB1(Weekly!H290)="FFFF00","초방","재방")</f>
        <v>초방</v>
      </c>
    </row>
    <row r="1729" spans="1:9" ht="11.25" customHeight="1" x14ac:dyDescent="0.3">
      <c r="A1729" s="10" t="str">
        <f t="shared" si="193"/>
        <v/>
      </c>
      <c r="B1729" s="11">
        <f>Weekly!$H$3</f>
        <v>45920</v>
      </c>
      <c r="C1729" s="12">
        <v>0.99652777777777801</v>
      </c>
      <c r="D1729" s="13">
        <f>Weekly!H291</f>
        <v>0</v>
      </c>
      <c r="E1729" s="13" t="str">
        <f t="shared" si="194"/>
        <v/>
      </c>
      <c r="F1729" s="13" t="str">
        <f t="shared" si="197"/>
        <v/>
      </c>
      <c r="G1729" s="13" t="str">
        <f t="shared" si="195"/>
        <v/>
      </c>
      <c r="H1729" s="13" t="str">
        <f t="shared" si="196"/>
        <v/>
      </c>
      <c r="I1729" s="14" t="str">
        <f t="array" ref="I1729">IF(getRGB1(Weekly!H291)="FFFF00","초방","재방")</f>
        <v>초방</v>
      </c>
    </row>
    <row r="1730" spans="1:9" ht="11.25" customHeight="1" x14ac:dyDescent="0.3">
      <c r="A1730" s="10">
        <f t="shared" ref="A1730:A1793" si="198">IF(D1730&lt;&gt;0,B1730+C1730,"")</f>
        <v>45921</v>
      </c>
      <c r="B1730" s="11">
        <f>Weekly!$I$3</f>
        <v>45921</v>
      </c>
      <c r="C1730" s="12">
        <v>0</v>
      </c>
      <c r="D1730" s="13" t="str">
        <f>Weekly!I4</f>
        <v>특집 2026 지방선거_경기도의회 생생중계_본회의
&lt;04</v>
      </c>
      <c r="E1730" s="13" t="str">
        <f t="shared" ref="E1730:E1793" si="199">IFERROR(SUBSTITUTE(SUBSTITUTE(TRIM(LEFT(D1730,FIND("&lt;",D1730)-1)),CHAR(10),""),"⑮ ",""),"")</f>
        <v>특집 2026 지방선거_경기도의회 생생중계_본회의</v>
      </c>
      <c r="F1730" s="13">
        <f t="shared" si="197"/>
        <v>4</v>
      </c>
      <c r="G1730" s="13" t="str">
        <f t="shared" ref="G1730:G1793" si="200">IFERROR(MID(D1730,FIND("&gt;",D1730)+1,10),"")</f>
        <v/>
      </c>
      <c r="H1730" s="13" t="str">
        <f t="shared" ref="H1730:H1793" si="201">IFERROR(VLOOKUP(LEFT(D1730,2),$W$1:$X$6,2,0),"")</f>
        <v/>
      </c>
      <c r="I1730" s="14" t="e">
        <f t="array" aca="1" ref="I1730" ca="1">IF(getRGB1(Weekly!I4)="FFFF00","초방","재방")</f>
        <v>#NAME?</v>
      </c>
    </row>
    <row r="1731" spans="1:9" ht="11.25" customHeight="1" x14ac:dyDescent="0.3">
      <c r="A1731" s="10" t="str">
        <f t="shared" si="198"/>
        <v/>
      </c>
      <c r="B1731" s="11">
        <f>Weekly!$I$3</f>
        <v>45921</v>
      </c>
      <c r="C1731" s="12">
        <v>3.472222222222222E-3</v>
      </c>
      <c r="D1731" s="13">
        <f>Weekly!I5</f>
        <v>0</v>
      </c>
      <c r="E1731" s="13" t="str">
        <f t="shared" si="199"/>
        <v/>
      </c>
      <c r="F1731" s="13" t="str">
        <f t="shared" ref="F1731:F1794" si="202">IFERROR((MID(D1731,FIND("&lt;",D1731)+1,4))*1,"")</f>
        <v/>
      </c>
      <c r="G1731" s="13" t="str">
        <f t="shared" si="200"/>
        <v/>
      </c>
      <c r="H1731" s="13" t="str">
        <f t="shared" si="201"/>
        <v/>
      </c>
      <c r="I1731" s="14" t="e">
        <f t="array" aca="1" ref="I1731" ca="1">IF(getRGB1(Weekly!I5)="FFFF00","초방","재방")</f>
        <v>#NAME?</v>
      </c>
    </row>
    <row r="1732" spans="1:9" ht="11.25" customHeight="1" x14ac:dyDescent="0.3">
      <c r="A1732" s="10" t="str">
        <f t="shared" si="198"/>
        <v/>
      </c>
      <c r="B1732" s="11">
        <f>Weekly!$I$3</f>
        <v>45921</v>
      </c>
      <c r="C1732" s="12">
        <v>6.9444444444444397E-3</v>
      </c>
      <c r="D1732" s="13">
        <f>Weekly!I6</f>
        <v>0</v>
      </c>
      <c r="E1732" s="13" t="str">
        <f t="shared" si="199"/>
        <v/>
      </c>
      <c r="F1732" s="13" t="str">
        <f t="shared" si="202"/>
        <v/>
      </c>
      <c r="G1732" s="13" t="str">
        <f t="shared" si="200"/>
        <v/>
      </c>
      <c r="H1732" s="13" t="str">
        <f t="shared" si="201"/>
        <v/>
      </c>
      <c r="I1732" s="14" t="e">
        <f t="array" aca="1" ref="I1732" ca="1">IF(getRGB1(Weekly!I6)="FFFF00","초방","재방")</f>
        <v>#NAME?</v>
      </c>
    </row>
    <row r="1733" spans="1:9" ht="11.25" customHeight="1" x14ac:dyDescent="0.3">
      <c r="A1733" s="10" t="str">
        <f t="shared" si="198"/>
        <v/>
      </c>
      <c r="B1733" s="11">
        <f>Weekly!$I$3</f>
        <v>45921</v>
      </c>
      <c r="C1733" s="12">
        <v>1.0416666666666701E-2</v>
      </c>
      <c r="D1733" s="13">
        <f>Weekly!I7</f>
        <v>0</v>
      </c>
      <c r="E1733" s="13" t="str">
        <f t="shared" si="199"/>
        <v/>
      </c>
      <c r="F1733" s="13" t="str">
        <f t="shared" si="202"/>
        <v/>
      </c>
      <c r="G1733" s="13" t="str">
        <f t="shared" si="200"/>
        <v/>
      </c>
      <c r="H1733" s="13" t="str">
        <f t="shared" si="201"/>
        <v/>
      </c>
      <c r="I1733" s="14" t="e">
        <f t="array" aca="1" ref="I1733" ca="1">IF(getRGB1(Weekly!I7)="FFFF00","초방","재방")</f>
        <v>#NAME?</v>
      </c>
    </row>
    <row r="1734" spans="1:9" ht="11.25" customHeight="1" x14ac:dyDescent="0.3">
      <c r="A1734" s="10" t="str">
        <f t="shared" si="198"/>
        <v/>
      </c>
      <c r="B1734" s="11">
        <f>Weekly!$I$3</f>
        <v>45921</v>
      </c>
      <c r="C1734" s="12">
        <v>1.38888888888889E-2</v>
      </c>
      <c r="D1734" s="13">
        <f>Weekly!I8</f>
        <v>0</v>
      </c>
      <c r="E1734" s="13" t="str">
        <f t="shared" si="199"/>
        <v/>
      </c>
      <c r="F1734" s="13" t="str">
        <f t="shared" si="202"/>
        <v/>
      </c>
      <c r="G1734" s="13" t="str">
        <f t="shared" si="200"/>
        <v/>
      </c>
      <c r="H1734" s="13" t="str">
        <f t="shared" si="201"/>
        <v/>
      </c>
      <c r="I1734" s="14" t="e">
        <f t="array" aca="1" ref="I1734" ca="1">IF(getRGB1(Weekly!I8)="FFFF00","초방","재방")</f>
        <v>#NAME?</v>
      </c>
    </row>
    <row r="1735" spans="1:9" ht="11.25" customHeight="1" x14ac:dyDescent="0.3">
      <c r="A1735" s="10" t="str">
        <f t="shared" si="198"/>
        <v/>
      </c>
      <c r="B1735" s="11">
        <f>Weekly!$I$3</f>
        <v>45921</v>
      </c>
      <c r="C1735" s="12">
        <v>1.7361111111111101E-2</v>
      </c>
      <c r="D1735" s="13">
        <f>Weekly!I9</f>
        <v>0</v>
      </c>
      <c r="E1735" s="13" t="str">
        <f t="shared" si="199"/>
        <v/>
      </c>
      <c r="F1735" s="13" t="str">
        <f t="shared" si="202"/>
        <v/>
      </c>
      <c r="G1735" s="13" t="str">
        <f t="shared" si="200"/>
        <v/>
      </c>
      <c r="H1735" s="13" t="str">
        <f t="shared" si="201"/>
        <v/>
      </c>
      <c r="I1735" s="14" t="e">
        <f t="array" aca="1" ref="I1735" ca="1">IF(getRGB1(Weekly!I9)="FFFF00","초방","재방")</f>
        <v>#NAME?</v>
      </c>
    </row>
    <row r="1736" spans="1:9" ht="11.25" customHeight="1" x14ac:dyDescent="0.3">
      <c r="A1736" s="10" t="str">
        <f t="shared" si="198"/>
        <v/>
      </c>
      <c r="B1736" s="11">
        <f>Weekly!$I$3</f>
        <v>45921</v>
      </c>
      <c r="C1736" s="12">
        <v>2.0833333333333301E-2</v>
      </c>
      <c r="D1736" s="13">
        <f>Weekly!I10</f>
        <v>0</v>
      </c>
      <c r="E1736" s="13" t="str">
        <f t="shared" si="199"/>
        <v/>
      </c>
      <c r="F1736" s="13" t="str">
        <f t="shared" si="202"/>
        <v/>
      </c>
      <c r="G1736" s="13" t="str">
        <f t="shared" si="200"/>
        <v/>
      </c>
      <c r="H1736" s="13" t="str">
        <f t="shared" si="201"/>
        <v/>
      </c>
      <c r="I1736" s="14" t="e">
        <f t="array" aca="1" ref="I1736" ca="1">IF(getRGB1(Weekly!I10)="FFFF00","초방","재방")</f>
        <v>#NAME?</v>
      </c>
    </row>
    <row r="1737" spans="1:9" ht="11.25" customHeight="1" x14ac:dyDescent="0.3">
      <c r="A1737" s="10" t="str">
        <f t="shared" si="198"/>
        <v/>
      </c>
      <c r="B1737" s="11">
        <f>Weekly!$I$3</f>
        <v>45921</v>
      </c>
      <c r="C1737" s="12">
        <v>2.4305555555555601E-2</v>
      </c>
      <c r="D1737" s="13">
        <f>Weekly!I11</f>
        <v>0</v>
      </c>
      <c r="E1737" s="13" t="str">
        <f t="shared" si="199"/>
        <v/>
      </c>
      <c r="F1737" s="13" t="str">
        <f t="shared" si="202"/>
        <v/>
      </c>
      <c r="G1737" s="13" t="str">
        <f t="shared" si="200"/>
        <v/>
      </c>
      <c r="H1737" s="13" t="str">
        <f t="shared" si="201"/>
        <v/>
      </c>
      <c r="I1737" s="14" t="e">
        <f t="array" aca="1" ref="I1737" ca="1">IF(getRGB1(Weekly!I11)="FFFF00","초방","재방")</f>
        <v>#NAME?</v>
      </c>
    </row>
    <row r="1738" spans="1:9" ht="11.25" customHeight="1" x14ac:dyDescent="0.3">
      <c r="A1738" s="10" t="str">
        <f t="shared" si="198"/>
        <v/>
      </c>
      <c r="B1738" s="11">
        <f>Weekly!$I$3</f>
        <v>45921</v>
      </c>
      <c r="C1738" s="12">
        <v>2.7777777777777801E-2</v>
      </c>
      <c r="D1738" s="13">
        <f>Weekly!I12</f>
        <v>0</v>
      </c>
      <c r="E1738" s="13" t="str">
        <f t="shared" si="199"/>
        <v/>
      </c>
      <c r="F1738" s="13" t="str">
        <f t="shared" si="202"/>
        <v/>
      </c>
      <c r="G1738" s="13" t="str">
        <f t="shared" si="200"/>
        <v/>
      </c>
      <c r="H1738" s="13" t="str">
        <f t="shared" si="201"/>
        <v/>
      </c>
      <c r="I1738" s="14" t="e">
        <f t="array" aca="1" ref="I1738" ca="1">IF(getRGB1(Weekly!I12)="FFFF00","초방","재방")</f>
        <v>#NAME?</v>
      </c>
    </row>
    <row r="1739" spans="1:9" ht="11.25" customHeight="1" x14ac:dyDescent="0.3">
      <c r="A1739" s="10" t="str">
        <f t="shared" si="198"/>
        <v/>
      </c>
      <c r="B1739" s="11">
        <f>Weekly!$I$3</f>
        <v>45921</v>
      </c>
      <c r="C1739" s="12">
        <v>3.125E-2</v>
      </c>
      <c r="D1739" s="13">
        <f>Weekly!I13</f>
        <v>0</v>
      </c>
      <c r="E1739" s="13" t="str">
        <f t="shared" si="199"/>
        <v/>
      </c>
      <c r="F1739" s="13" t="str">
        <f t="shared" si="202"/>
        <v/>
      </c>
      <c r="G1739" s="13" t="str">
        <f t="shared" si="200"/>
        <v/>
      </c>
      <c r="H1739" s="13" t="str">
        <f t="shared" si="201"/>
        <v/>
      </c>
      <c r="I1739" s="14" t="e">
        <f t="array" aca="1" ref="I1739" ca="1">IF(getRGB1(Weekly!I13)="FFFF00","초방","재방")</f>
        <v>#NAME?</v>
      </c>
    </row>
    <row r="1740" spans="1:9" ht="11.25" customHeight="1" x14ac:dyDescent="0.3">
      <c r="A1740" s="10" t="str">
        <f t="shared" si="198"/>
        <v/>
      </c>
      <c r="B1740" s="11">
        <f>Weekly!$I$3</f>
        <v>45921</v>
      </c>
      <c r="C1740" s="12">
        <v>3.4722222222222203E-2</v>
      </c>
      <c r="D1740" s="13">
        <f>Weekly!I14</f>
        <v>0</v>
      </c>
      <c r="E1740" s="13" t="str">
        <f t="shared" si="199"/>
        <v/>
      </c>
      <c r="F1740" s="13" t="str">
        <f t="shared" si="202"/>
        <v/>
      </c>
      <c r="G1740" s="13" t="str">
        <f t="shared" si="200"/>
        <v/>
      </c>
      <c r="H1740" s="13" t="str">
        <f t="shared" si="201"/>
        <v/>
      </c>
      <c r="I1740" s="14" t="e">
        <f t="array" aca="1" ref="I1740" ca="1">IF(getRGB1(Weekly!I14)="FFFF00","초방","재방")</f>
        <v>#NAME?</v>
      </c>
    </row>
    <row r="1741" spans="1:9" ht="11.25" customHeight="1" x14ac:dyDescent="0.3">
      <c r="A1741" s="10" t="str">
        <f t="shared" si="198"/>
        <v/>
      </c>
      <c r="B1741" s="11">
        <f>Weekly!$I$3</f>
        <v>45921</v>
      </c>
      <c r="C1741" s="12">
        <v>3.8194444444444399E-2</v>
      </c>
      <c r="D1741" s="13">
        <f>Weekly!I15</f>
        <v>0</v>
      </c>
      <c r="E1741" s="13" t="str">
        <f t="shared" si="199"/>
        <v/>
      </c>
      <c r="F1741" s="13" t="str">
        <f t="shared" si="202"/>
        <v/>
      </c>
      <c r="G1741" s="13" t="str">
        <f t="shared" si="200"/>
        <v/>
      </c>
      <c r="H1741" s="13" t="str">
        <f t="shared" si="201"/>
        <v/>
      </c>
      <c r="I1741" s="14" t="e">
        <f t="array" aca="1" ref="I1741" ca="1">IF(getRGB1(Weekly!I15)="FFFF00","초방","재방")</f>
        <v>#NAME?</v>
      </c>
    </row>
    <row r="1742" spans="1:9" ht="11.25" customHeight="1" x14ac:dyDescent="0.3">
      <c r="A1742" s="10">
        <f t="shared" si="198"/>
        <v>45921.041666666664</v>
      </c>
      <c r="B1742" s="11">
        <f>Weekly!$I$3</f>
        <v>45921</v>
      </c>
      <c r="C1742" s="12">
        <v>4.1666666666666699E-2</v>
      </c>
      <c r="D1742" s="13" t="str">
        <f>Weekly!I16</f>
        <v>특집 2026 지방선거_경기도의회 생생중계_상임위
&lt;04</v>
      </c>
      <c r="E1742" s="13" t="str">
        <f t="shared" si="199"/>
        <v>특집 2026 지방선거_경기도의회 생생중계_상임위</v>
      </c>
      <c r="F1742" s="13">
        <f t="shared" si="202"/>
        <v>4</v>
      </c>
      <c r="G1742" s="13" t="str">
        <f t="shared" si="200"/>
        <v/>
      </c>
      <c r="H1742" s="13" t="str">
        <f t="shared" si="201"/>
        <v/>
      </c>
      <c r="I1742" s="14" t="e">
        <f t="array" aca="1" ref="I1742" ca="1">IF(getRGB1(Weekly!I16)="FFFF00","초방","재방")</f>
        <v>#NAME?</v>
      </c>
    </row>
    <row r="1743" spans="1:9" ht="11.25" customHeight="1" x14ac:dyDescent="0.3">
      <c r="A1743" s="10" t="str">
        <f t="shared" si="198"/>
        <v/>
      </c>
      <c r="B1743" s="11">
        <f>Weekly!$I$3</f>
        <v>45921</v>
      </c>
      <c r="C1743" s="12">
        <v>4.5138888888888902E-2</v>
      </c>
      <c r="D1743" s="13">
        <f>Weekly!I17</f>
        <v>0</v>
      </c>
      <c r="E1743" s="13" t="str">
        <f t="shared" si="199"/>
        <v/>
      </c>
      <c r="F1743" s="13" t="str">
        <f t="shared" si="202"/>
        <v/>
      </c>
      <c r="G1743" s="13" t="str">
        <f t="shared" si="200"/>
        <v/>
      </c>
      <c r="H1743" s="13" t="str">
        <f t="shared" si="201"/>
        <v/>
      </c>
      <c r="I1743" s="14" t="e">
        <f t="array" aca="1" ref="I1743" ca="1">IF(getRGB1(Weekly!I17)="FFFF00","초방","재방")</f>
        <v>#NAME?</v>
      </c>
    </row>
    <row r="1744" spans="1:9" ht="11.25" customHeight="1" x14ac:dyDescent="0.3">
      <c r="A1744" s="10" t="str">
        <f t="shared" si="198"/>
        <v/>
      </c>
      <c r="B1744" s="11">
        <f>Weekly!$I$3</f>
        <v>45921</v>
      </c>
      <c r="C1744" s="12">
        <v>4.8611111111111098E-2</v>
      </c>
      <c r="D1744" s="13">
        <f>Weekly!I18</f>
        <v>0</v>
      </c>
      <c r="E1744" s="13" t="str">
        <f t="shared" si="199"/>
        <v/>
      </c>
      <c r="F1744" s="13" t="str">
        <f t="shared" si="202"/>
        <v/>
      </c>
      <c r="G1744" s="13" t="str">
        <f t="shared" si="200"/>
        <v/>
      </c>
      <c r="H1744" s="13" t="str">
        <f t="shared" si="201"/>
        <v/>
      </c>
      <c r="I1744" s="14" t="e">
        <f t="array" aca="1" ref="I1744" ca="1">IF(getRGB1(Weekly!I18)="FFFF00","초방","재방")</f>
        <v>#NAME?</v>
      </c>
    </row>
    <row r="1745" spans="1:9" ht="11.25" customHeight="1" x14ac:dyDescent="0.3">
      <c r="A1745" s="10" t="str">
        <f t="shared" si="198"/>
        <v/>
      </c>
      <c r="B1745" s="11">
        <f>Weekly!$I$3</f>
        <v>45921</v>
      </c>
      <c r="C1745" s="12">
        <v>5.2083333333333301E-2</v>
      </c>
      <c r="D1745" s="13">
        <f>Weekly!I19</f>
        <v>0</v>
      </c>
      <c r="E1745" s="13" t="str">
        <f t="shared" si="199"/>
        <v/>
      </c>
      <c r="F1745" s="13" t="str">
        <f t="shared" si="202"/>
        <v/>
      </c>
      <c r="G1745" s="13" t="str">
        <f t="shared" si="200"/>
        <v/>
      </c>
      <c r="H1745" s="13" t="str">
        <f t="shared" si="201"/>
        <v/>
      </c>
      <c r="I1745" s="14" t="e">
        <f t="array" aca="1" ref="I1745" ca="1">IF(getRGB1(Weekly!I19)="FFFF00","초방","재방")</f>
        <v>#NAME?</v>
      </c>
    </row>
    <row r="1746" spans="1:9" ht="11.25" customHeight="1" x14ac:dyDescent="0.3">
      <c r="A1746" s="10" t="str">
        <f t="shared" si="198"/>
        <v/>
      </c>
      <c r="B1746" s="11">
        <f>Weekly!$I$3</f>
        <v>45921</v>
      </c>
      <c r="C1746" s="12">
        <v>5.5555555555555601E-2</v>
      </c>
      <c r="D1746" s="13">
        <f>Weekly!I20</f>
        <v>0</v>
      </c>
      <c r="E1746" s="13" t="str">
        <f t="shared" si="199"/>
        <v/>
      </c>
      <c r="F1746" s="13" t="str">
        <f t="shared" si="202"/>
        <v/>
      </c>
      <c r="G1746" s="13" t="str">
        <f t="shared" si="200"/>
        <v/>
      </c>
      <c r="H1746" s="13" t="str">
        <f t="shared" si="201"/>
        <v/>
      </c>
      <c r="I1746" s="14" t="e">
        <f t="array" aca="1" ref="I1746" ca="1">IF(getRGB1(Weekly!I20)="FFFF00","초방","재방")</f>
        <v>#NAME?</v>
      </c>
    </row>
    <row r="1747" spans="1:9" ht="11.25" customHeight="1" x14ac:dyDescent="0.3">
      <c r="A1747" s="10" t="str">
        <f t="shared" si="198"/>
        <v/>
      </c>
      <c r="B1747" s="11">
        <f>Weekly!$I$3</f>
        <v>45921</v>
      </c>
      <c r="C1747" s="12">
        <v>5.9027777777777797E-2</v>
      </c>
      <c r="D1747" s="13">
        <f>Weekly!I21</f>
        <v>0</v>
      </c>
      <c r="E1747" s="13" t="str">
        <f t="shared" si="199"/>
        <v/>
      </c>
      <c r="F1747" s="13" t="str">
        <f t="shared" si="202"/>
        <v/>
      </c>
      <c r="G1747" s="13" t="str">
        <f t="shared" si="200"/>
        <v/>
      </c>
      <c r="H1747" s="13" t="str">
        <f t="shared" si="201"/>
        <v/>
      </c>
      <c r="I1747" s="14" t="e">
        <f t="array" aca="1" ref="I1747" ca="1">IF(getRGB1(Weekly!I21)="FFFF00","초방","재방")</f>
        <v>#NAME?</v>
      </c>
    </row>
    <row r="1748" spans="1:9" ht="11.25" customHeight="1" x14ac:dyDescent="0.3">
      <c r="A1748" s="10" t="str">
        <f t="shared" si="198"/>
        <v/>
      </c>
      <c r="B1748" s="11">
        <f>Weekly!$I$3</f>
        <v>45921</v>
      </c>
      <c r="C1748" s="12">
        <v>6.25E-2</v>
      </c>
      <c r="D1748" s="13">
        <f>Weekly!I22</f>
        <v>0</v>
      </c>
      <c r="E1748" s="13" t="str">
        <f t="shared" si="199"/>
        <v/>
      </c>
      <c r="F1748" s="13" t="str">
        <f t="shared" si="202"/>
        <v/>
      </c>
      <c r="G1748" s="13" t="str">
        <f t="shared" si="200"/>
        <v/>
      </c>
      <c r="H1748" s="13" t="str">
        <f t="shared" si="201"/>
        <v/>
      </c>
      <c r="I1748" s="14" t="e">
        <f t="array" aca="1" ref="I1748" ca="1">IF(getRGB1(Weekly!I22)="FFFF00","초방","재방")</f>
        <v>#NAME?</v>
      </c>
    </row>
    <row r="1749" spans="1:9" ht="11.25" customHeight="1" x14ac:dyDescent="0.3">
      <c r="A1749" s="10" t="str">
        <f t="shared" si="198"/>
        <v/>
      </c>
      <c r="B1749" s="11">
        <f>Weekly!$I$3</f>
        <v>45921</v>
      </c>
      <c r="C1749" s="12">
        <v>6.5972222222222196E-2</v>
      </c>
      <c r="D1749" s="13">
        <f>Weekly!I23</f>
        <v>0</v>
      </c>
      <c r="E1749" s="13" t="str">
        <f t="shared" si="199"/>
        <v/>
      </c>
      <c r="F1749" s="13" t="str">
        <f t="shared" si="202"/>
        <v/>
      </c>
      <c r="G1749" s="13" t="str">
        <f t="shared" si="200"/>
        <v/>
      </c>
      <c r="H1749" s="13" t="str">
        <f t="shared" si="201"/>
        <v/>
      </c>
      <c r="I1749" s="14" t="e">
        <f t="array" aca="1" ref="I1749" ca="1">IF(getRGB1(Weekly!I23)="FFFF00","초방","재방")</f>
        <v>#NAME?</v>
      </c>
    </row>
    <row r="1750" spans="1:9" ht="11.25" customHeight="1" x14ac:dyDescent="0.3">
      <c r="A1750" s="10" t="str">
        <f t="shared" si="198"/>
        <v/>
      </c>
      <c r="B1750" s="11">
        <f>Weekly!$I$3</f>
        <v>45921</v>
      </c>
      <c r="C1750" s="12">
        <v>6.9444444444444406E-2</v>
      </c>
      <c r="D1750" s="13">
        <f>Weekly!I24</f>
        <v>0</v>
      </c>
      <c r="E1750" s="13" t="str">
        <f t="shared" si="199"/>
        <v/>
      </c>
      <c r="F1750" s="13" t="str">
        <f t="shared" si="202"/>
        <v/>
      </c>
      <c r="G1750" s="13" t="str">
        <f t="shared" si="200"/>
        <v/>
      </c>
      <c r="H1750" s="13" t="str">
        <f t="shared" si="201"/>
        <v/>
      </c>
      <c r="I1750" s="14" t="e">
        <f t="array" aca="1" ref="I1750" ca="1">IF(getRGB1(Weekly!I24)="FFFF00","초방","재방")</f>
        <v>#NAME?</v>
      </c>
    </row>
    <row r="1751" spans="1:9" ht="11.25" customHeight="1" x14ac:dyDescent="0.3">
      <c r="A1751" s="10" t="str">
        <f t="shared" si="198"/>
        <v/>
      </c>
      <c r="B1751" s="11">
        <f>Weekly!$I$3</f>
        <v>45921</v>
      </c>
      <c r="C1751" s="12">
        <v>7.2916666666666699E-2</v>
      </c>
      <c r="D1751" s="13">
        <f>Weekly!I25</f>
        <v>0</v>
      </c>
      <c r="E1751" s="13" t="str">
        <f t="shared" si="199"/>
        <v/>
      </c>
      <c r="F1751" s="13" t="str">
        <f t="shared" si="202"/>
        <v/>
      </c>
      <c r="G1751" s="13" t="str">
        <f t="shared" si="200"/>
        <v/>
      </c>
      <c r="H1751" s="13" t="str">
        <f t="shared" si="201"/>
        <v/>
      </c>
      <c r="I1751" s="14" t="e">
        <f t="array" aca="1" ref="I1751" ca="1">IF(getRGB1(Weekly!I25)="FFFF00","초방","재방")</f>
        <v>#NAME?</v>
      </c>
    </row>
    <row r="1752" spans="1:9" ht="11.25" customHeight="1" x14ac:dyDescent="0.3">
      <c r="A1752" s="10" t="str">
        <f t="shared" si="198"/>
        <v/>
      </c>
      <c r="B1752" s="11">
        <f>Weekly!$I$3</f>
        <v>45921</v>
      </c>
      <c r="C1752" s="12">
        <v>7.6388888888888895E-2</v>
      </c>
      <c r="D1752" s="13">
        <f>Weekly!I26</f>
        <v>0</v>
      </c>
      <c r="E1752" s="13" t="str">
        <f t="shared" si="199"/>
        <v/>
      </c>
      <c r="F1752" s="13" t="str">
        <f t="shared" si="202"/>
        <v/>
      </c>
      <c r="G1752" s="13" t="str">
        <f t="shared" si="200"/>
        <v/>
      </c>
      <c r="H1752" s="13" t="str">
        <f t="shared" si="201"/>
        <v/>
      </c>
      <c r="I1752" s="14" t="e">
        <f t="array" aca="1" ref="I1752" ca="1">IF(getRGB1(Weekly!I26)="FFFF00","초방","재방")</f>
        <v>#NAME?</v>
      </c>
    </row>
    <row r="1753" spans="1:9" ht="11.25" customHeight="1" x14ac:dyDescent="0.3">
      <c r="A1753" s="10" t="str">
        <f t="shared" si="198"/>
        <v/>
      </c>
      <c r="B1753" s="11">
        <f>Weekly!$I$3</f>
        <v>45921</v>
      </c>
      <c r="C1753" s="12">
        <v>7.9861111111111105E-2</v>
      </c>
      <c r="D1753" s="13">
        <f>Weekly!I27</f>
        <v>0</v>
      </c>
      <c r="E1753" s="13" t="str">
        <f t="shared" si="199"/>
        <v/>
      </c>
      <c r="F1753" s="13" t="str">
        <f t="shared" si="202"/>
        <v/>
      </c>
      <c r="G1753" s="13" t="str">
        <f t="shared" si="200"/>
        <v/>
      </c>
      <c r="H1753" s="13" t="str">
        <f t="shared" si="201"/>
        <v/>
      </c>
      <c r="I1753" s="14" t="e">
        <f t="array" aca="1" ref="I1753" ca="1">IF(getRGB1(Weekly!I27)="FFFF00","초방","재방")</f>
        <v>#NAME?</v>
      </c>
    </row>
    <row r="1754" spans="1:9" ht="11.25" customHeight="1" x14ac:dyDescent="0.3">
      <c r="A1754" s="10">
        <f t="shared" si="198"/>
        <v>45921.083333333336</v>
      </c>
      <c r="B1754" s="11">
        <f>Weekly!$I$3</f>
        <v>45921</v>
      </c>
      <c r="C1754" s="12">
        <v>8.3333333333333301E-2</v>
      </c>
      <c r="D1754" s="13" t="str">
        <f>Weekly!I28</f>
        <v>휴먼다큐 시장사람들
&lt;21</v>
      </c>
      <c r="E1754" s="13" t="str">
        <f t="shared" si="199"/>
        <v>휴먼다큐 시장사람들</v>
      </c>
      <c r="F1754" s="13">
        <f t="shared" si="202"/>
        <v>21</v>
      </c>
      <c r="G1754" s="13" t="str">
        <f t="shared" si="200"/>
        <v/>
      </c>
      <c r="H1754" s="13" t="str">
        <f t="shared" si="201"/>
        <v/>
      </c>
      <c r="I1754" s="14" t="str">
        <f t="array" ref="I1754">IF(getRGB1(Weekly!I28)="FFFF00","초방","재방")</f>
        <v>재방</v>
      </c>
    </row>
    <row r="1755" spans="1:9" ht="11.25" customHeight="1" x14ac:dyDescent="0.3">
      <c r="A1755" s="10" t="str">
        <f t="shared" si="198"/>
        <v/>
      </c>
      <c r="B1755" s="11">
        <f>Weekly!$I$3</f>
        <v>45921</v>
      </c>
      <c r="C1755" s="12">
        <v>8.6805555555555594E-2</v>
      </c>
      <c r="D1755" s="13">
        <f>Weekly!I29</f>
        <v>0</v>
      </c>
      <c r="E1755" s="13" t="str">
        <f t="shared" si="199"/>
        <v/>
      </c>
      <c r="F1755" s="13" t="str">
        <f t="shared" si="202"/>
        <v/>
      </c>
      <c r="G1755" s="13" t="str">
        <f t="shared" si="200"/>
        <v/>
      </c>
      <c r="H1755" s="13" t="str">
        <f t="shared" si="201"/>
        <v/>
      </c>
      <c r="I1755" s="14" t="str">
        <f t="array" ref="I1755">IF(getRGB1(Weekly!I29)="FFFF00","초방","재방")</f>
        <v>재방</v>
      </c>
    </row>
    <row r="1756" spans="1:9" ht="11.25" customHeight="1" x14ac:dyDescent="0.3">
      <c r="A1756" s="10" t="str">
        <f t="shared" si="198"/>
        <v/>
      </c>
      <c r="B1756" s="11">
        <f>Weekly!$I$3</f>
        <v>45921</v>
      </c>
      <c r="C1756" s="12">
        <v>9.0277777777777804E-2</v>
      </c>
      <c r="D1756" s="13">
        <f>Weekly!I30</f>
        <v>0</v>
      </c>
      <c r="E1756" s="13" t="str">
        <f t="shared" si="199"/>
        <v/>
      </c>
      <c r="F1756" s="13" t="str">
        <f t="shared" si="202"/>
        <v/>
      </c>
      <c r="G1756" s="13" t="str">
        <f t="shared" si="200"/>
        <v/>
      </c>
      <c r="H1756" s="13" t="str">
        <f t="shared" si="201"/>
        <v/>
      </c>
      <c r="I1756" s="14" t="str">
        <f t="array" ref="I1756">IF(getRGB1(Weekly!I30)="FFFF00","초방","재방")</f>
        <v>재방</v>
      </c>
    </row>
    <row r="1757" spans="1:9" ht="11.25" customHeight="1" x14ac:dyDescent="0.3">
      <c r="A1757" s="10" t="str">
        <f t="shared" si="198"/>
        <v/>
      </c>
      <c r="B1757" s="11">
        <f>Weekly!$I$3</f>
        <v>45921</v>
      </c>
      <c r="C1757" s="12">
        <v>9.375E-2</v>
      </c>
      <c r="D1757" s="13">
        <f>Weekly!I31</f>
        <v>0</v>
      </c>
      <c r="E1757" s="13" t="str">
        <f t="shared" si="199"/>
        <v/>
      </c>
      <c r="F1757" s="13" t="str">
        <f t="shared" si="202"/>
        <v/>
      </c>
      <c r="G1757" s="13" t="str">
        <f t="shared" si="200"/>
        <v/>
      </c>
      <c r="H1757" s="13" t="str">
        <f t="shared" si="201"/>
        <v/>
      </c>
      <c r="I1757" s="14" t="str">
        <f t="array" ref="I1757">IF(getRGB1(Weekly!I31)="FFFF00","초방","재방")</f>
        <v>재방</v>
      </c>
    </row>
    <row r="1758" spans="1:9" ht="11.25" customHeight="1" x14ac:dyDescent="0.3">
      <c r="A1758" s="10" t="str">
        <f t="shared" si="198"/>
        <v/>
      </c>
      <c r="B1758" s="11">
        <f>Weekly!$I$3</f>
        <v>45921</v>
      </c>
      <c r="C1758" s="12">
        <v>9.7222222222222196E-2</v>
      </c>
      <c r="D1758" s="13">
        <f>Weekly!I32</f>
        <v>0</v>
      </c>
      <c r="E1758" s="13" t="str">
        <f t="shared" si="199"/>
        <v/>
      </c>
      <c r="F1758" s="13" t="str">
        <f t="shared" si="202"/>
        <v/>
      </c>
      <c r="G1758" s="13" t="str">
        <f t="shared" si="200"/>
        <v/>
      </c>
      <c r="H1758" s="13" t="str">
        <f t="shared" si="201"/>
        <v/>
      </c>
      <c r="I1758" s="14" t="str">
        <f t="array" ref="I1758">IF(getRGB1(Weekly!I32)="FFFF00","초방","재방")</f>
        <v>재방</v>
      </c>
    </row>
    <row r="1759" spans="1:9" ht="11.25" customHeight="1" x14ac:dyDescent="0.3">
      <c r="A1759" s="10" t="str">
        <f t="shared" si="198"/>
        <v/>
      </c>
      <c r="B1759" s="11">
        <f>Weekly!$I$3</f>
        <v>45921</v>
      </c>
      <c r="C1759" s="12">
        <v>0.100694444444444</v>
      </c>
      <c r="D1759" s="13">
        <f>Weekly!I33</f>
        <v>0</v>
      </c>
      <c r="E1759" s="13" t="str">
        <f t="shared" si="199"/>
        <v/>
      </c>
      <c r="F1759" s="13" t="str">
        <f t="shared" si="202"/>
        <v/>
      </c>
      <c r="G1759" s="13" t="str">
        <f t="shared" si="200"/>
        <v/>
      </c>
      <c r="H1759" s="13" t="str">
        <f t="shared" si="201"/>
        <v/>
      </c>
      <c r="I1759" s="14" t="str">
        <f t="array" ref="I1759">IF(getRGB1(Weekly!I33)="FFFF00","초방","재방")</f>
        <v>재방</v>
      </c>
    </row>
    <row r="1760" spans="1:9" ht="11.25" customHeight="1" x14ac:dyDescent="0.3">
      <c r="A1760" s="10" t="str">
        <f t="shared" si="198"/>
        <v/>
      </c>
      <c r="B1760" s="11">
        <f>Weekly!$I$3</f>
        <v>45921</v>
      </c>
      <c r="C1760" s="12">
        <v>0.104166666666667</v>
      </c>
      <c r="D1760" s="13">
        <f>Weekly!I34</f>
        <v>0</v>
      </c>
      <c r="E1760" s="13" t="str">
        <f t="shared" si="199"/>
        <v/>
      </c>
      <c r="F1760" s="13" t="str">
        <f t="shared" si="202"/>
        <v/>
      </c>
      <c r="G1760" s="13" t="str">
        <f t="shared" si="200"/>
        <v/>
      </c>
      <c r="H1760" s="13" t="str">
        <f t="shared" si="201"/>
        <v/>
      </c>
      <c r="I1760" s="14" t="str">
        <f t="array" ref="I1760">IF(getRGB1(Weekly!I34)="FFFF00","초방","재방")</f>
        <v>재방</v>
      </c>
    </row>
    <row r="1761" spans="1:9" ht="11.25" customHeight="1" x14ac:dyDescent="0.3">
      <c r="A1761" s="10" t="str">
        <f t="shared" si="198"/>
        <v/>
      </c>
      <c r="B1761" s="11">
        <f>Weekly!$I$3</f>
        <v>45921</v>
      </c>
      <c r="C1761" s="12">
        <v>0.10763888888888901</v>
      </c>
      <c r="D1761" s="13">
        <f>Weekly!I35</f>
        <v>0</v>
      </c>
      <c r="E1761" s="13" t="str">
        <f t="shared" si="199"/>
        <v/>
      </c>
      <c r="F1761" s="13" t="str">
        <f t="shared" si="202"/>
        <v/>
      </c>
      <c r="G1761" s="13" t="str">
        <f t="shared" si="200"/>
        <v/>
      </c>
      <c r="H1761" s="13" t="str">
        <f t="shared" si="201"/>
        <v/>
      </c>
      <c r="I1761" s="14" t="str">
        <f t="array" ref="I1761">IF(getRGB1(Weekly!I35)="FFFF00","초방","재방")</f>
        <v>재방</v>
      </c>
    </row>
    <row r="1762" spans="1:9" ht="11.25" customHeight="1" x14ac:dyDescent="0.3">
      <c r="A1762" s="10">
        <f t="shared" si="198"/>
        <v>45921.111111111109</v>
      </c>
      <c r="B1762" s="11">
        <f>Weekly!$I$3</f>
        <v>45921</v>
      </c>
      <c r="C1762" s="12">
        <v>0.11111111111111099</v>
      </c>
      <c r="D1762" s="13" t="str">
        <f>Weekly!I36</f>
        <v>최선규의 이제는 지방시대 시즌2
&lt;10</v>
      </c>
      <c r="E1762" s="13" t="str">
        <f t="shared" si="199"/>
        <v>최선규의 이제는 지방시대 시즌2</v>
      </c>
      <c r="F1762" s="13">
        <f t="shared" si="202"/>
        <v>10</v>
      </c>
      <c r="G1762" s="13" t="str">
        <f t="shared" si="200"/>
        <v/>
      </c>
      <c r="H1762" s="13" t="str">
        <f t="shared" si="201"/>
        <v/>
      </c>
      <c r="I1762" s="14" t="str">
        <f t="array" ref="I1762">IF(getRGB1(Weekly!I36)="FFFF00","초방","재방")</f>
        <v>재방</v>
      </c>
    </row>
    <row r="1763" spans="1:9" ht="11.25" customHeight="1" x14ac:dyDescent="0.3">
      <c r="A1763" s="10" t="str">
        <f t="shared" si="198"/>
        <v/>
      </c>
      <c r="B1763" s="11">
        <f>Weekly!$I$3</f>
        <v>45921</v>
      </c>
      <c r="C1763" s="12">
        <v>0.114583333333333</v>
      </c>
      <c r="D1763" s="13">
        <f>Weekly!I37</f>
        <v>0</v>
      </c>
      <c r="E1763" s="13" t="str">
        <f t="shared" si="199"/>
        <v/>
      </c>
      <c r="F1763" s="13" t="str">
        <f t="shared" si="202"/>
        <v/>
      </c>
      <c r="G1763" s="13" t="str">
        <f t="shared" si="200"/>
        <v/>
      </c>
      <c r="H1763" s="13" t="str">
        <f t="shared" si="201"/>
        <v/>
      </c>
      <c r="I1763" s="14" t="str">
        <f t="array" ref="I1763">IF(getRGB1(Weekly!I37)="FFFF00","초방","재방")</f>
        <v>재방</v>
      </c>
    </row>
    <row r="1764" spans="1:9" ht="11.25" customHeight="1" x14ac:dyDescent="0.3">
      <c r="A1764" s="10" t="str">
        <f t="shared" si="198"/>
        <v/>
      </c>
      <c r="B1764" s="11">
        <f>Weekly!$I$3</f>
        <v>45921</v>
      </c>
      <c r="C1764" s="12">
        <v>0.118055555555556</v>
      </c>
      <c r="D1764" s="13">
        <f>Weekly!I38</f>
        <v>0</v>
      </c>
      <c r="E1764" s="13" t="str">
        <f t="shared" si="199"/>
        <v/>
      </c>
      <c r="F1764" s="13" t="str">
        <f t="shared" si="202"/>
        <v/>
      </c>
      <c r="G1764" s="13" t="str">
        <f t="shared" si="200"/>
        <v/>
      </c>
      <c r="H1764" s="13" t="str">
        <f t="shared" si="201"/>
        <v/>
      </c>
      <c r="I1764" s="14" t="str">
        <f t="array" ref="I1764">IF(getRGB1(Weekly!I38)="FFFF00","초방","재방")</f>
        <v>재방</v>
      </c>
    </row>
    <row r="1765" spans="1:9" ht="11.25" customHeight="1" x14ac:dyDescent="0.3">
      <c r="A1765" s="10" t="str">
        <f t="shared" si="198"/>
        <v/>
      </c>
      <c r="B1765" s="11">
        <f>Weekly!$I$3</f>
        <v>45921</v>
      </c>
      <c r="C1765" s="12">
        <v>0.121527777777778</v>
      </c>
      <c r="D1765" s="13">
        <f>Weekly!I39</f>
        <v>0</v>
      </c>
      <c r="E1765" s="13" t="str">
        <f t="shared" si="199"/>
        <v/>
      </c>
      <c r="F1765" s="13" t="str">
        <f t="shared" si="202"/>
        <v/>
      </c>
      <c r="G1765" s="13" t="str">
        <f t="shared" si="200"/>
        <v/>
      </c>
      <c r="H1765" s="13" t="str">
        <f t="shared" si="201"/>
        <v/>
      </c>
      <c r="I1765" s="14" t="str">
        <f t="array" ref="I1765">IF(getRGB1(Weekly!I39)="FFFF00","초방","재방")</f>
        <v>재방</v>
      </c>
    </row>
    <row r="1766" spans="1:9" ht="11.25" customHeight="1" x14ac:dyDescent="0.3">
      <c r="A1766" s="10" t="str">
        <f t="shared" si="198"/>
        <v/>
      </c>
      <c r="B1766" s="11">
        <f>Weekly!$I$3</f>
        <v>45921</v>
      </c>
      <c r="C1766" s="12">
        <v>0.125</v>
      </c>
      <c r="D1766" s="13">
        <f>Weekly!I40</f>
        <v>0</v>
      </c>
      <c r="E1766" s="13" t="str">
        <f t="shared" si="199"/>
        <v/>
      </c>
      <c r="F1766" s="13" t="str">
        <f t="shared" si="202"/>
        <v/>
      </c>
      <c r="G1766" s="13" t="str">
        <f t="shared" si="200"/>
        <v/>
      </c>
      <c r="H1766" s="13" t="str">
        <f t="shared" si="201"/>
        <v/>
      </c>
      <c r="I1766" s="14" t="str">
        <f t="array" ref="I1766">IF(getRGB1(Weekly!I40)="FFFF00","초방","재방")</f>
        <v>재방</v>
      </c>
    </row>
    <row r="1767" spans="1:9" ht="11.25" customHeight="1" x14ac:dyDescent="0.3">
      <c r="A1767" s="10" t="str">
        <f t="shared" si="198"/>
        <v/>
      </c>
      <c r="B1767" s="11">
        <f>Weekly!$I$3</f>
        <v>45921</v>
      </c>
      <c r="C1767" s="12">
        <v>0.12847222222222199</v>
      </c>
      <c r="D1767" s="13">
        <f>Weekly!I41</f>
        <v>0</v>
      </c>
      <c r="E1767" s="13" t="str">
        <f t="shared" si="199"/>
        <v/>
      </c>
      <c r="F1767" s="13" t="str">
        <f t="shared" si="202"/>
        <v/>
      </c>
      <c r="G1767" s="13" t="str">
        <f t="shared" si="200"/>
        <v/>
      </c>
      <c r="H1767" s="13" t="str">
        <f t="shared" si="201"/>
        <v/>
      </c>
      <c r="I1767" s="14" t="str">
        <f t="array" ref="I1767">IF(getRGB1(Weekly!I41)="FFFF00","초방","재방")</f>
        <v>재방</v>
      </c>
    </row>
    <row r="1768" spans="1:9" ht="11.25" customHeight="1" x14ac:dyDescent="0.3">
      <c r="A1768" s="10" t="str">
        <f t="shared" si="198"/>
        <v/>
      </c>
      <c r="B1768" s="11">
        <f>Weekly!$I$3</f>
        <v>45921</v>
      </c>
      <c r="C1768" s="12">
        <v>0.131944444444444</v>
      </c>
      <c r="D1768" s="13">
        <f>Weekly!I42</f>
        <v>0</v>
      </c>
      <c r="E1768" s="13" t="str">
        <f t="shared" si="199"/>
        <v/>
      </c>
      <c r="F1768" s="13" t="str">
        <f t="shared" si="202"/>
        <v/>
      </c>
      <c r="G1768" s="13" t="str">
        <f t="shared" si="200"/>
        <v/>
      </c>
      <c r="H1768" s="13" t="str">
        <f t="shared" si="201"/>
        <v/>
      </c>
      <c r="I1768" s="14" t="str">
        <f t="array" ref="I1768">IF(getRGB1(Weekly!I42)="FFFF00","초방","재방")</f>
        <v>재방</v>
      </c>
    </row>
    <row r="1769" spans="1:9" ht="11.25" customHeight="1" x14ac:dyDescent="0.3">
      <c r="A1769" s="10" t="str">
        <f t="shared" si="198"/>
        <v/>
      </c>
      <c r="B1769" s="11">
        <f>Weekly!$I$3</f>
        <v>45921</v>
      </c>
      <c r="C1769" s="12">
        <v>0.13541666666666699</v>
      </c>
      <c r="D1769" s="13">
        <f>Weekly!I43</f>
        <v>0</v>
      </c>
      <c r="E1769" s="13" t="str">
        <f t="shared" si="199"/>
        <v/>
      </c>
      <c r="F1769" s="13" t="str">
        <f t="shared" si="202"/>
        <v/>
      </c>
      <c r="G1769" s="13" t="str">
        <f t="shared" si="200"/>
        <v/>
      </c>
      <c r="H1769" s="13" t="str">
        <f t="shared" si="201"/>
        <v/>
      </c>
      <c r="I1769" s="14" t="str">
        <f t="array" ref="I1769">IF(getRGB1(Weekly!I43)="FFFF00","초방","재방")</f>
        <v>재방</v>
      </c>
    </row>
    <row r="1770" spans="1:9" ht="11.25" customHeight="1" x14ac:dyDescent="0.3">
      <c r="A1770" s="10" t="str">
        <f t="shared" si="198"/>
        <v/>
      </c>
      <c r="B1770" s="11">
        <f>Weekly!$I$3</f>
        <v>45921</v>
      </c>
      <c r="C1770" s="12">
        <v>0.13888888888888901</v>
      </c>
      <c r="D1770" s="13">
        <f>Weekly!I44</f>
        <v>0</v>
      </c>
      <c r="E1770" s="13" t="str">
        <f t="shared" si="199"/>
        <v/>
      </c>
      <c r="F1770" s="13" t="str">
        <f t="shared" si="202"/>
        <v/>
      </c>
      <c r="G1770" s="13" t="str">
        <f t="shared" si="200"/>
        <v/>
      </c>
      <c r="H1770" s="13" t="str">
        <f t="shared" si="201"/>
        <v/>
      </c>
      <c r="I1770" s="14" t="str">
        <f t="array" ref="I1770">IF(getRGB1(Weekly!I44)="FFFF00","초방","재방")</f>
        <v>재방</v>
      </c>
    </row>
    <row r="1771" spans="1:9" ht="11.25" customHeight="1" x14ac:dyDescent="0.3">
      <c r="A1771" s="10" t="str">
        <f t="shared" si="198"/>
        <v/>
      </c>
      <c r="B1771" s="11">
        <f>Weekly!$I$3</f>
        <v>45921</v>
      </c>
      <c r="C1771" s="12">
        <v>0.14236111111111099</v>
      </c>
      <c r="D1771" s="13">
        <f>Weekly!I45</f>
        <v>0</v>
      </c>
      <c r="E1771" s="13" t="str">
        <f t="shared" si="199"/>
        <v/>
      </c>
      <c r="F1771" s="13" t="str">
        <f t="shared" si="202"/>
        <v/>
      </c>
      <c r="G1771" s="13" t="str">
        <f t="shared" si="200"/>
        <v/>
      </c>
      <c r="H1771" s="13" t="str">
        <f t="shared" si="201"/>
        <v/>
      </c>
      <c r="I1771" s="14" t="str">
        <f t="array" ref="I1771">IF(getRGB1(Weekly!I45)="FFFF00","초방","재방")</f>
        <v>재방</v>
      </c>
    </row>
    <row r="1772" spans="1:9" ht="11.25" customHeight="1" x14ac:dyDescent="0.3">
      <c r="A1772" s="10" t="str">
        <f t="shared" si="198"/>
        <v/>
      </c>
      <c r="B1772" s="11">
        <f>Weekly!$I$3</f>
        <v>45921</v>
      </c>
      <c r="C1772" s="12">
        <v>0.14583333333333301</v>
      </c>
      <c r="D1772" s="13">
        <f>Weekly!I46</f>
        <v>0</v>
      </c>
      <c r="E1772" s="13" t="str">
        <f t="shared" si="199"/>
        <v/>
      </c>
      <c r="F1772" s="13" t="str">
        <f t="shared" si="202"/>
        <v/>
      </c>
      <c r="G1772" s="13" t="str">
        <f t="shared" si="200"/>
        <v/>
      </c>
      <c r="H1772" s="13" t="str">
        <f t="shared" si="201"/>
        <v/>
      </c>
      <c r="I1772" s="14" t="str">
        <f t="array" ref="I1772">IF(getRGB1(Weekly!I46)="FFFF00","초방","재방")</f>
        <v>재방</v>
      </c>
    </row>
    <row r="1773" spans="1:9" ht="11.25" customHeight="1" x14ac:dyDescent="0.3">
      <c r="A1773" s="10" t="str">
        <f t="shared" si="198"/>
        <v/>
      </c>
      <c r="B1773" s="11">
        <f>Weekly!$I$3</f>
        <v>45921</v>
      </c>
      <c r="C1773" s="12">
        <v>0.149305555555556</v>
      </c>
      <c r="D1773" s="13">
        <f>Weekly!I47</f>
        <v>0</v>
      </c>
      <c r="E1773" s="13" t="str">
        <f t="shared" si="199"/>
        <v/>
      </c>
      <c r="F1773" s="13" t="str">
        <f t="shared" si="202"/>
        <v/>
      </c>
      <c r="G1773" s="13" t="str">
        <f t="shared" si="200"/>
        <v/>
      </c>
      <c r="H1773" s="13" t="str">
        <f t="shared" si="201"/>
        <v/>
      </c>
      <c r="I1773" s="14" t="str">
        <f t="array" ref="I1773">IF(getRGB1(Weekly!I47)="FFFF00","초방","재방")</f>
        <v>재방</v>
      </c>
    </row>
    <row r="1774" spans="1:9" ht="11.25" customHeight="1" x14ac:dyDescent="0.3">
      <c r="A1774" s="10">
        <f t="shared" si="198"/>
        <v>45921.152777777781</v>
      </c>
      <c r="B1774" s="11">
        <f>Weekly!$I$3</f>
        <v>45921</v>
      </c>
      <c r="C1774" s="12">
        <v>0.15277777777777801</v>
      </c>
      <c r="D1774" s="13" t="str">
        <f>Weekly!I48</f>
        <v>태군노래자랑
&lt;14</v>
      </c>
      <c r="E1774" s="13" t="str">
        <f t="shared" si="199"/>
        <v>태군노래자랑</v>
      </c>
      <c r="F1774" s="13">
        <f t="shared" si="202"/>
        <v>14</v>
      </c>
      <c r="G1774" s="13" t="str">
        <f t="shared" si="200"/>
        <v/>
      </c>
      <c r="H1774" s="13" t="str">
        <f t="shared" si="201"/>
        <v/>
      </c>
      <c r="I1774" s="14" t="str">
        <f t="array" ref="I1774">IF(getRGB1(Weekly!I48)="FFFF00","초방","재방")</f>
        <v>재방</v>
      </c>
    </row>
    <row r="1775" spans="1:9" ht="11.25" customHeight="1" x14ac:dyDescent="0.3">
      <c r="A1775" s="10" t="str">
        <f t="shared" si="198"/>
        <v/>
      </c>
      <c r="B1775" s="11">
        <f>Weekly!$I$3</f>
        <v>45921</v>
      </c>
      <c r="C1775" s="12">
        <v>0.15625</v>
      </c>
      <c r="D1775" s="13">
        <f>Weekly!I49</f>
        <v>0</v>
      </c>
      <c r="E1775" s="13" t="str">
        <f t="shared" si="199"/>
        <v/>
      </c>
      <c r="F1775" s="13" t="str">
        <f t="shared" si="202"/>
        <v/>
      </c>
      <c r="G1775" s="13" t="str">
        <f t="shared" si="200"/>
        <v/>
      </c>
      <c r="H1775" s="13" t="str">
        <f t="shared" si="201"/>
        <v/>
      </c>
      <c r="I1775" s="14" t="str">
        <f t="array" ref="I1775">IF(getRGB1(Weekly!I49)="FFFF00","초방","재방")</f>
        <v>재방</v>
      </c>
    </row>
    <row r="1776" spans="1:9" ht="11.25" customHeight="1" x14ac:dyDescent="0.3">
      <c r="A1776" s="10" t="str">
        <f t="shared" si="198"/>
        <v/>
      </c>
      <c r="B1776" s="11">
        <f>Weekly!$I$3</f>
        <v>45921</v>
      </c>
      <c r="C1776" s="12">
        <v>0.15972222222222199</v>
      </c>
      <c r="D1776" s="13">
        <f>Weekly!I50</f>
        <v>0</v>
      </c>
      <c r="E1776" s="13" t="str">
        <f t="shared" si="199"/>
        <v/>
      </c>
      <c r="F1776" s="13" t="str">
        <f t="shared" si="202"/>
        <v/>
      </c>
      <c r="G1776" s="13" t="str">
        <f t="shared" si="200"/>
        <v/>
      </c>
      <c r="H1776" s="13" t="str">
        <f t="shared" si="201"/>
        <v/>
      </c>
      <c r="I1776" s="14" t="str">
        <f t="array" ref="I1776">IF(getRGB1(Weekly!I50)="FFFF00","초방","재방")</f>
        <v>재방</v>
      </c>
    </row>
    <row r="1777" spans="1:9" ht="11.25" customHeight="1" x14ac:dyDescent="0.3">
      <c r="A1777" s="10" t="str">
        <f t="shared" si="198"/>
        <v/>
      </c>
      <c r="B1777" s="11">
        <f>Weekly!$I$3</f>
        <v>45921</v>
      </c>
      <c r="C1777" s="12">
        <v>0.163194444444444</v>
      </c>
      <c r="D1777" s="13">
        <f>Weekly!I51</f>
        <v>0</v>
      </c>
      <c r="E1777" s="13" t="str">
        <f t="shared" si="199"/>
        <v/>
      </c>
      <c r="F1777" s="13" t="str">
        <f t="shared" si="202"/>
        <v/>
      </c>
      <c r="G1777" s="13" t="str">
        <f t="shared" si="200"/>
        <v/>
      </c>
      <c r="H1777" s="13" t="str">
        <f t="shared" si="201"/>
        <v/>
      </c>
      <c r="I1777" s="14" t="str">
        <f t="array" ref="I1777">IF(getRGB1(Weekly!I51)="FFFF00","초방","재방")</f>
        <v>재방</v>
      </c>
    </row>
    <row r="1778" spans="1:9" ht="11.25" customHeight="1" x14ac:dyDescent="0.3">
      <c r="A1778" s="10" t="str">
        <f t="shared" si="198"/>
        <v/>
      </c>
      <c r="B1778" s="11">
        <f>Weekly!$I$3</f>
        <v>45921</v>
      </c>
      <c r="C1778" s="12">
        <v>0.16666666666666699</v>
      </c>
      <c r="D1778" s="13">
        <f>Weekly!I52</f>
        <v>0</v>
      </c>
      <c r="E1778" s="13" t="str">
        <f t="shared" si="199"/>
        <v/>
      </c>
      <c r="F1778" s="13" t="str">
        <f t="shared" si="202"/>
        <v/>
      </c>
      <c r="G1778" s="13" t="str">
        <f t="shared" si="200"/>
        <v/>
      </c>
      <c r="H1778" s="13" t="str">
        <f t="shared" si="201"/>
        <v/>
      </c>
      <c r="I1778" s="14" t="str">
        <f t="array" ref="I1778">IF(getRGB1(Weekly!I52)="FFFF00","초방","재방")</f>
        <v>재방</v>
      </c>
    </row>
    <row r="1779" spans="1:9" ht="11.25" customHeight="1" x14ac:dyDescent="0.3">
      <c r="A1779" s="10" t="str">
        <f t="shared" si="198"/>
        <v/>
      </c>
      <c r="B1779" s="11">
        <f>Weekly!$I$3</f>
        <v>45921</v>
      </c>
      <c r="C1779" s="12">
        <v>0.17013888888888901</v>
      </c>
      <c r="D1779" s="13">
        <f>Weekly!I53</f>
        <v>0</v>
      </c>
      <c r="E1779" s="13" t="str">
        <f t="shared" si="199"/>
        <v/>
      </c>
      <c r="F1779" s="13" t="str">
        <f t="shared" si="202"/>
        <v/>
      </c>
      <c r="G1779" s="13" t="str">
        <f t="shared" si="200"/>
        <v/>
      </c>
      <c r="H1779" s="13" t="str">
        <f t="shared" si="201"/>
        <v/>
      </c>
      <c r="I1779" s="14" t="str">
        <f t="array" ref="I1779">IF(getRGB1(Weekly!I53)="FFFF00","초방","재방")</f>
        <v>재방</v>
      </c>
    </row>
    <row r="1780" spans="1:9" ht="11.25" customHeight="1" x14ac:dyDescent="0.3">
      <c r="A1780" s="10" t="str">
        <f t="shared" si="198"/>
        <v/>
      </c>
      <c r="B1780" s="11">
        <f>Weekly!$I$3</f>
        <v>45921</v>
      </c>
      <c r="C1780" s="12">
        <v>0.17361111111111099</v>
      </c>
      <c r="D1780" s="13">
        <f>Weekly!I54</f>
        <v>0</v>
      </c>
      <c r="E1780" s="13" t="str">
        <f t="shared" si="199"/>
        <v/>
      </c>
      <c r="F1780" s="13" t="str">
        <f t="shared" si="202"/>
        <v/>
      </c>
      <c r="G1780" s="13" t="str">
        <f t="shared" si="200"/>
        <v/>
      </c>
      <c r="H1780" s="13" t="str">
        <f t="shared" si="201"/>
        <v/>
      </c>
      <c r="I1780" s="14" t="str">
        <f t="array" ref="I1780">IF(getRGB1(Weekly!I54)="FFFF00","초방","재방")</f>
        <v>재방</v>
      </c>
    </row>
    <row r="1781" spans="1:9" ht="11.25" customHeight="1" x14ac:dyDescent="0.3">
      <c r="A1781" s="10" t="str">
        <f t="shared" si="198"/>
        <v/>
      </c>
      <c r="B1781" s="11">
        <f>Weekly!$I$3</f>
        <v>45921</v>
      </c>
      <c r="C1781" s="12">
        <v>0.17708333333333301</v>
      </c>
      <c r="D1781" s="13">
        <f>Weekly!I55</f>
        <v>0</v>
      </c>
      <c r="E1781" s="13" t="str">
        <f t="shared" si="199"/>
        <v/>
      </c>
      <c r="F1781" s="13" t="str">
        <f t="shared" si="202"/>
        <v/>
      </c>
      <c r="G1781" s="13" t="str">
        <f t="shared" si="200"/>
        <v/>
      </c>
      <c r="H1781" s="13" t="str">
        <f t="shared" si="201"/>
        <v/>
      </c>
      <c r="I1781" s="14" t="str">
        <f t="array" ref="I1781">IF(getRGB1(Weekly!I55)="FFFF00","초방","재방")</f>
        <v>재방</v>
      </c>
    </row>
    <row r="1782" spans="1:9" ht="11.25" customHeight="1" x14ac:dyDescent="0.3">
      <c r="A1782" s="10" t="str">
        <f t="shared" si="198"/>
        <v/>
      </c>
      <c r="B1782" s="11">
        <f>Weekly!$I$3</f>
        <v>45921</v>
      </c>
      <c r="C1782" s="12">
        <v>0.180555555555556</v>
      </c>
      <c r="D1782" s="13">
        <f>Weekly!I56</f>
        <v>0</v>
      </c>
      <c r="E1782" s="13" t="str">
        <f t="shared" si="199"/>
        <v/>
      </c>
      <c r="F1782" s="13" t="str">
        <f t="shared" si="202"/>
        <v/>
      </c>
      <c r="G1782" s="13" t="str">
        <f t="shared" si="200"/>
        <v/>
      </c>
      <c r="H1782" s="13" t="str">
        <f t="shared" si="201"/>
        <v/>
      </c>
      <c r="I1782" s="14" t="str">
        <f t="array" ref="I1782">IF(getRGB1(Weekly!I56)="FFFF00","초방","재방")</f>
        <v>재방</v>
      </c>
    </row>
    <row r="1783" spans="1:9" ht="11.25" customHeight="1" x14ac:dyDescent="0.3">
      <c r="A1783" s="10" t="str">
        <f t="shared" si="198"/>
        <v/>
      </c>
      <c r="B1783" s="11">
        <f>Weekly!$I$3</f>
        <v>45921</v>
      </c>
      <c r="C1783" s="12">
        <v>0.18402777777777801</v>
      </c>
      <c r="D1783" s="13">
        <f>Weekly!I57</f>
        <v>0</v>
      </c>
      <c r="E1783" s="13" t="str">
        <f t="shared" si="199"/>
        <v/>
      </c>
      <c r="F1783" s="13" t="str">
        <f t="shared" si="202"/>
        <v/>
      </c>
      <c r="G1783" s="13" t="str">
        <f t="shared" si="200"/>
        <v/>
      </c>
      <c r="H1783" s="13" t="str">
        <f t="shared" si="201"/>
        <v/>
      </c>
      <c r="I1783" s="14" t="str">
        <f t="array" ref="I1783">IF(getRGB1(Weekly!I57)="FFFF00","초방","재방")</f>
        <v>재방</v>
      </c>
    </row>
    <row r="1784" spans="1:9" ht="11.25" customHeight="1" x14ac:dyDescent="0.3">
      <c r="A1784" s="10" t="str">
        <f t="shared" si="198"/>
        <v/>
      </c>
      <c r="B1784" s="11">
        <f>Weekly!$I$3</f>
        <v>45921</v>
      </c>
      <c r="C1784" s="12">
        <v>0.1875</v>
      </c>
      <c r="D1784" s="13">
        <f>Weekly!I58</f>
        <v>0</v>
      </c>
      <c r="E1784" s="13" t="str">
        <f t="shared" si="199"/>
        <v/>
      </c>
      <c r="F1784" s="13" t="str">
        <f t="shared" si="202"/>
        <v/>
      </c>
      <c r="G1784" s="13" t="str">
        <f t="shared" si="200"/>
        <v/>
      </c>
      <c r="H1784" s="13" t="str">
        <f t="shared" si="201"/>
        <v/>
      </c>
      <c r="I1784" s="14" t="str">
        <f t="array" ref="I1784">IF(getRGB1(Weekly!I58)="FFFF00","초방","재방")</f>
        <v>재방</v>
      </c>
    </row>
    <row r="1785" spans="1:9" ht="11.25" customHeight="1" x14ac:dyDescent="0.3">
      <c r="A1785" s="10" t="str">
        <f t="shared" si="198"/>
        <v/>
      </c>
      <c r="B1785" s="11">
        <f>Weekly!$I$3</f>
        <v>45921</v>
      </c>
      <c r="C1785" s="12">
        <v>0.19097222222222199</v>
      </c>
      <c r="D1785" s="13">
        <f>Weekly!I59</f>
        <v>0</v>
      </c>
      <c r="E1785" s="13" t="str">
        <f t="shared" si="199"/>
        <v/>
      </c>
      <c r="F1785" s="13" t="str">
        <f t="shared" si="202"/>
        <v/>
      </c>
      <c r="G1785" s="13" t="str">
        <f t="shared" si="200"/>
        <v/>
      </c>
      <c r="H1785" s="13" t="str">
        <f t="shared" si="201"/>
        <v/>
      </c>
      <c r="I1785" s="14" t="str">
        <f t="array" ref="I1785">IF(getRGB1(Weekly!I59)="FFFF00","초방","재방")</f>
        <v>재방</v>
      </c>
    </row>
    <row r="1786" spans="1:9" ht="11.25" customHeight="1" x14ac:dyDescent="0.3">
      <c r="A1786" s="10">
        <f t="shared" si="198"/>
        <v>45921.194444444445</v>
      </c>
      <c r="B1786" s="11">
        <f>Weekly!$I$3</f>
        <v>45921</v>
      </c>
      <c r="C1786" s="12">
        <v>0.194444444444444</v>
      </c>
      <c r="D1786" s="13" t="str">
        <f>Weekly!I60</f>
        <v xml:space="preserve"> NEWS4
&lt;64</v>
      </c>
      <c r="E1786" s="13" t="str">
        <f t="shared" si="199"/>
        <v>NEWS4</v>
      </c>
      <c r="F1786" s="13">
        <f t="shared" si="202"/>
        <v>64</v>
      </c>
      <c r="G1786" s="13" t="str">
        <f t="shared" si="200"/>
        <v/>
      </c>
      <c r="H1786" s="13" t="str">
        <f t="shared" si="201"/>
        <v/>
      </c>
      <c r="I1786" s="14" t="str">
        <f t="array" ref="I1786">IF(getRGB1(Weekly!I60)="FFFF00","초방","재방")</f>
        <v>재방</v>
      </c>
    </row>
    <row r="1787" spans="1:9" ht="11.25" customHeight="1" x14ac:dyDescent="0.3">
      <c r="A1787" s="10" t="str">
        <f t="shared" si="198"/>
        <v/>
      </c>
      <c r="B1787" s="11">
        <f>Weekly!$I$3</f>
        <v>45921</v>
      </c>
      <c r="C1787" s="12">
        <v>0.19791666666666699</v>
      </c>
      <c r="D1787" s="13">
        <f>Weekly!I61</f>
        <v>0</v>
      </c>
      <c r="E1787" s="13" t="str">
        <f t="shared" si="199"/>
        <v/>
      </c>
      <c r="F1787" s="13" t="str">
        <f t="shared" si="202"/>
        <v/>
      </c>
      <c r="G1787" s="13" t="str">
        <f t="shared" si="200"/>
        <v/>
      </c>
      <c r="H1787" s="13" t="str">
        <f t="shared" si="201"/>
        <v/>
      </c>
      <c r="I1787" s="14" t="str">
        <f t="array" ref="I1787">IF(getRGB1(Weekly!I61)="FFFF00","초방","재방")</f>
        <v>재방</v>
      </c>
    </row>
    <row r="1788" spans="1:9" ht="11.25" customHeight="1" x14ac:dyDescent="0.3">
      <c r="A1788" s="10" t="str">
        <f t="shared" si="198"/>
        <v/>
      </c>
      <c r="B1788" s="11">
        <f>Weekly!$I$3</f>
        <v>45921</v>
      </c>
      <c r="C1788" s="12">
        <v>0.20138888888888901</v>
      </c>
      <c r="D1788" s="13">
        <f>Weekly!I62</f>
        <v>0</v>
      </c>
      <c r="E1788" s="13" t="str">
        <f t="shared" si="199"/>
        <v/>
      </c>
      <c r="F1788" s="13" t="str">
        <f t="shared" si="202"/>
        <v/>
      </c>
      <c r="G1788" s="13" t="str">
        <f t="shared" si="200"/>
        <v/>
      </c>
      <c r="H1788" s="13" t="str">
        <f t="shared" si="201"/>
        <v/>
      </c>
      <c r="I1788" s="14" t="str">
        <f t="array" ref="I1788">IF(getRGB1(Weekly!I62)="FFFF00","초방","재방")</f>
        <v>재방</v>
      </c>
    </row>
    <row r="1789" spans="1:9" ht="11.25" customHeight="1" x14ac:dyDescent="0.3">
      <c r="A1789" s="10" t="str">
        <f t="shared" si="198"/>
        <v/>
      </c>
      <c r="B1789" s="11">
        <f>Weekly!$I$3</f>
        <v>45921</v>
      </c>
      <c r="C1789" s="12">
        <v>0.20486111111111099</v>
      </c>
      <c r="D1789" s="13">
        <f>Weekly!I63</f>
        <v>0</v>
      </c>
      <c r="E1789" s="13" t="str">
        <f t="shared" si="199"/>
        <v/>
      </c>
      <c r="F1789" s="13" t="str">
        <f t="shared" si="202"/>
        <v/>
      </c>
      <c r="G1789" s="13" t="str">
        <f t="shared" si="200"/>
        <v/>
      </c>
      <c r="H1789" s="13" t="str">
        <f t="shared" si="201"/>
        <v/>
      </c>
      <c r="I1789" s="14" t="str">
        <f t="array" ref="I1789">IF(getRGB1(Weekly!I63)="FFFF00","초방","재방")</f>
        <v>재방</v>
      </c>
    </row>
    <row r="1790" spans="1:9" ht="11.25" customHeight="1" x14ac:dyDescent="0.3">
      <c r="A1790" s="10" t="str">
        <f t="shared" si="198"/>
        <v/>
      </c>
      <c r="B1790" s="11">
        <f>Weekly!$I$3</f>
        <v>45921</v>
      </c>
      <c r="C1790" s="12">
        <v>0.20833333333333301</v>
      </c>
      <c r="D1790" s="13">
        <f>Weekly!I64</f>
        <v>0</v>
      </c>
      <c r="E1790" s="13" t="str">
        <f t="shared" si="199"/>
        <v/>
      </c>
      <c r="F1790" s="13" t="str">
        <f t="shared" si="202"/>
        <v/>
      </c>
      <c r="G1790" s="13" t="str">
        <f t="shared" si="200"/>
        <v/>
      </c>
      <c r="H1790" s="13" t="str">
        <f t="shared" si="201"/>
        <v/>
      </c>
      <c r="I1790" s="14" t="str">
        <f t="array" ref="I1790">IF(getRGB1(Weekly!I64)="FFFF00","초방","재방")</f>
        <v>재방</v>
      </c>
    </row>
    <row r="1791" spans="1:9" ht="11.25" customHeight="1" x14ac:dyDescent="0.3">
      <c r="A1791" s="10" t="str">
        <f t="shared" si="198"/>
        <v/>
      </c>
      <c r="B1791" s="11">
        <f>Weekly!$I$3</f>
        <v>45921</v>
      </c>
      <c r="C1791" s="12">
        <v>0.211805555555556</v>
      </c>
      <c r="D1791" s="13">
        <f>Weekly!I65</f>
        <v>0</v>
      </c>
      <c r="E1791" s="13" t="str">
        <f t="shared" si="199"/>
        <v/>
      </c>
      <c r="F1791" s="13" t="str">
        <f t="shared" si="202"/>
        <v/>
      </c>
      <c r="G1791" s="13" t="str">
        <f t="shared" si="200"/>
        <v/>
      </c>
      <c r="H1791" s="13" t="str">
        <f t="shared" si="201"/>
        <v/>
      </c>
      <c r="I1791" s="14" t="str">
        <f t="array" ref="I1791">IF(getRGB1(Weekly!I65)="FFFF00","초방","재방")</f>
        <v>재방</v>
      </c>
    </row>
    <row r="1792" spans="1:9" ht="11.25" customHeight="1" x14ac:dyDescent="0.3">
      <c r="A1792" s="10">
        <f t="shared" si="198"/>
        <v>45921.215277777781</v>
      </c>
      <c r="B1792" s="11">
        <f>Weekly!$I$3</f>
        <v>45921</v>
      </c>
      <c r="C1792" s="12">
        <v>0.21527777777777801</v>
      </c>
      <c r="D1792" s="13" t="str">
        <f>Weekly!I66</f>
        <v xml:space="preserve"> 내삶을바꾸는정책
&lt;2195</v>
      </c>
      <c r="E1792" s="13" t="str">
        <f t="shared" si="199"/>
        <v>내삶을바꾸는정책</v>
      </c>
      <c r="F1792" s="13">
        <f t="shared" si="202"/>
        <v>2195</v>
      </c>
      <c r="G1792" s="13" t="str">
        <f t="shared" si="200"/>
        <v/>
      </c>
      <c r="H1792" s="13" t="str">
        <f t="shared" si="201"/>
        <v/>
      </c>
      <c r="I1792" s="14" t="str">
        <f t="array" ref="I1792">IF(getRGB1(Weekly!I66)="FFFF00","초방","재방")</f>
        <v>초방</v>
      </c>
    </row>
    <row r="1793" spans="1:9" ht="11.25" customHeight="1" x14ac:dyDescent="0.3">
      <c r="A1793" s="10" t="str">
        <f t="shared" si="198"/>
        <v/>
      </c>
      <c r="B1793" s="11">
        <f>Weekly!$I$3</f>
        <v>45921</v>
      </c>
      <c r="C1793" s="12">
        <v>0.21875</v>
      </c>
      <c r="D1793" s="13">
        <f>Weekly!I67</f>
        <v>0</v>
      </c>
      <c r="E1793" s="13" t="str">
        <f t="shared" si="199"/>
        <v/>
      </c>
      <c r="F1793" s="13" t="str">
        <f t="shared" si="202"/>
        <v/>
      </c>
      <c r="G1793" s="13" t="str">
        <f t="shared" si="200"/>
        <v/>
      </c>
      <c r="H1793" s="13" t="str">
        <f t="shared" si="201"/>
        <v/>
      </c>
      <c r="I1793" s="14" t="str">
        <f t="array" ref="I1793">IF(getRGB1(Weekly!I67)="FFFF00","초방","재방")</f>
        <v>초방</v>
      </c>
    </row>
    <row r="1794" spans="1:9" ht="11.25" customHeight="1" x14ac:dyDescent="0.3">
      <c r="A1794" s="10" t="str">
        <f t="shared" ref="A1794:A1857" si="203">IF(D1794&lt;&gt;0,B1794+C1794,"")</f>
        <v/>
      </c>
      <c r="B1794" s="11">
        <f>Weekly!$I$3</f>
        <v>45921</v>
      </c>
      <c r="C1794" s="12">
        <v>0.22222222222222199</v>
      </c>
      <c r="D1794" s="13">
        <f>Weekly!I68</f>
        <v>0</v>
      </c>
      <c r="E1794" s="13" t="str">
        <f t="shared" ref="E1794:E1857" si="204">IFERROR(SUBSTITUTE(SUBSTITUTE(TRIM(LEFT(D1794,FIND("&lt;",D1794)-1)),CHAR(10),""),"⑮ ",""),"")</f>
        <v/>
      </c>
      <c r="F1794" s="13" t="str">
        <f t="shared" si="202"/>
        <v/>
      </c>
      <c r="G1794" s="13" t="str">
        <f t="shared" ref="G1794:G1857" si="205">IFERROR(MID(D1794,FIND("&gt;",D1794)+1,10),"")</f>
        <v/>
      </c>
      <c r="H1794" s="13" t="str">
        <f t="shared" ref="H1794:H1857" si="206">IFERROR(VLOOKUP(LEFT(D1794,2),$W$1:$X$6,2,0),"")</f>
        <v/>
      </c>
      <c r="I1794" s="14" t="str">
        <f t="array" ref="I1794">IF(getRGB1(Weekly!I68)="FFFF00","초방","재방")</f>
        <v>초방</v>
      </c>
    </row>
    <row r="1795" spans="1:9" ht="11.25" customHeight="1" x14ac:dyDescent="0.3">
      <c r="A1795" s="10" t="str">
        <f t="shared" si="203"/>
        <v/>
      </c>
      <c r="B1795" s="11">
        <f>Weekly!$I$3</f>
        <v>45921</v>
      </c>
      <c r="C1795" s="12">
        <v>0.225694444444444</v>
      </c>
      <c r="D1795" s="13">
        <f>Weekly!I69</f>
        <v>0</v>
      </c>
      <c r="E1795" s="13" t="str">
        <f t="shared" si="204"/>
        <v/>
      </c>
      <c r="F1795" s="13" t="str">
        <f t="shared" ref="F1795:F1858" si="207">IFERROR((MID(D1795,FIND("&lt;",D1795)+1,4))*1,"")</f>
        <v/>
      </c>
      <c r="G1795" s="13" t="str">
        <f t="shared" si="205"/>
        <v/>
      </c>
      <c r="H1795" s="13" t="str">
        <f t="shared" si="206"/>
        <v/>
      </c>
      <c r="I1795" s="14" t="str">
        <f t="array" ref="I1795">IF(getRGB1(Weekly!I69)="FFFF00","초방","재방")</f>
        <v>초방</v>
      </c>
    </row>
    <row r="1796" spans="1:9" ht="11.25" customHeight="1" x14ac:dyDescent="0.3">
      <c r="A1796" s="10" t="str">
        <f t="shared" si="203"/>
        <v/>
      </c>
      <c r="B1796" s="11">
        <f>Weekly!$I$3</f>
        <v>45921</v>
      </c>
      <c r="C1796" s="12">
        <v>0.22916666666666699</v>
      </c>
      <c r="D1796" s="13">
        <f>Weekly!I70</f>
        <v>0</v>
      </c>
      <c r="E1796" s="13" t="str">
        <f t="shared" si="204"/>
        <v/>
      </c>
      <c r="F1796" s="13" t="str">
        <f t="shared" si="207"/>
        <v/>
      </c>
      <c r="G1796" s="13" t="str">
        <f t="shared" si="205"/>
        <v/>
      </c>
      <c r="H1796" s="13" t="str">
        <f t="shared" si="206"/>
        <v/>
      </c>
      <c r="I1796" s="14" t="str">
        <f t="array" ref="I1796">IF(getRGB1(Weekly!I70)="FFFF00","초방","재방")</f>
        <v>초방</v>
      </c>
    </row>
    <row r="1797" spans="1:9" ht="11.25" customHeight="1" x14ac:dyDescent="0.3">
      <c r="A1797" s="10" t="str">
        <f t="shared" si="203"/>
        <v/>
      </c>
      <c r="B1797" s="11">
        <f>Weekly!$I$3</f>
        <v>45921</v>
      </c>
      <c r="C1797" s="12">
        <v>0.23263888888888901</v>
      </c>
      <c r="D1797" s="13">
        <f>Weekly!I71</f>
        <v>0</v>
      </c>
      <c r="E1797" s="13" t="str">
        <f t="shared" si="204"/>
        <v/>
      </c>
      <c r="F1797" s="13" t="str">
        <f t="shared" si="207"/>
        <v/>
      </c>
      <c r="G1797" s="13" t="str">
        <f t="shared" si="205"/>
        <v/>
      </c>
      <c r="H1797" s="13" t="str">
        <f t="shared" si="206"/>
        <v/>
      </c>
      <c r="I1797" s="14" t="str">
        <f t="array" ref="I1797">IF(getRGB1(Weekly!I71)="FFFF00","초방","재방")</f>
        <v>초방</v>
      </c>
    </row>
    <row r="1798" spans="1:9" ht="11.25" customHeight="1" x14ac:dyDescent="0.3">
      <c r="A1798" s="10" t="str">
        <f t="shared" si="203"/>
        <v/>
      </c>
      <c r="B1798" s="11">
        <f>Weekly!$I$3</f>
        <v>45921</v>
      </c>
      <c r="C1798" s="12">
        <v>0.23611111111111099</v>
      </c>
      <c r="D1798" s="13">
        <f>Weekly!I72</f>
        <v>0</v>
      </c>
      <c r="E1798" s="13" t="str">
        <f t="shared" si="204"/>
        <v/>
      </c>
      <c r="F1798" s="13" t="str">
        <f t="shared" si="207"/>
        <v/>
      </c>
      <c r="G1798" s="13" t="str">
        <f t="shared" si="205"/>
        <v/>
      </c>
      <c r="H1798" s="13" t="str">
        <f t="shared" si="206"/>
        <v/>
      </c>
      <c r="I1798" s="14" t="str">
        <f t="array" ref="I1798">IF(getRGB1(Weekly!I72)="FFFF00","초방","재방")</f>
        <v>초방</v>
      </c>
    </row>
    <row r="1799" spans="1:9" ht="11.25" customHeight="1" x14ac:dyDescent="0.3">
      <c r="A1799" s="10" t="str">
        <f t="shared" si="203"/>
        <v/>
      </c>
      <c r="B1799" s="11">
        <f>Weekly!$I$3</f>
        <v>45921</v>
      </c>
      <c r="C1799" s="12">
        <v>0.23958333333333301</v>
      </c>
      <c r="D1799" s="13">
        <f>Weekly!I73</f>
        <v>0</v>
      </c>
      <c r="E1799" s="13" t="str">
        <f t="shared" si="204"/>
        <v/>
      </c>
      <c r="F1799" s="13" t="str">
        <f t="shared" si="207"/>
        <v/>
      </c>
      <c r="G1799" s="13" t="str">
        <f t="shared" si="205"/>
        <v/>
      </c>
      <c r="H1799" s="13" t="str">
        <f t="shared" si="206"/>
        <v/>
      </c>
      <c r="I1799" s="14" t="str">
        <f t="array" ref="I1799">IF(getRGB1(Weekly!I73)="FFFF00","초방","재방")</f>
        <v>초방</v>
      </c>
    </row>
    <row r="1800" spans="1:9" ht="11.25" customHeight="1" x14ac:dyDescent="0.3">
      <c r="A1800" s="10" t="str">
        <f t="shared" si="203"/>
        <v/>
      </c>
      <c r="B1800" s="11">
        <f>Weekly!$I$3</f>
        <v>45921</v>
      </c>
      <c r="C1800" s="12">
        <v>0.243055555555556</v>
      </c>
      <c r="D1800" s="13">
        <f>Weekly!I74</f>
        <v>0</v>
      </c>
      <c r="E1800" s="13" t="str">
        <f t="shared" si="204"/>
        <v/>
      </c>
      <c r="F1800" s="13" t="str">
        <f t="shared" si="207"/>
        <v/>
      </c>
      <c r="G1800" s="13" t="str">
        <f t="shared" si="205"/>
        <v/>
      </c>
      <c r="H1800" s="13" t="str">
        <f t="shared" si="206"/>
        <v/>
      </c>
      <c r="I1800" s="14" t="str">
        <f t="array" ref="I1800">IF(getRGB1(Weekly!I74)="FFFF00","초방","재방")</f>
        <v>초방</v>
      </c>
    </row>
    <row r="1801" spans="1:9" ht="11.25" customHeight="1" x14ac:dyDescent="0.3">
      <c r="A1801" s="10" t="str">
        <f t="shared" si="203"/>
        <v/>
      </c>
      <c r="B1801" s="11">
        <f>Weekly!$I$3</f>
        <v>45921</v>
      </c>
      <c r="C1801" s="12">
        <v>0.24652777777777801</v>
      </c>
      <c r="D1801" s="13">
        <f>Weekly!I75</f>
        <v>0</v>
      </c>
      <c r="E1801" s="13" t="str">
        <f t="shared" si="204"/>
        <v/>
      </c>
      <c r="F1801" s="13" t="str">
        <f t="shared" si="207"/>
        <v/>
      </c>
      <c r="G1801" s="13" t="str">
        <f t="shared" si="205"/>
        <v/>
      </c>
      <c r="H1801" s="13" t="str">
        <f t="shared" si="206"/>
        <v/>
      </c>
      <c r="I1801" s="14" t="str">
        <f t="array" ref="I1801">IF(getRGB1(Weekly!I75)="FFFF00","초방","재방")</f>
        <v>초방</v>
      </c>
    </row>
    <row r="1802" spans="1:9" ht="11.25" customHeight="1" x14ac:dyDescent="0.3">
      <c r="A1802" s="10" t="str">
        <f t="shared" si="203"/>
        <v/>
      </c>
      <c r="B1802" s="11">
        <f>Weekly!$I$3</f>
        <v>45921</v>
      </c>
      <c r="C1802" s="12">
        <v>0.25</v>
      </c>
      <c r="D1802" s="13">
        <f>Weekly!I76</f>
        <v>0</v>
      </c>
      <c r="E1802" s="13" t="str">
        <f t="shared" si="204"/>
        <v/>
      </c>
      <c r="F1802" s="13" t="str">
        <f t="shared" si="207"/>
        <v/>
      </c>
      <c r="G1802" s="13" t="str">
        <f t="shared" si="205"/>
        <v/>
      </c>
      <c r="H1802" s="13" t="str">
        <f t="shared" si="206"/>
        <v/>
      </c>
      <c r="I1802" s="14" t="str">
        <f t="array" ref="I1802">IF(getRGB1(Weekly!I76)="FFFF00","초방","재방")</f>
        <v>초방</v>
      </c>
    </row>
    <row r="1803" spans="1:9" ht="11.25" customHeight="1" x14ac:dyDescent="0.3">
      <c r="A1803" s="10" t="str">
        <f t="shared" si="203"/>
        <v/>
      </c>
      <c r="B1803" s="11">
        <f>Weekly!$I$3</f>
        <v>45921</v>
      </c>
      <c r="C1803" s="12">
        <v>0.25347222222222199</v>
      </c>
      <c r="D1803" s="13">
        <f>Weekly!I77</f>
        <v>0</v>
      </c>
      <c r="E1803" s="13" t="str">
        <f t="shared" si="204"/>
        <v/>
      </c>
      <c r="F1803" s="13" t="str">
        <f t="shared" si="207"/>
        <v/>
      </c>
      <c r="G1803" s="13" t="str">
        <f t="shared" si="205"/>
        <v/>
      </c>
      <c r="H1803" s="13" t="str">
        <f t="shared" si="206"/>
        <v/>
      </c>
      <c r="I1803" s="14" t="str">
        <f t="array" ref="I1803">IF(getRGB1(Weekly!I77)="FFFF00","초방","재방")</f>
        <v>초방</v>
      </c>
    </row>
    <row r="1804" spans="1:9" ht="11.25" customHeight="1" x14ac:dyDescent="0.3">
      <c r="A1804" s="10">
        <f t="shared" si="203"/>
        <v>45921.256944444445</v>
      </c>
      <c r="B1804" s="11">
        <f>Weekly!$I$3</f>
        <v>45921</v>
      </c>
      <c r="C1804" s="12">
        <v>0.25694444444444398</v>
      </c>
      <c r="D1804" s="13" t="str">
        <f>Weekly!I78</f>
        <v>지금은 지방시대
&lt;190</v>
      </c>
      <c r="E1804" s="13" t="str">
        <f t="shared" si="204"/>
        <v>지금은 지방시대</v>
      </c>
      <c r="F1804" s="13">
        <f t="shared" si="207"/>
        <v>190</v>
      </c>
      <c r="G1804" s="13" t="str">
        <f t="shared" si="205"/>
        <v/>
      </c>
      <c r="H1804" s="13" t="str">
        <f t="shared" si="206"/>
        <v/>
      </c>
      <c r="I1804" s="14" t="str">
        <f t="array" ref="I1804">IF(getRGB1(Weekly!I78)="FFFF00","초방","재방")</f>
        <v>재방</v>
      </c>
    </row>
    <row r="1805" spans="1:9" ht="11.25" customHeight="1" x14ac:dyDescent="0.3">
      <c r="A1805" s="10" t="str">
        <f t="shared" si="203"/>
        <v/>
      </c>
      <c r="B1805" s="11">
        <f>Weekly!$I$3</f>
        <v>45921</v>
      </c>
      <c r="C1805" s="12">
        <v>0.26041666666666702</v>
      </c>
      <c r="D1805" s="13">
        <f>Weekly!I79</f>
        <v>0</v>
      </c>
      <c r="E1805" s="13" t="str">
        <f t="shared" si="204"/>
        <v/>
      </c>
      <c r="F1805" s="13" t="str">
        <f t="shared" si="207"/>
        <v/>
      </c>
      <c r="G1805" s="13" t="str">
        <f t="shared" si="205"/>
        <v/>
      </c>
      <c r="H1805" s="13" t="str">
        <f t="shared" si="206"/>
        <v/>
      </c>
      <c r="I1805" s="14" t="str">
        <f t="array" ref="I1805">IF(getRGB1(Weekly!I79)="FFFF00","초방","재방")</f>
        <v>재방</v>
      </c>
    </row>
    <row r="1806" spans="1:9" ht="11.25" customHeight="1" x14ac:dyDescent="0.3">
      <c r="A1806" s="10" t="str">
        <f t="shared" si="203"/>
        <v/>
      </c>
      <c r="B1806" s="11">
        <f>Weekly!$I$3</f>
        <v>45921</v>
      </c>
      <c r="C1806" s="12">
        <v>0.26388888888888901</v>
      </c>
      <c r="D1806" s="13">
        <f>Weekly!I80</f>
        <v>0</v>
      </c>
      <c r="E1806" s="13" t="str">
        <f t="shared" si="204"/>
        <v/>
      </c>
      <c r="F1806" s="13" t="str">
        <f t="shared" si="207"/>
        <v/>
      </c>
      <c r="G1806" s="13" t="str">
        <f t="shared" si="205"/>
        <v/>
      </c>
      <c r="H1806" s="13" t="str">
        <f t="shared" si="206"/>
        <v/>
      </c>
      <c r="I1806" s="14" t="str">
        <f t="array" ref="I1806">IF(getRGB1(Weekly!I80)="FFFF00","초방","재방")</f>
        <v>재방</v>
      </c>
    </row>
    <row r="1807" spans="1:9" ht="11.25" customHeight="1" x14ac:dyDescent="0.3">
      <c r="A1807" s="10" t="str">
        <f t="shared" si="203"/>
        <v/>
      </c>
      <c r="B1807" s="11">
        <f>Weekly!$I$3</f>
        <v>45921</v>
      </c>
      <c r="C1807" s="12">
        <v>0.26736111111111099</v>
      </c>
      <c r="D1807" s="13">
        <f>Weekly!I81</f>
        <v>0</v>
      </c>
      <c r="E1807" s="13" t="str">
        <f t="shared" si="204"/>
        <v/>
      </c>
      <c r="F1807" s="13" t="str">
        <f t="shared" si="207"/>
        <v/>
      </c>
      <c r="G1807" s="13" t="str">
        <f t="shared" si="205"/>
        <v/>
      </c>
      <c r="H1807" s="13" t="str">
        <f t="shared" si="206"/>
        <v/>
      </c>
      <c r="I1807" s="14" t="str">
        <f t="array" ref="I1807">IF(getRGB1(Weekly!I81)="FFFF00","초방","재방")</f>
        <v>재방</v>
      </c>
    </row>
    <row r="1808" spans="1:9" ht="11.25" customHeight="1" x14ac:dyDescent="0.3">
      <c r="A1808" s="10" t="str">
        <f t="shared" si="203"/>
        <v/>
      </c>
      <c r="B1808" s="11">
        <f>Weekly!$I$3</f>
        <v>45921</v>
      </c>
      <c r="C1808" s="12">
        <v>0.27083333333333298</v>
      </c>
      <c r="D1808" s="13">
        <f>Weekly!I82</f>
        <v>0</v>
      </c>
      <c r="E1808" s="13" t="str">
        <f t="shared" si="204"/>
        <v/>
      </c>
      <c r="F1808" s="13" t="str">
        <f t="shared" si="207"/>
        <v/>
      </c>
      <c r="G1808" s="13" t="str">
        <f t="shared" si="205"/>
        <v/>
      </c>
      <c r="H1808" s="13" t="str">
        <f t="shared" si="206"/>
        <v/>
      </c>
      <c r="I1808" s="14" t="str">
        <f t="array" ref="I1808">IF(getRGB1(Weekly!I82)="FFFF00","초방","재방")</f>
        <v>재방</v>
      </c>
    </row>
    <row r="1809" spans="1:9" ht="11.25" customHeight="1" x14ac:dyDescent="0.3">
      <c r="A1809" s="10" t="str">
        <f t="shared" si="203"/>
        <v/>
      </c>
      <c r="B1809" s="11">
        <f>Weekly!$I$3</f>
        <v>45921</v>
      </c>
      <c r="C1809" s="12">
        <v>0.27430555555555602</v>
      </c>
      <c r="D1809" s="13">
        <f>Weekly!I83</f>
        <v>0</v>
      </c>
      <c r="E1809" s="13" t="str">
        <f t="shared" si="204"/>
        <v/>
      </c>
      <c r="F1809" s="13" t="str">
        <f t="shared" si="207"/>
        <v/>
      </c>
      <c r="G1809" s="13" t="str">
        <f t="shared" si="205"/>
        <v/>
      </c>
      <c r="H1809" s="13" t="str">
        <f t="shared" si="206"/>
        <v/>
      </c>
      <c r="I1809" s="14" t="str">
        <f t="array" ref="I1809">IF(getRGB1(Weekly!I83)="FFFF00","초방","재방")</f>
        <v>재방</v>
      </c>
    </row>
    <row r="1810" spans="1:9" ht="11.25" customHeight="1" x14ac:dyDescent="0.3">
      <c r="A1810" s="10" t="str">
        <f t="shared" si="203"/>
        <v/>
      </c>
      <c r="B1810" s="11">
        <f>Weekly!$I$3</f>
        <v>45921</v>
      </c>
      <c r="C1810" s="12">
        <v>0.27777777777777801</v>
      </c>
      <c r="D1810" s="13">
        <f>Weekly!I84</f>
        <v>0</v>
      </c>
      <c r="E1810" s="13" t="str">
        <f t="shared" si="204"/>
        <v/>
      </c>
      <c r="F1810" s="13" t="str">
        <f t="shared" si="207"/>
        <v/>
      </c>
      <c r="G1810" s="13" t="str">
        <f t="shared" si="205"/>
        <v/>
      </c>
      <c r="H1810" s="13" t="str">
        <f t="shared" si="206"/>
        <v/>
      </c>
      <c r="I1810" s="14" t="str">
        <f t="array" ref="I1810">IF(getRGB1(Weekly!I84)="FFFF00","초방","재방")</f>
        <v>재방</v>
      </c>
    </row>
    <row r="1811" spans="1:9" ht="11.25" customHeight="1" x14ac:dyDescent="0.3">
      <c r="A1811" s="10" t="str">
        <f t="shared" si="203"/>
        <v/>
      </c>
      <c r="B1811" s="11">
        <f>Weekly!$I$3</f>
        <v>45921</v>
      </c>
      <c r="C1811" s="12">
        <v>0.28125</v>
      </c>
      <c r="D1811" s="13">
        <f>Weekly!I85</f>
        <v>0</v>
      </c>
      <c r="E1811" s="13" t="str">
        <f t="shared" si="204"/>
        <v/>
      </c>
      <c r="F1811" s="13" t="str">
        <f t="shared" si="207"/>
        <v/>
      </c>
      <c r="G1811" s="13" t="str">
        <f t="shared" si="205"/>
        <v/>
      </c>
      <c r="H1811" s="13" t="str">
        <f t="shared" si="206"/>
        <v/>
      </c>
      <c r="I1811" s="14" t="str">
        <f t="array" ref="I1811">IF(getRGB1(Weekly!I85)="FFFF00","초방","재방")</f>
        <v>재방</v>
      </c>
    </row>
    <row r="1812" spans="1:9" ht="11.25" customHeight="1" x14ac:dyDescent="0.3">
      <c r="A1812" s="10" t="str">
        <f t="shared" si="203"/>
        <v/>
      </c>
      <c r="B1812" s="11">
        <f>Weekly!$I$3</f>
        <v>45921</v>
      </c>
      <c r="C1812" s="12">
        <v>0.28472222222222199</v>
      </c>
      <c r="D1812" s="13">
        <f>Weekly!I86</f>
        <v>0</v>
      </c>
      <c r="E1812" s="13" t="str">
        <f t="shared" si="204"/>
        <v/>
      </c>
      <c r="F1812" s="13" t="str">
        <f t="shared" si="207"/>
        <v/>
      </c>
      <c r="G1812" s="13" t="str">
        <f t="shared" si="205"/>
        <v/>
      </c>
      <c r="H1812" s="13" t="str">
        <f t="shared" si="206"/>
        <v/>
      </c>
      <c r="I1812" s="14" t="str">
        <f t="array" ref="I1812">IF(getRGB1(Weekly!I86)="FFFF00","초방","재방")</f>
        <v>재방</v>
      </c>
    </row>
    <row r="1813" spans="1:9" ht="11.25" customHeight="1" x14ac:dyDescent="0.3">
      <c r="A1813" s="10" t="str">
        <f t="shared" si="203"/>
        <v/>
      </c>
      <c r="B1813" s="11">
        <f>Weekly!$I$3</f>
        <v>45921</v>
      </c>
      <c r="C1813" s="12">
        <v>0.28819444444444398</v>
      </c>
      <c r="D1813" s="13">
        <f>Weekly!I87</f>
        <v>0</v>
      </c>
      <c r="E1813" s="13" t="str">
        <f t="shared" si="204"/>
        <v/>
      </c>
      <c r="F1813" s="13" t="str">
        <f t="shared" si="207"/>
        <v/>
      </c>
      <c r="G1813" s="13" t="str">
        <f t="shared" si="205"/>
        <v/>
      </c>
      <c r="H1813" s="13" t="str">
        <f t="shared" si="206"/>
        <v/>
      </c>
      <c r="I1813" s="14" t="str">
        <f t="array" ref="I1813">IF(getRGB1(Weekly!I87)="FFFF00","초방","재방")</f>
        <v>재방</v>
      </c>
    </row>
    <row r="1814" spans="1:9" ht="11.25" customHeight="1" x14ac:dyDescent="0.3">
      <c r="A1814" s="10">
        <f t="shared" si="203"/>
        <v>45921.291666666664</v>
      </c>
      <c r="B1814" s="11">
        <f>Weekly!$I$3</f>
        <v>45921</v>
      </c>
      <c r="C1814" s="12">
        <v>0.29166666666666702</v>
      </c>
      <c r="D1814" s="13" t="str">
        <f>Weekly!I88</f>
        <v>최선규의 이제는 지방시대
&lt;04</v>
      </c>
      <c r="E1814" s="13" t="str">
        <f t="shared" si="204"/>
        <v>최선규의 이제는 지방시대</v>
      </c>
      <c r="F1814" s="13">
        <f t="shared" si="207"/>
        <v>4</v>
      </c>
      <c r="G1814" s="13" t="str">
        <f t="shared" si="205"/>
        <v/>
      </c>
      <c r="H1814" s="13" t="str">
        <f t="shared" si="206"/>
        <v/>
      </c>
      <c r="I1814" s="14" t="str">
        <f t="array" ref="I1814">IF(getRGB1(Weekly!I88)="FFFF00","초방","재방")</f>
        <v>재방</v>
      </c>
    </row>
    <row r="1815" spans="1:9" ht="11.25" customHeight="1" x14ac:dyDescent="0.3">
      <c r="A1815" s="10" t="str">
        <f t="shared" si="203"/>
        <v/>
      </c>
      <c r="B1815" s="11">
        <f>Weekly!$I$3</f>
        <v>45921</v>
      </c>
      <c r="C1815" s="12">
        <v>0.29513888888888901</v>
      </c>
      <c r="D1815" s="13">
        <f>Weekly!I89</f>
        <v>0</v>
      </c>
      <c r="E1815" s="13" t="str">
        <f t="shared" si="204"/>
        <v/>
      </c>
      <c r="F1815" s="13" t="str">
        <f t="shared" si="207"/>
        <v/>
      </c>
      <c r="G1815" s="13" t="str">
        <f t="shared" si="205"/>
        <v/>
      </c>
      <c r="H1815" s="13" t="str">
        <f t="shared" si="206"/>
        <v/>
      </c>
      <c r="I1815" s="14" t="str">
        <f t="array" ref="I1815">IF(getRGB1(Weekly!I89)="FFFF00","초방","재방")</f>
        <v>재방</v>
      </c>
    </row>
    <row r="1816" spans="1:9" ht="11.25" customHeight="1" x14ac:dyDescent="0.3">
      <c r="A1816" s="10" t="str">
        <f t="shared" si="203"/>
        <v/>
      </c>
      <c r="B1816" s="11">
        <f>Weekly!$I$3</f>
        <v>45921</v>
      </c>
      <c r="C1816" s="12">
        <v>0.29861111111111099</v>
      </c>
      <c r="D1816" s="13">
        <f>Weekly!I90</f>
        <v>0</v>
      </c>
      <c r="E1816" s="13" t="str">
        <f t="shared" si="204"/>
        <v/>
      </c>
      <c r="F1816" s="13" t="str">
        <f t="shared" si="207"/>
        <v/>
      </c>
      <c r="G1816" s="13" t="str">
        <f t="shared" si="205"/>
        <v/>
      </c>
      <c r="H1816" s="13" t="str">
        <f t="shared" si="206"/>
        <v/>
      </c>
      <c r="I1816" s="14" t="str">
        <f t="array" ref="I1816">IF(getRGB1(Weekly!I90)="FFFF00","초방","재방")</f>
        <v>재방</v>
      </c>
    </row>
    <row r="1817" spans="1:9" ht="11.25" customHeight="1" x14ac:dyDescent="0.3">
      <c r="A1817" s="10" t="str">
        <f t="shared" si="203"/>
        <v/>
      </c>
      <c r="B1817" s="11">
        <f>Weekly!$I$3</f>
        <v>45921</v>
      </c>
      <c r="C1817" s="12">
        <v>0.30208333333333298</v>
      </c>
      <c r="D1817" s="13">
        <f>Weekly!I91</f>
        <v>0</v>
      </c>
      <c r="E1817" s="13" t="str">
        <f t="shared" si="204"/>
        <v/>
      </c>
      <c r="F1817" s="13" t="str">
        <f t="shared" si="207"/>
        <v/>
      </c>
      <c r="G1817" s="13" t="str">
        <f t="shared" si="205"/>
        <v/>
      </c>
      <c r="H1817" s="13" t="str">
        <f t="shared" si="206"/>
        <v/>
      </c>
      <c r="I1817" s="14" t="str">
        <f t="array" ref="I1817">IF(getRGB1(Weekly!I91)="FFFF00","초방","재방")</f>
        <v>재방</v>
      </c>
    </row>
    <row r="1818" spans="1:9" ht="11.25" customHeight="1" x14ac:dyDescent="0.3">
      <c r="A1818" s="10" t="str">
        <f t="shared" si="203"/>
        <v/>
      </c>
      <c r="B1818" s="11">
        <f>Weekly!$I$3</f>
        <v>45921</v>
      </c>
      <c r="C1818" s="12">
        <v>0.30555555555555602</v>
      </c>
      <c r="D1818" s="13">
        <f>Weekly!I92</f>
        <v>0</v>
      </c>
      <c r="E1818" s="13" t="str">
        <f t="shared" si="204"/>
        <v/>
      </c>
      <c r="F1818" s="13" t="str">
        <f t="shared" si="207"/>
        <v/>
      </c>
      <c r="G1818" s="13" t="str">
        <f t="shared" si="205"/>
        <v/>
      </c>
      <c r="H1818" s="13" t="str">
        <f t="shared" si="206"/>
        <v/>
      </c>
      <c r="I1818" s="14" t="str">
        <f t="array" ref="I1818">IF(getRGB1(Weekly!I92)="FFFF00","초방","재방")</f>
        <v>재방</v>
      </c>
    </row>
    <row r="1819" spans="1:9" ht="11.25" customHeight="1" x14ac:dyDescent="0.3">
      <c r="A1819" s="10" t="str">
        <f t="shared" si="203"/>
        <v/>
      </c>
      <c r="B1819" s="11">
        <f>Weekly!$I$3</f>
        <v>45921</v>
      </c>
      <c r="C1819" s="12">
        <v>0.30902777777777801</v>
      </c>
      <c r="D1819" s="13">
        <f>Weekly!I93</f>
        <v>0</v>
      </c>
      <c r="E1819" s="13" t="str">
        <f t="shared" si="204"/>
        <v/>
      </c>
      <c r="F1819" s="13" t="str">
        <f t="shared" si="207"/>
        <v/>
      </c>
      <c r="G1819" s="13" t="str">
        <f t="shared" si="205"/>
        <v/>
      </c>
      <c r="H1819" s="13" t="str">
        <f t="shared" si="206"/>
        <v/>
      </c>
      <c r="I1819" s="14" t="str">
        <f t="array" ref="I1819">IF(getRGB1(Weekly!I93)="FFFF00","초방","재방")</f>
        <v>재방</v>
      </c>
    </row>
    <row r="1820" spans="1:9" ht="11.25" customHeight="1" x14ac:dyDescent="0.3">
      <c r="A1820" s="10" t="str">
        <f t="shared" si="203"/>
        <v/>
      </c>
      <c r="B1820" s="11">
        <f>Weekly!$I$3</f>
        <v>45921</v>
      </c>
      <c r="C1820" s="12">
        <v>0.3125</v>
      </c>
      <c r="D1820" s="13">
        <f>Weekly!I94</f>
        <v>0</v>
      </c>
      <c r="E1820" s="13" t="str">
        <f t="shared" si="204"/>
        <v/>
      </c>
      <c r="F1820" s="13" t="str">
        <f t="shared" si="207"/>
        <v/>
      </c>
      <c r="G1820" s="13" t="str">
        <f t="shared" si="205"/>
        <v/>
      </c>
      <c r="H1820" s="13" t="str">
        <f t="shared" si="206"/>
        <v/>
      </c>
      <c r="I1820" s="14" t="str">
        <f t="array" ref="I1820">IF(getRGB1(Weekly!I94)="FFFF00","초방","재방")</f>
        <v>재방</v>
      </c>
    </row>
    <row r="1821" spans="1:9" ht="11.25" customHeight="1" x14ac:dyDescent="0.3">
      <c r="A1821" s="10" t="str">
        <f t="shared" si="203"/>
        <v/>
      </c>
      <c r="B1821" s="11">
        <f>Weekly!$I$3</f>
        <v>45921</v>
      </c>
      <c r="C1821" s="12">
        <v>0.31597222222222199</v>
      </c>
      <c r="D1821" s="13">
        <f>Weekly!I95</f>
        <v>0</v>
      </c>
      <c r="E1821" s="13" t="str">
        <f t="shared" si="204"/>
        <v/>
      </c>
      <c r="F1821" s="13" t="str">
        <f t="shared" si="207"/>
        <v/>
      </c>
      <c r="G1821" s="13" t="str">
        <f t="shared" si="205"/>
        <v/>
      </c>
      <c r="H1821" s="13" t="str">
        <f t="shared" si="206"/>
        <v/>
      </c>
      <c r="I1821" s="14" t="str">
        <f t="array" ref="I1821">IF(getRGB1(Weekly!I95)="FFFF00","초방","재방")</f>
        <v>재방</v>
      </c>
    </row>
    <row r="1822" spans="1:9" ht="11.25" customHeight="1" x14ac:dyDescent="0.3">
      <c r="A1822" s="10" t="str">
        <f t="shared" si="203"/>
        <v/>
      </c>
      <c r="B1822" s="11">
        <f>Weekly!$I$3</f>
        <v>45921</v>
      </c>
      <c r="C1822" s="12">
        <v>0.31944444444444398</v>
      </c>
      <c r="D1822" s="13">
        <f>Weekly!I96</f>
        <v>0</v>
      </c>
      <c r="E1822" s="13" t="str">
        <f t="shared" si="204"/>
        <v/>
      </c>
      <c r="F1822" s="13" t="str">
        <f t="shared" si="207"/>
        <v/>
      </c>
      <c r="G1822" s="13" t="str">
        <f t="shared" si="205"/>
        <v/>
      </c>
      <c r="H1822" s="13" t="str">
        <f t="shared" si="206"/>
        <v/>
      </c>
      <c r="I1822" s="14" t="str">
        <f t="array" ref="I1822">IF(getRGB1(Weekly!I96)="FFFF00","초방","재방")</f>
        <v>재방</v>
      </c>
    </row>
    <row r="1823" spans="1:9" ht="11.25" customHeight="1" x14ac:dyDescent="0.3">
      <c r="A1823" s="10" t="str">
        <f t="shared" si="203"/>
        <v/>
      </c>
      <c r="B1823" s="11">
        <f>Weekly!$I$3</f>
        <v>45921</v>
      </c>
      <c r="C1823" s="12">
        <v>0.32291666666666702</v>
      </c>
      <c r="D1823" s="13">
        <f>Weekly!I97</f>
        <v>0</v>
      </c>
      <c r="E1823" s="13" t="str">
        <f t="shared" si="204"/>
        <v/>
      </c>
      <c r="F1823" s="13" t="str">
        <f t="shared" si="207"/>
        <v/>
      </c>
      <c r="G1823" s="13" t="str">
        <f t="shared" si="205"/>
        <v/>
      </c>
      <c r="H1823" s="13" t="str">
        <f t="shared" si="206"/>
        <v/>
      </c>
      <c r="I1823" s="14" t="str">
        <f t="array" ref="I1823">IF(getRGB1(Weekly!I97)="FFFF00","초방","재방")</f>
        <v>재방</v>
      </c>
    </row>
    <row r="1824" spans="1:9" ht="11.25" customHeight="1" x14ac:dyDescent="0.3">
      <c r="A1824" s="10" t="str">
        <f t="shared" si="203"/>
        <v/>
      </c>
      <c r="B1824" s="11">
        <f>Weekly!$I$3</f>
        <v>45921</v>
      </c>
      <c r="C1824" s="12">
        <v>0.32638888888888901</v>
      </c>
      <c r="D1824" s="13">
        <f>Weekly!I98</f>
        <v>0</v>
      </c>
      <c r="E1824" s="13" t="str">
        <f t="shared" si="204"/>
        <v/>
      </c>
      <c r="F1824" s="13" t="str">
        <f t="shared" si="207"/>
        <v/>
      </c>
      <c r="G1824" s="13" t="str">
        <f t="shared" si="205"/>
        <v/>
      </c>
      <c r="H1824" s="13" t="str">
        <f t="shared" si="206"/>
        <v/>
      </c>
      <c r="I1824" s="14" t="str">
        <f t="array" ref="I1824">IF(getRGB1(Weekly!I98)="FFFF00","초방","재방")</f>
        <v>재방</v>
      </c>
    </row>
    <row r="1825" spans="1:9" ht="11.25" customHeight="1" x14ac:dyDescent="0.3">
      <c r="A1825" s="10" t="str">
        <f t="shared" si="203"/>
        <v/>
      </c>
      <c r="B1825" s="11">
        <f>Weekly!$I$3</f>
        <v>45921</v>
      </c>
      <c r="C1825" s="12">
        <v>0.32986111111111099</v>
      </c>
      <c r="D1825" s="13">
        <f>Weekly!I99</f>
        <v>0</v>
      </c>
      <c r="E1825" s="13" t="str">
        <f t="shared" si="204"/>
        <v/>
      </c>
      <c r="F1825" s="13" t="str">
        <f t="shared" si="207"/>
        <v/>
      </c>
      <c r="G1825" s="13" t="str">
        <f t="shared" si="205"/>
        <v/>
      </c>
      <c r="H1825" s="13" t="str">
        <f t="shared" si="206"/>
        <v/>
      </c>
      <c r="I1825" s="14" t="str">
        <f t="array" ref="I1825">IF(getRGB1(Weekly!I99)="FFFF00","초방","재방")</f>
        <v>재방</v>
      </c>
    </row>
    <row r="1826" spans="1:9" ht="11.25" customHeight="1" x14ac:dyDescent="0.3">
      <c r="A1826" s="10">
        <f t="shared" si="203"/>
        <v>45921.333333333336</v>
      </c>
      <c r="B1826" s="11">
        <f>Weekly!$I$3</f>
        <v>45921</v>
      </c>
      <c r="C1826" s="12">
        <v>0.33333333333333298</v>
      </c>
      <c r="D1826" s="13" t="str">
        <f>Weekly!I100</f>
        <v xml:space="preserve"> NEWSPLUS
&lt;64</v>
      </c>
      <c r="E1826" s="13" t="str">
        <f t="shared" si="204"/>
        <v>NEWSPLUS</v>
      </c>
      <c r="F1826" s="13">
        <f t="shared" si="207"/>
        <v>64</v>
      </c>
      <c r="G1826" s="13" t="str">
        <f t="shared" si="205"/>
        <v/>
      </c>
      <c r="H1826" s="13" t="str">
        <f t="shared" si="206"/>
        <v/>
      </c>
      <c r="I1826" s="14" t="str">
        <f t="array" ref="I1826">IF(getRGB1(Weekly!I100)="FFFF00","초방","재방")</f>
        <v>재방</v>
      </c>
    </row>
    <row r="1827" spans="1:9" ht="11.25" customHeight="1" x14ac:dyDescent="0.3">
      <c r="A1827" s="10" t="str">
        <f t="shared" si="203"/>
        <v/>
      </c>
      <c r="B1827" s="11">
        <f>Weekly!$I$3</f>
        <v>45921</v>
      </c>
      <c r="C1827" s="12">
        <v>0.33680555555555602</v>
      </c>
      <c r="D1827" s="13">
        <f>Weekly!I101</f>
        <v>0</v>
      </c>
      <c r="E1827" s="13" t="str">
        <f t="shared" si="204"/>
        <v/>
      </c>
      <c r="F1827" s="13" t="str">
        <f t="shared" si="207"/>
        <v/>
      </c>
      <c r="G1827" s="13" t="str">
        <f t="shared" si="205"/>
        <v/>
      </c>
      <c r="H1827" s="13" t="str">
        <f t="shared" si="206"/>
        <v/>
      </c>
      <c r="I1827" s="14" t="str">
        <f t="array" ref="I1827">IF(getRGB1(Weekly!I101)="FFFF00","초방","재방")</f>
        <v>재방</v>
      </c>
    </row>
    <row r="1828" spans="1:9" ht="11.25" customHeight="1" x14ac:dyDescent="0.3">
      <c r="A1828" s="10" t="str">
        <f t="shared" si="203"/>
        <v/>
      </c>
      <c r="B1828" s="11">
        <f>Weekly!$I$3</f>
        <v>45921</v>
      </c>
      <c r="C1828" s="12">
        <v>0.34027777777777801</v>
      </c>
      <c r="D1828" s="13">
        <f>Weekly!I102</f>
        <v>0</v>
      </c>
      <c r="E1828" s="13" t="str">
        <f t="shared" si="204"/>
        <v/>
      </c>
      <c r="F1828" s="13" t="str">
        <f t="shared" si="207"/>
        <v/>
      </c>
      <c r="G1828" s="13" t="str">
        <f t="shared" si="205"/>
        <v/>
      </c>
      <c r="H1828" s="13" t="str">
        <f t="shared" si="206"/>
        <v/>
      </c>
      <c r="I1828" s="14" t="str">
        <f t="array" ref="I1828">IF(getRGB1(Weekly!I102)="FFFF00","초방","재방")</f>
        <v>재방</v>
      </c>
    </row>
    <row r="1829" spans="1:9" ht="11.25" customHeight="1" x14ac:dyDescent="0.3">
      <c r="A1829" s="10" t="str">
        <f t="shared" si="203"/>
        <v/>
      </c>
      <c r="B1829" s="11">
        <f>Weekly!$I$3</f>
        <v>45921</v>
      </c>
      <c r="C1829" s="12">
        <v>0.34375</v>
      </c>
      <c r="D1829" s="13">
        <f>Weekly!I103</f>
        <v>0</v>
      </c>
      <c r="E1829" s="13" t="str">
        <f t="shared" si="204"/>
        <v/>
      </c>
      <c r="F1829" s="13" t="str">
        <f t="shared" si="207"/>
        <v/>
      </c>
      <c r="G1829" s="13" t="str">
        <f t="shared" si="205"/>
        <v/>
      </c>
      <c r="H1829" s="13" t="str">
        <f t="shared" si="206"/>
        <v/>
      </c>
      <c r="I1829" s="14" t="str">
        <f t="array" ref="I1829">IF(getRGB1(Weekly!I103)="FFFF00","초방","재방")</f>
        <v>재방</v>
      </c>
    </row>
    <row r="1830" spans="1:9" ht="11.25" customHeight="1" x14ac:dyDescent="0.3">
      <c r="A1830" s="10" t="str">
        <f t="shared" si="203"/>
        <v/>
      </c>
      <c r="B1830" s="11">
        <f>Weekly!$I$3</f>
        <v>45921</v>
      </c>
      <c r="C1830" s="12">
        <v>0.34722222222222199</v>
      </c>
      <c r="D1830" s="13">
        <f>Weekly!I104</f>
        <v>0</v>
      </c>
      <c r="E1830" s="13" t="str">
        <f t="shared" si="204"/>
        <v/>
      </c>
      <c r="F1830" s="13" t="str">
        <f t="shared" si="207"/>
        <v/>
      </c>
      <c r="G1830" s="13" t="str">
        <f t="shared" si="205"/>
        <v/>
      </c>
      <c r="H1830" s="13" t="str">
        <f t="shared" si="206"/>
        <v/>
      </c>
      <c r="I1830" s="14" t="str">
        <f t="array" ref="I1830">IF(getRGB1(Weekly!I104)="FFFF00","초방","재방")</f>
        <v>재방</v>
      </c>
    </row>
    <row r="1831" spans="1:9" ht="11.25" customHeight="1" x14ac:dyDescent="0.3">
      <c r="A1831" s="10" t="str">
        <f t="shared" si="203"/>
        <v/>
      </c>
      <c r="B1831" s="11">
        <f>Weekly!$I$3</f>
        <v>45921</v>
      </c>
      <c r="C1831" s="12">
        <v>0.35069444444444398</v>
      </c>
      <c r="D1831" s="13">
        <f>Weekly!I105</f>
        <v>0</v>
      </c>
      <c r="E1831" s="13" t="str">
        <f t="shared" si="204"/>
        <v/>
      </c>
      <c r="F1831" s="13" t="str">
        <f t="shared" si="207"/>
        <v/>
      </c>
      <c r="G1831" s="13" t="str">
        <f t="shared" si="205"/>
        <v/>
      </c>
      <c r="H1831" s="13" t="str">
        <f t="shared" si="206"/>
        <v/>
      </c>
      <c r="I1831" s="14" t="str">
        <f t="array" ref="I1831">IF(getRGB1(Weekly!I105)="FFFF00","초방","재방")</f>
        <v>재방</v>
      </c>
    </row>
    <row r="1832" spans="1:9" ht="11.25" customHeight="1" x14ac:dyDescent="0.3">
      <c r="A1832" s="10">
        <f t="shared" si="203"/>
        <v>45921.354166666664</v>
      </c>
      <c r="B1832" s="11">
        <f>Weekly!$I$3</f>
        <v>45921</v>
      </c>
      <c r="C1832" s="12">
        <v>0.35416666666666702</v>
      </c>
      <c r="D1832" s="13" t="str">
        <f>Weekly!I106</f>
        <v>남도스럽게
&lt;03</v>
      </c>
      <c r="E1832" s="13" t="str">
        <f t="shared" si="204"/>
        <v>남도스럽게</v>
      </c>
      <c r="F1832" s="13">
        <f t="shared" si="207"/>
        <v>3</v>
      </c>
      <c r="G1832" s="13" t="str">
        <f t="shared" si="205"/>
        <v/>
      </c>
      <c r="H1832" s="13" t="str">
        <f t="shared" si="206"/>
        <v/>
      </c>
      <c r="I1832" s="14" t="str">
        <f t="array" ref="I1832">IF(getRGB1(Weekly!I106)="FFFF00","초방","재방")</f>
        <v>재방</v>
      </c>
    </row>
    <row r="1833" spans="1:9" ht="11.25" customHeight="1" x14ac:dyDescent="0.3">
      <c r="A1833" s="10" t="str">
        <f t="shared" si="203"/>
        <v/>
      </c>
      <c r="B1833" s="11">
        <f>Weekly!$I$3</f>
        <v>45921</v>
      </c>
      <c r="C1833" s="12">
        <v>0.35763888888888901</v>
      </c>
      <c r="D1833" s="13">
        <f>Weekly!I107</f>
        <v>0</v>
      </c>
      <c r="E1833" s="13" t="str">
        <f t="shared" si="204"/>
        <v/>
      </c>
      <c r="F1833" s="13" t="str">
        <f t="shared" si="207"/>
        <v/>
      </c>
      <c r="G1833" s="13" t="str">
        <f t="shared" si="205"/>
        <v/>
      </c>
      <c r="H1833" s="13" t="str">
        <f t="shared" si="206"/>
        <v/>
      </c>
      <c r="I1833" s="14" t="str">
        <f t="array" ref="I1833">IF(getRGB1(Weekly!I107)="FFFF00","초방","재방")</f>
        <v>재방</v>
      </c>
    </row>
    <row r="1834" spans="1:9" ht="11.25" customHeight="1" x14ac:dyDescent="0.3">
      <c r="A1834" s="10" t="str">
        <f t="shared" si="203"/>
        <v/>
      </c>
      <c r="B1834" s="11">
        <f>Weekly!$I$3</f>
        <v>45921</v>
      </c>
      <c r="C1834" s="12">
        <v>0.36111111111111099</v>
      </c>
      <c r="D1834" s="13">
        <f>Weekly!I108</f>
        <v>0</v>
      </c>
      <c r="E1834" s="13" t="str">
        <f t="shared" si="204"/>
        <v/>
      </c>
      <c r="F1834" s="13" t="str">
        <f t="shared" si="207"/>
        <v/>
      </c>
      <c r="G1834" s="13" t="str">
        <f t="shared" si="205"/>
        <v/>
      </c>
      <c r="H1834" s="13" t="str">
        <f t="shared" si="206"/>
        <v/>
      </c>
      <c r="I1834" s="14" t="str">
        <f t="array" ref="I1834">IF(getRGB1(Weekly!I108)="FFFF00","초방","재방")</f>
        <v>재방</v>
      </c>
    </row>
    <row r="1835" spans="1:9" ht="11.25" customHeight="1" x14ac:dyDescent="0.3">
      <c r="A1835" s="10" t="str">
        <f t="shared" si="203"/>
        <v/>
      </c>
      <c r="B1835" s="11">
        <f>Weekly!$I$3</f>
        <v>45921</v>
      </c>
      <c r="C1835" s="12">
        <v>0.36458333333333298</v>
      </c>
      <c r="D1835" s="13">
        <f>Weekly!I109</f>
        <v>0</v>
      </c>
      <c r="E1835" s="13" t="str">
        <f t="shared" si="204"/>
        <v/>
      </c>
      <c r="F1835" s="13" t="str">
        <f t="shared" si="207"/>
        <v/>
      </c>
      <c r="G1835" s="13" t="str">
        <f t="shared" si="205"/>
        <v/>
      </c>
      <c r="H1835" s="13" t="str">
        <f t="shared" si="206"/>
        <v/>
      </c>
      <c r="I1835" s="14" t="str">
        <f t="array" ref="I1835">IF(getRGB1(Weekly!I109)="FFFF00","초방","재방")</f>
        <v>재방</v>
      </c>
    </row>
    <row r="1836" spans="1:9" ht="11.25" customHeight="1" x14ac:dyDescent="0.3">
      <c r="A1836" s="10" t="str">
        <f t="shared" si="203"/>
        <v/>
      </c>
      <c r="B1836" s="11">
        <f>Weekly!$I$3</f>
        <v>45921</v>
      </c>
      <c r="C1836" s="12">
        <v>0.36805555555555602</v>
      </c>
      <c r="D1836" s="13">
        <f>Weekly!I110</f>
        <v>0</v>
      </c>
      <c r="E1836" s="13" t="str">
        <f t="shared" si="204"/>
        <v/>
      </c>
      <c r="F1836" s="13" t="str">
        <f t="shared" si="207"/>
        <v/>
      </c>
      <c r="G1836" s="13" t="str">
        <f t="shared" si="205"/>
        <v/>
      </c>
      <c r="H1836" s="13" t="str">
        <f t="shared" si="206"/>
        <v/>
      </c>
      <c r="I1836" s="14" t="str">
        <f t="array" ref="I1836">IF(getRGB1(Weekly!I110)="FFFF00","초방","재방")</f>
        <v>재방</v>
      </c>
    </row>
    <row r="1837" spans="1:9" ht="11.25" customHeight="1" x14ac:dyDescent="0.3">
      <c r="A1837" s="10" t="str">
        <f t="shared" si="203"/>
        <v/>
      </c>
      <c r="B1837" s="11">
        <f>Weekly!$I$3</f>
        <v>45921</v>
      </c>
      <c r="C1837" s="12">
        <v>0.37152777777777801</v>
      </c>
      <c r="D1837" s="13">
        <f>Weekly!I111</f>
        <v>0</v>
      </c>
      <c r="E1837" s="13" t="str">
        <f t="shared" si="204"/>
        <v/>
      </c>
      <c r="F1837" s="13" t="str">
        <f t="shared" si="207"/>
        <v/>
      </c>
      <c r="G1837" s="13" t="str">
        <f t="shared" si="205"/>
        <v/>
      </c>
      <c r="H1837" s="13" t="str">
        <f t="shared" si="206"/>
        <v/>
      </c>
      <c r="I1837" s="14" t="str">
        <f t="array" ref="I1837">IF(getRGB1(Weekly!I111)="FFFF00","초방","재방")</f>
        <v>재방</v>
      </c>
    </row>
    <row r="1838" spans="1:9" ht="11.25" customHeight="1" x14ac:dyDescent="0.3">
      <c r="A1838" s="10" t="str">
        <f t="shared" si="203"/>
        <v/>
      </c>
      <c r="B1838" s="11">
        <f>Weekly!$I$3</f>
        <v>45921</v>
      </c>
      <c r="C1838" s="12">
        <v>0.375</v>
      </c>
      <c r="D1838" s="13">
        <f>Weekly!I112</f>
        <v>0</v>
      </c>
      <c r="E1838" s="13" t="str">
        <f t="shared" si="204"/>
        <v/>
      </c>
      <c r="F1838" s="13" t="str">
        <f t="shared" si="207"/>
        <v/>
      </c>
      <c r="G1838" s="13" t="str">
        <f t="shared" si="205"/>
        <v/>
      </c>
      <c r="H1838" s="13" t="str">
        <f t="shared" si="206"/>
        <v/>
      </c>
      <c r="I1838" s="14" t="str">
        <f t="array" ref="I1838">IF(getRGB1(Weekly!I112)="FFFF00","초방","재방")</f>
        <v>재방</v>
      </c>
    </row>
    <row r="1839" spans="1:9" ht="11.25" customHeight="1" x14ac:dyDescent="0.3">
      <c r="A1839" s="10" t="str">
        <f t="shared" si="203"/>
        <v/>
      </c>
      <c r="B1839" s="11">
        <f>Weekly!$I$3</f>
        <v>45921</v>
      </c>
      <c r="C1839" s="12">
        <v>0.37847222222222199</v>
      </c>
      <c r="D1839" s="13">
        <f>Weekly!I113</f>
        <v>0</v>
      </c>
      <c r="E1839" s="13" t="str">
        <f t="shared" si="204"/>
        <v/>
      </c>
      <c r="F1839" s="13" t="str">
        <f t="shared" si="207"/>
        <v/>
      </c>
      <c r="G1839" s="13" t="str">
        <f t="shared" si="205"/>
        <v/>
      </c>
      <c r="H1839" s="13" t="str">
        <f t="shared" si="206"/>
        <v/>
      </c>
      <c r="I1839" s="14" t="str">
        <f t="array" ref="I1839">IF(getRGB1(Weekly!I113)="FFFF00","초방","재방")</f>
        <v>재방</v>
      </c>
    </row>
    <row r="1840" spans="1:9" ht="11.25" customHeight="1" x14ac:dyDescent="0.3">
      <c r="A1840" s="10" t="str">
        <f t="shared" si="203"/>
        <v/>
      </c>
      <c r="B1840" s="11">
        <f>Weekly!$I$3</f>
        <v>45921</v>
      </c>
      <c r="C1840" s="12">
        <v>0.38194444444444398</v>
      </c>
      <c r="D1840" s="13">
        <f>Weekly!I114</f>
        <v>0</v>
      </c>
      <c r="E1840" s="13" t="str">
        <f t="shared" si="204"/>
        <v/>
      </c>
      <c r="F1840" s="13" t="str">
        <f t="shared" si="207"/>
        <v/>
      </c>
      <c r="G1840" s="13" t="str">
        <f t="shared" si="205"/>
        <v/>
      </c>
      <c r="H1840" s="13" t="str">
        <f t="shared" si="206"/>
        <v/>
      </c>
      <c r="I1840" s="14" t="str">
        <f t="array" ref="I1840">IF(getRGB1(Weekly!I114)="FFFF00","초방","재방")</f>
        <v>재방</v>
      </c>
    </row>
    <row r="1841" spans="1:9" ht="11.25" customHeight="1" x14ac:dyDescent="0.3">
      <c r="A1841" s="10" t="str">
        <f t="shared" si="203"/>
        <v/>
      </c>
      <c r="B1841" s="11">
        <f>Weekly!$I$3</f>
        <v>45921</v>
      </c>
      <c r="C1841" s="12">
        <v>0.38541666666666702</v>
      </c>
      <c r="D1841" s="13">
        <f>Weekly!I115</f>
        <v>0</v>
      </c>
      <c r="E1841" s="13" t="str">
        <f t="shared" si="204"/>
        <v/>
      </c>
      <c r="F1841" s="13" t="str">
        <f t="shared" si="207"/>
        <v/>
      </c>
      <c r="G1841" s="13" t="str">
        <f t="shared" si="205"/>
        <v/>
      </c>
      <c r="H1841" s="13" t="str">
        <f t="shared" si="206"/>
        <v/>
      </c>
      <c r="I1841" s="14" t="str">
        <f t="array" ref="I1841">IF(getRGB1(Weekly!I115)="FFFF00","초방","재방")</f>
        <v>재방</v>
      </c>
    </row>
    <row r="1842" spans="1:9" ht="11.25" customHeight="1" x14ac:dyDescent="0.3">
      <c r="A1842" s="10">
        <f t="shared" si="203"/>
        <v>45921.388888888891</v>
      </c>
      <c r="B1842" s="11">
        <f>Weekly!$I$3</f>
        <v>45921</v>
      </c>
      <c r="C1842" s="12">
        <v>0.38888888888888901</v>
      </c>
      <c r="D1842" s="13" t="str">
        <f>Weekly!I116</f>
        <v>눈에 띄는 그녀들 시즌5
&lt;03</v>
      </c>
      <c r="E1842" s="13" t="str">
        <f t="shared" si="204"/>
        <v>눈에 띄는 그녀들 시즌5</v>
      </c>
      <c r="F1842" s="13">
        <f t="shared" si="207"/>
        <v>3</v>
      </c>
      <c r="G1842" s="13" t="str">
        <f t="shared" si="205"/>
        <v/>
      </c>
      <c r="H1842" s="13" t="str">
        <f t="shared" si="206"/>
        <v/>
      </c>
      <c r="I1842" s="14" t="str">
        <f t="array" ref="I1842">IF(getRGB1(Weekly!I116)="FFFF00","초방","재방")</f>
        <v>재방</v>
      </c>
    </row>
    <row r="1843" spans="1:9" ht="11.25" customHeight="1" x14ac:dyDescent="0.3">
      <c r="A1843" s="10" t="str">
        <f t="shared" si="203"/>
        <v/>
      </c>
      <c r="B1843" s="11">
        <f>Weekly!$I$3</f>
        <v>45921</v>
      </c>
      <c r="C1843" s="12">
        <v>0.39236111111111099</v>
      </c>
      <c r="D1843" s="13">
        <f>Weekly!I117</f>
        <v>0</v>
      </c>
      <c r="E1843" s="13" t="str">
        <f t="shared" si="204"/>
        <v/>
      </c>
      <c r="F1843" s="13" t="str">
        <f t="shared" si="207"/>
        <v/>
      </c>
      <c r="G1843" s="13" t="str">
        <f t="shared" si="205"/>
        <v/>
      </c>
      <c r="H1843" s="13" t="str">
        <f t="shared" si="206"/>
        <v/>
      </c>
      <c r="I1843" s="14" t="str">
        <f t="array" ref="I1843">IF(getRGB1(Weekly!I117)="FFFF00","초방","재방")</f>
        <v>재방</v>
      </c>
    </row>
    <row r="1844" spans="1:9" ht="11.25" customHeight="1" x14ac:dyDescent="0.3">
      <c r="A1844" s="10" t="str">
        <f t="shared" si="203"/>
        <v/>
      </c>
      <c r="B1844" s="11">
        <f>Weekly!$I$3</f>
        <v>45921</v>
      </c>
      <c r="C1844" s="12">
        <v>0.39583333333333298</v>
      </c>
      <c r="D1844" s="13">
        <f>Weekly!I118</f>
        <v>0</v>
      </c>
      <c r="E1844" s="13" t="str">
        <f t="shared" si="204"/>
        <v/>
      </c>
      <c r="F1844" s="13" t="str">
        <f t="shared" si="207"/>
        <v/>
      </c>
      <c r="G1844" s="13" t="str">
        <f t="shared" si="205"/>
        <v/>
      </c>
      <c r="H1844" s="13" t="str">
        <f t="shared" si="206"/>
        <v/>
      </c>
      <c r="I1844" s="14" t="str">
        <f t="array" ref="I1844">IF(getRGB1(Weekly!I118)="FFFF00","초방","재방")</f>
        <v>재방</v>
      </c>
    </row>
    <row r="1845" spans="1:9" ht="11.25" customHeight="1" x14ac:dyDescent="0.3">
      <c r="A1845" s="10" t="str">
        <f t="shared" si="203"/>
        <v/>
      </c>
      <c r="B1845" s="11">
        <f>Weekly!$I$3</f>
        <v>45921</v>
      </c>
      <c r="C1845" s="12">
        <v>0.39930555555555602</v>
      </c>
      <c r="D1845" s="13">
        <f>Weekly!I119</f>
        <v>0</v>
      </c>
      <c r="E1845" s="13" t="str">
        <f t="shared" si="204"/>
        <v/>
      </c>
      <c r="F1845" s="13" t="str">
        <f t="shared" si="207"/>
        <v/>
      </c>
      <c r="G1845" s="13" t="str">
        <f t="shared" si="205"/>
        <v/>
      </c>
      <c r="H1845" s="13" t="str">
        <f t="shared" si="206"/>
        <v/>
      </c>
      <c r="I1845" s="14" t="str">
        <f t="array" ref="I1845">IF(getRGB1(Weekly!I119)="FFFF00","초방","재방")</f>
        <v>재방</v>
      </c>
    </row>
    <row r="1846" spans="1:9" ht="11.25" customHeight="1" x14ac:dyDescent="0.3">
      <c r="A1846" s="10" t="str">
        <f t="shared" si="203"/>
        <v/>
      </c>
      <c r="B1846" s="11">
        <f>Weekly!$I$3</f>
        <v>45921</v>
      </c>
      <c r="C1846" s="12">
        <v>0.40277777777777801</v>
      </c>
      <c r="D1846" s="13">
        <f>Weekly!I120</f>
        <v>0</v>
      </c>
      <c r="E1846" s="13" t="str">
        <f t="shared" si="204"/>
        <v/>
      </c>
      <c r="F1846" s="13" t="str">
        <f t="shared" si="207"/>
        <v/>
      </c>
      <c r="G1846" s="13" t="str">
        <f t="shared" si="205"/>
        <v/>
      </c>
      <c r="H1846" s="13" t="str">
        <f t="shared" si="206"/>
        <v/>
      </c>
      <c r="I1846" s="14" t="str">
        <f t="array" ref="I1846">IF(getRGB1(Weekly!I120)="FFFF00","초방","재방")</f>
        <v>재방</v>
      </c>
    </row>
    <row r="1847" spans="1:9" ht="11.25" customHeight="1" x14ac:dyDescent="0.3">
      <c r="A1847" s="10" t="str">
        <f t="shared" si="203"/>
        <v/>
      </c>
      <c r="B1847" s="11">
        <f>Weekly!$I$3</f>
        <v>45921</v>
      </c>
      <c r="C1847" s="12">
        <v>0.40625</v>
      </c>
      <c r="D1847" s="13">
        <f>Weekly!I121</f>
        <v>0</v>
      </c>
      <c r="E1847" s="13" t="str">
        <f t="shared" si="204"/>
        <v/>
      </c>
      <c r="F1847" s="13" t="str">
        <f t="shared" si="207"/>
        <v/>
      </c>
      <c r="G1847" s="13" t="str">
        <f t="shared" si="205"/>
        <v/>
      </c>
      <c r="H1847" s="13" t="str">
        <f t="shared" si="206"/>
        <v/>
      </c>
      <c r="I1847" s="14" t="str">
        <f t="array" ref="I1847">IF(getRGB1(Weekly!I121)="FFFF00","초방","재방")</f>
        <v>재방</v>
      </c>
    </row>
    <row r="1848" spans="1:9" ht="11.25" customHeight="1" x14ac:dyDescent="0.3">
      <c r="A1848" s="10" t="str">
        <f t="shared" si="203"/>
        <v/>
      </c>
      <c r="B1848" s="11">
        <f>Weekly!$I$3</f>
        <v>45921</v>
      </c>
      <c r="C1848" s="12">
        <v>0.40972222222222199</v>
      </c>
      <c r="D1848" s="13">
        <f>Weekly!I122</f>
        <v>0</v>
      </c>
      <c r="E1848" s="13" t="str">
        <f t="shared" si="204"/>
        <v/>
      </c>
      <c r="F1848" s="13" t="str">
        <f t="shared" si="207"/>
        <v/>
      </c>
      <c r="G1848" s="13" t="str">
        <f t="shared" si="205"/>
        <v/>
      </c>
      <c r="H1848" s="13" t="str">
        <f t="shared" si="206"/>
        <v/>
      </c>
      <c r="I1848" s="14" t="str">
        <f t="array" ref="I1848">IF(getRGB1(Weekly!I122)="FFFF00","초방","재방")</f>
        <v>재방</v>
      </c>
    </row>
    <row r="1849" spans="1:9" ht="11.25" customHeight="1" x14ac:dyDescent="0.3">
      <c r="A1849" s="10" t="str">
        <f t="shared" si="203"/>
        <v/>
      </c>
      <c r="B1849" s="11">
        <f>Weekly!$I$3</f>
        <v>45921</v>
      </c>
      <c r="C1849" s="12">
        <v>0.41319444444444398</v>
      </c>
      <c r="D1849" s="13">
        <f>Weekly!I123</f>
        <v>0</v>
      </c>
      <c r="E1849" s="13" t="str">
        <f t="shared" si="204"/>
        <v/>
      </c>
      <c r="F1849" s="13" t="str">
        <f t="shared" si="207"/>
        <v/>
      </c>
      <c r="G1849" s="13" t="str">
        <f t="shared" si="205"/>
        <v/>
      </c>
      <c r="H1849" s="13" t="str">
        <f t="shared" si="206"/>
        <v/>
      </c>
      <c r="I1849" s="14" t="str">
        <f t="array" ref="I1849">IF(getRGB1(Weekly!I123)="FFFF00","초방","재방")</f>
        <v>재방</v>
      </c>
    </row>
    <row r="1850" spans="1:9" ht="11.25" customHeight="1" x14ac:dyDescent="0.3">
      <c r="A1850" s="10">
        <f t="shared" si="203"/>
        <v>45921.416666666664</v>
      </c>
      <c r="B1850" s="11">
        <f>Weekly!$I$3</f>
        <v>45921</v>
      </c>
      <c r="C1850" s="12">
        <v>0.41666666666666702</v>
      </c>
      <c r="D1850" s="13" t="str">
        <f>Weekly!I124</f>
        <v>지방자치TV 스페셜
&lt;21</v>
      </c>
      <c r="E1850" s="13" t="str">
        <f t="shared" si="204"/>
        <v>지방자치TV 스페셜</v>
      </c>
      <c r="F1850" s="13">
        <f t="shared" si="207"/>
        <v>21</v>
      </c>
      <c r="G1850" s="13" t="str">
        <f t="shared" si="205"/>
        <v/>
      </c>
      <c r="H1850" s="13" t="str">
        <f t="shared" si="206"/>
        <v/>
      </c>
      <c r="I1850" s="14" t="str">
        <f t="array" ref="I1850">IF(getRGB1(Weekly!I124)="FFFF00","초방","재방")</f>
        <v>재방</v>
      </c>
    </row>
    <row r="1851" spans="1:9" ht="11.25" customHeight="1" x14ac:dyDescent="0.3">
      <c r="A1851" s="10" t="str">
        <f t="shared" si="203"/>
        <v/>
      </c>
      <c r="B1851" s="11">
        <f>Weekly!$I$3</f>
        <v>45921</v>
      </c>
      <c r="C1851" s="12">
        <v>0.42013888888888901</v>
      </c>
      <c r="D1851" s="13">
        <f>Weekly!I125</f>
        <v>0</v>
      </c>
      <c r="E1851" s="13" t="str">
        <f t="shared" si="204"/>
        <v/>
      </c>
      <c r="F1851" s="13" t="str">
        <f t="shared" si="207"/>
        <v/>
      </c>
      <c r="G1851" s="13" t="str">
        <f t="shared" si="205"/>
        <v/>
      </c>
      <c r="H1851" s="13" t="str">
        <f t="shared" si="206"/>
        <v/>
      </c>
      <c r="I1851" s="14" t="str">
        <f t="array" ref="I1851">IF(getRGB1(Weekly!I125)="FFFF00","초방","재방")</f>
        <v>재방</v>
      </c>
    </row>
    <row r="1852" spans="1:9" ht="11.25" customHeight="1" x14ac:dyDescent="0.3">
      <c r="A1852" s="10" t="str">
        <f t="shared" si="203"/>
        <v/>
      </c>
      <c r="B1852" s="11">
        <f>Weekly!$I$3</f>
        <v>45921</v>
      </c>
      <c r="C1852" s="12">
        <v>0.42361111111111099</v>
      </c>
      <c r="D1852" s="13">
        <f>Weekly!I126</f>
        <v>0</v>
      </c>
      <c r="E1852" s="13" t="str">
        <f t="shared" si="204"/>
        <v/>
      </c>
      <c r="F1852" s="13" t="str">
        <f t="shared" si="207"/>
        <v/>
      </c>
      <c r="G1852" s="13" t="str">
        <f t="shared" si="205"/>
        <v/>
      </c>
      <c r="H1852" s="13" t="str">
        <f t="shared" si="206"/>
        <v/>
      </c>
      <c r="I1852" s="14" t="str">
        <f t="array" ref="I1852">IF(getRGB1(Weekly!I126)="FFFF00","초방","재방")</f>
        <v>재방</v>
      </c>
    </row>
    <row r="1853" spans="1:9" ht="11.25" customHeight="1" x14ac:dyDescent="0.3">
      <c r="A1853" s="10" t="str">
        <f t="shared" si="203"/>
        <v/>
      </c>
      <c r="B1853" s="11">
        <f>Weekly!$I$3</f>
        <v>45921</v>
      </c>
      <c r="C1853" s="12">
        <v>0.42708333333333298</v>
      </c>
      <c r="D1853" s="13">
        <f>Weekly!I127</f>
        <v>0</v>
      </c>
      <c r="E1853" s="13" t="str">
        <f t="shared" si="204"/>
        <v/>
      </c>
      <c r="F1853" s="13" t="str">
        <f t="shared" si="207"/>
        <v/>
      </c>
      <c r="G1853" s="13" t="str">
        <f t="shared" si="205"/>
        <v/>
      </c>
      <c r="H1853" s="13" t="str">
        <f t="shared" si="206"/>
        <v/>
      </c>
      <c r="I1853" s="14" t="str">
        <f t="array" ref="I1853">IF(getRGB1(Weekly!I127)="FFFF00","초방","재방")</f>
        <v>재방</v>
      </c>
    </row>
    <row r="1854" spans="1:9" ht="11.25" customHeight="1" x14ac:dyDescent="0.3">
      <c r="A1854" s="10" t="str">
        <f t="shared" si="203"/>
        <v/>
      </c>
      <c r="B1854" s="11">
        <f>Weekly!$I$3</f>
        <v>45921</v>
      </c>
      <c r="C1854" s="12">
        <v>0.43055555555555602</v>
      </c>
      <c r="D1854" s="13">
        <f>Weekly!I128</f>
        <v>0</v>
      </c>
      <c r="E1854" s="13" t="str">
        <f t="shared" si="204"/>
        <v/>
      </c>
      <c r="F1854" s="13" t="str">
        <f t="shared" si="207"/>
        <v/>
      </c>
      <c r="G1854" s="13" t="str">
        <f t="shared" si="205"/>
        <v/>
      </c>
      <c r="H1854" s="13" t="str">
        <f t="shared" si="206"/>
        <v/>
      </c>
      <c r="I1854" s="14" t="str">
        <f t="array" ref="I1854">IF(getRGB1(Weekly!I128)="FFFF00","초방","재방")</f>
        <v>재방</v>
      </c>
    </row>
    <row r="1855" spans="1:9" ht="11.25" customHeight="1" x14ac:dyDescent="0.3">
      <c r="A1855" s="10" t="str">
        <f t="shared" si="203"/>
        <v/>
      </c>
      <c r="B1855" s="11">
        <f>Weekly!$I$3</f>
        <v>45921</v>
      </c>
      <c r="C1855" s="12">
        <v>0.43402777777777801</v>
      </c>
      <c r="D1855" s="13">
        <f>Weekly!I129</f>
        <v>0</v>
      </c>
      <c r="E1855" s="13" t="str">
        <f t="shared" si="204"/>
        <v/>
      </c>
      <c r="F1855" s="13" t="str">
        <f t="shared" si="207"/>
        <v/>
      </c>
      <c r="G1855" s="13" t="str">
        <f t="shared" si="205"/>
        <v/>
      </c>
      <c r="H1855" s="13" t="str">
        <f t="shared" si="206"/>
        <v/>
      </c>
      <c r="I1855" s="14" t="str">
        <f t="array" ref="I1855">IF(getRGB1(Weekly!I129)="FFFF00","초방","재방")</f>
        <v>재방</v>
      </c>
    </row>
    <row r="1856" spans="1:9" ht="11.25" customHeight="1" x14ac:dyDescent="0.3">
      <c r="A1856" s="10" t="str">
        <f t="shared" si="203"/>
        <v/>
      </c>
      <c r="B1856" s="11">
        <f>Weekly!$I$3</f>
        <v>45921</v>
      </c>
      <c r="C1856" s="12">
        <v>0.4375</v>
      </c>
      <c r="D1856" s="13">
        <f>Weekly!I130</f>
        <v>0</v>
      </c>
      <c r="E1856" s="13" t="str">
        <f t="shared" si="204"/>
        <v/>
      </c>
      <c r="F1856" s="13" t="str">
        <f t="shared" si="207"/>
        <v/>
      </c>
      <c r="G1856" s="13" t="str">
        <f t="shared" si="205"/>
        <v/>
      </c>
      <c r="H1856" s="13" t="str">
        <f t="shared" si="206"/>
        <v/>
      </c>
      <c r="I1856" s="14" t="str">
        <f t="array" ref="I1856">IF(getRGB1(Weekly!I130)="FFFF00","초방","재방")</f>
        <v>재방</v>
      </c>
    </row>
    <row r="1857" spans="1:9" ht="11.25" customHeight="1" x14ac:dyDescent="0.3">
      <c r="A1857" s="10" t="str">
        <f t="shared" si="203"/>
        <v/>
      </c>
      <c r="B1857" s="11">
        <f>Weekly!$I$3</f>
        <v>45921</v>
      </c>
      <c r="C1857" s="12">
        <v>0.44097222222222199</v>
      </c>
      <c r="D1857" s="13">
        <f>Weekly!I131</f>
        <v>0</v>
      </c>
      <c r="E1857" s="13" t="str">
        <f t="shared" si="204"/>
        <v/>
      </c>
      <c r="F1857" s="13" t="str">
        <f t="shared" si="207"/>
        <v/>
      </c>
      <c r="G1857" s="13" t="str">
        <f t="shared" si="205"/>
        <v/>
      </c>
      <c r="H1857" s="13" t="str">
        <f t="shared" si="206"/>
        <v/>
      </c>
      <c r="I1857" s="14" t="str">
        <f t="array" ref="I1857">IF(getRGB1(Weekly!I131)="FFFF00","초방","재방")</f>
        <v>재방</v>
      </c>
    </row>
    <row r="1858" spans="1:9" ht="11.25" customHeight="1" x14ac:dyDescent="0.3">
      <c r="A1858" s="10" t="str">
        <f t="shared" ref="A1858:A1921" si="208">IF(D1858&lt;&gt;0,B1858+C1858,"")</f>
        <v/>
      </c>
      <c r="B1858" s="11">
        <f>Weekly!$I$3</f>
        <v>45921</v>
      </c>
      <c r="C1858" s="12">
        <v>0.44444444444444398</v>
      </c>
      <c r="D1858" s="13">
        <f>Weekly!I132</f>
        <v>0</v>
      </c>
      <c r="E1858" s="13" t="str">
        <f t="shared" ref="E1858:E1921" si="209">IFERROR(SUBSTITUTE(SUBSTITUTE(TRIM(LEFT(D1858,FIND("&lt;",D1858)-1)),CHAR(10),""),"⑮ ",""),"")</f>
        <v/>
      </c>
      <c r="F1858" s="13" t="str">
        <f t="shared" si="207"/>
        <v/>
      </c>
      <c r="G1858" s="13" t="str">
        <f t="shared" ref="G1858:G1921" si="210">IFERROR(MID(D1858,FIND("&gt;",D1858)+1,10),"")</f>
        <v/>
      </c>
      <c r="H1858" s="13" t="str">
        <f t="shared" ref="H1858:H1921" si="211">IFERROR(VLOOKUP(LEFT(D1858,2),$W$1:$X$6,2,0),"")</f>
        <v/>
      </c>
      <c r="I1858" s="14" t="str">
        <f t="array" ref="I1858">IF(getRGB1(Weekly!I132)="FFFF00","초방","재방")</f>
        <v>재방</v>
      </c>
    </row>
    <row r="1859" spans="1:9" ht="11.25" customHeight="1" x14ac:dyDescent="0.3">
      <c r="A1859" s="10" t="str">
        <f t="shared" si="208"/>
        <v/>
      </c>
      <c r="B1859" s="11">
        <f>Weekly!$I$3</f>
        <v>45921</v>
      </c>
      <c r="C1859" s="12">
        <v>0.44791666666666702</v>
      </c>
      <c r="D1859" s="13">
        <f>Weekly!I133</f>
        <v>0</v>
      </c>
      <c r="E1859" s="13" t="str">
        <f t="shared" si="209"/>
        <v/>
      </c>
      <c r="F1859" s="13" t="str">
        <f t="shared" ref="F1859:F1922" si="212">IFERROR((MID(D1859,FIND("&lt;",D1859)+1,4))*1,"")</f>
        <v/>
      </c>
      <c r="G1859" s="13" t="str">
        <f t="shared" si="210"/>
        <v/>
      </c>
      <c r="H1859" s="13" t="str">
        <f t="shared" si="211"/>
        <v/>
      </c>
      <c r="I1859" s="14" t="str">
        <f t="array" ref="I1859">IF(getRGB1(Weekly!I133)="FFFF00","초방","재방")</f>
        <v>재방</v>
      </c>
    </row>
    <row r="1860" spans="1:9" ht="11.25" customHeight="1" x14ac:dyDescent="0.3">
      <c r="A1860" s="10" t="str">
        <f t="shared" si="208"/>
        <v/>
      </c>
      <c r="B1860" s="11">
        <f>Weekly!$I$3</f>
        <v>45921</v>
      </c>
      <c r="C1860" s="12">
        <v>0.45138888888888901</v>
      </c>
      <c r="D1860" s="13">
        <f>Weekly!I134</f>
        <v>0</v>
      </c>
      <c r="E1860" s="13" t="str">
        <f t="shared" si="209"/>
        <v/>
      </c>
      <c r="F1860" s="13" t="str">
        <f t="shared" si="212"/>
        <v/>
      </c>
      <c r="G1860" s="13" t="str">
        <f t="shared" si="210"/>
        <v/>
      </c>
      <c r="H1860" s="13" t="str">
        <f t="shared" si="211"/>
        <v/>
      </c>
      <c r="I1860" s="14" t="str">
        <f t="array" ref="I1860">IF(getRGB1(Weekly!I134)="FFFF00","초방","재방")</f>
        <v>재방</v>
      </c>
    </row>
    <row r="1861" spans="1:9" ht="11.25" customHeight="1" x14ac:dyDescent="0.3">
      <c r="A1861" s="10" t="str">
        <f t="shared" si="208"/>
        <v/>
      </c>
      <c r="B1861" s="11">
        <f>Weekly!$I$3</f>
        <v>45921</v>
      </c>
      <c r="C1861" s="12">
        <v>0.45486111111111099</v>
      </c>
      <c r="D1861" s="13">
        <f>Weekly!I135</f>
        <v>0</v>
      </c>
      <c r="E1861" s="13" t="str">
        <f t="shared" si="209"/>
        <v/>
      </c>
      <c r="F1861" s="13" t="str">
        <f t="shared" si="212"/>
        <v/>
      </c>
      <c r="G1861" s="13" t="str">
        <f t="shared" si="210"/>
        <v/>
      </c>
      <c r="H1861" s="13" t="str">
        <f t="shared" si="211"/>
        <v/>
      </c>
      <c r="I1861" s="14" t="str">
        <f t="array" ref="I1861">IF(getRGB1(Weekly!I135)="FFFF00","초방","재방")</f>
        <v>재방</v>
      </c>
    </row>
    <row r="1862" spans="1:9" ht="11.25" customHeight="1" x14ac:dyDescent="0.3">
      <c r="A1862" s="10">
        <f t="shared" si="208"/>
        <v>45921.458333333336</v>
      </c>
      <c r="B1862" s="11">
        <f>Weekly!$I$3</f>
        <v>45921</v>
      </c>
      <c r="C1862" s="12">
        <v>0.45833333333333298</v>
      </c>
      <c r="D1862" s="13" t="str">
        <f>Weekly!I136</f>
        <v>지방자치TV 스페셜
&lt;22</v>
      </c>
      <c r="E1862" s="13" t="str">
        <f t="shared" si="209"/>
        <v>지방자치TV 스페셜</v>
      </c>
      <c r="F1862" s="13">
        <f t="shared" si="212"/>
        <v>22</v>
      </c>
      <c r="G1862" s="13" t="str">
        <f t="shared" si="210"/>
        <v/>
      </c>
      <c r="H1862" s="13" t="str">
        <f t="shared" si="211"/>
        <v/>
      </c>
      <c r="I1862" s="14" t="str">
        <f t="array" ref="I1862">IF(getRGB1(Weekly!I136)="FFFF00","초방","재방")</f>
        <v>재방</v>
      </c>
    </row>
    <row r="1863" spans="1:9" ht="11.25" customHeight="1" x14ac:dyDescent="0.3">
      <c r="A1863" s="10" t="str">
        <f t="shared" si="208"/>
        <v/>
      </c>
      <c r="B1863" s="11">
        <f>Weekly!$I$3</f>
        <v>45921</v>
      </c>
      <c r="C1863" s="12">
        <v>0.46180555555555602</v>
      </c>
      <c r="D1863" s="13">
        <f>Weekly!I137</f>
        <v>0</v>
      </c>
      <c r="E1863" s="13" t="str">
        <f t="shared" si="209"/>
        <v/>
      </c>
      <c r="F1863" s="13" t="str">
        <f t="shared" si="212"/>
        <v/>
      </c>
      <c r="G1863" s="13" t="str">
        <f t="shared" si="210"/>
        <v/>
      </c>
      <c r="H1863" s="13" t="str">
        <f t="shared" si="211"/>
        <v/>
      </c>
      <c r="I1863" s="14" t="str">
        <f t="array" ref="I1863">IF(getRGB1(Weekly!I137)="FFFF00","초방","재방")</f>
        <v>재방</v>
      </c>
    </row>
    <row r="1864" spans="1:9" ht="11.25" customHeight="1" x14ac:dyDescent="0.3">
      <c r="A1864" s="10" t="str">
        <f t="shared" si="208"/>
        <v/>
      </c>
      <c r="B1864" s="11">
        <f>Weekly!$I$3</f>
        <v>45921</v>
      </c>
      <c r="C1864" s="12">
        <v>0.46527777777777801</v>
      </c>
      <c r="D1864" s="13">
        <f>Weekly!I138</f>
        <v>0</v>
      </c>
      <c r="E1864" s="13" t="str">
        <f t="shared" si="209"/>
        <v/>
      </c>
      <c r="F1864" s="13" t="str">
        <f t="shared" si="212"/>
        <v/>
      </c>
      <c r="G1864" s="13" t="str">
        <f t="shared" si="210"/>
        <v/>
      </c>
      <c r="H1864" s="13" t="str">
        <f t="shared" si="211"/>
        <v/>
      </c>
      <c r="I1864" s="14" t="str">
        <f t="array" ref="I1864">IF(getRGB1(Weekly!I138)="FFFF00","초방","재방")</f>
        <v>재방</v>
      </c>
    </row>
    <row r="1865" spans="1:9" ht="11.25" customHeight="1" x14ac:dyDescent="0.3">
      <c r="A1865" s="10" t="str">
        <f t="shared" si="208"/>
        <v/>
      </c>
      <c r="B1865" s="11">
        <f>Weekly!$I$3</f>
        <v>45921</v>
      </c>
      <c r="C1865" s="12">
        <v>0.46875</v>
      </c>
      <c r="D1865" s="13">
        <f>Weekly!I139</f>
        <v>0</v>
      </c>
      <c r="E1865" s="13" t="str">
        <f t="shared" si="209"/>
        <v/>
      </c>
      <c r="F1865" s="13" t="str">
        <f t="shared" si="212"/>
        <v/>
      </c>
      <c r="G1865" s="13" t="str">
        <f t="shared" si="210"/>
        <v/>
      </c>
      <c r="H1865" s="13" t="str">
        <f t="shared" si="211"/>
        <v/>
      </c>
      <c r="I1865" s="14" t="str">
        <f t="array" ref="I1865">IF(getRGB1(Weekly!I139)="FFFF00","초방","재방")</f>
        <v>재방</v>
      </c>
    </row>
    <row r="1866" spans="1:9" ht="11.25" customHeight="1" x14ac:dyDescent="0.3">
      <c r="A1866" s="10" t="str">
        <f t="shared" si="208"/>
        <v/>
      </c>
      <c r="B1866" s="11">
        <f>Weekly!$I$3</f>
        <v>45921</v>
      </c>
      <c r="C1866" s="12">
        <v>0.47222222222222199</v>
      </c>
      <c r="D1866" s="13">
        <f>Weekly!I140</f>
        <v>0</v>
      </c>
      <c r="E1866" s="13" t="str">
        <f t="shared" si="209"/>
        <v/>
      </c>
      <c r="F1866" s="13" t="str">
        <f t="shared" si="212"/>
        <v/>
      </c>
      <c r="G1866" s="13" t="str">
        <f t="shared" si="210"/>
        <v/>
      </c>
      <c r="H1866" s="13" t="str">
        <f t="shared" si="211"/>
        <v/>
      </c>
      <c r="I1866" s="14" t="str">
        <f t="array" ref="I1866">IF(getRGB1(Weekly!I140)="FFFF00","초방","재방")</f>
        <v>재방</v>
      </c>
    </row>
    <row r="1867" spans="1:9" ht="11.25" customHeight="1" x14ac:dyDescent="0.3">
      <c r="A1867" s="10" t="str">
        <f t="shared" si="208"/>
        <v/>
      </c>
      <c r="B1867" s="11">
        <f>Weekly!$I$3</f>
        <v>45921</v>
      </c>
      <c r="C1867" s="12">
        <v>0.47569444444444398</v>
      </c>
      <c r="D1867" s="13">
        <f>Weekly!I141</f>
        <v>0</v>
      </c>
      <c r="E1867" s="13" t="str">
        <f t="shared" si="209"/>
        <v/>
      </c>
      <c r="F1867" s="13" t="str">
        <f t="shared" si="212"/>
        <v/>
      </c>
      <c r="G1867" s="13" t="str">
        <f t="shared" si="210"/>
        <v/>
      </c>
      <c r="H1867" s="13" t="str">
        <f t="shared" si="211"/>
        <v/>
      </c>
      <c r="I1867" s="14" t="str">
        <f t="array" ref="I1867">IF(getRGB1(Weekly!I141)="FFFF00","초방","재방")</f>
        <v>재방</v>
      </c>
    </row>
    <row r="1868" spans="1:9" ht="11.25" customHeight="1" x14ac:dyDescent="0.3">
      <c r="A1868" s="10" t="str">
        <f t="shared" si="208"/>
        <v/>
      </c>
      <c r="B1868" s="11">
        <f>Weekly!$I$3</f>
        <v>45921</v>
      </c>
      <c r="C1868" s="12">
        <v>0.47916666666666702</v>
      </c>
      <c r="D1868" s="13">
        <f>Weekly!I142</f>
        <v>0</v>
      </c>
      <c r="E1868" s="13" t="str">
        <f t="shared" si="209"/>
        <v/>
      </c>
      <c r="F1868" s="13" t="str">
        <f t="shared" si="212"/>
        <v/>
      </c>
      <c r="G1868" s="13" t="str">
        <f t="shared" si="210"/>
        <v/>
      </c>
      <c r="H1868" s="13" t="str">
        <f t="shared" si="211"/>
        <v/>
      </c>
      <c r="I1868" s="14" t="str">
        <f t="array" ref="I1868">IF(getRGB1(Weekly!I142)="FFFF00","초방","재방")</f>
        <v>재방</v>
      </c>
    </row>
    <row r="1869" spans="1:9" ht="11.25" customHeight="1" x14ac:dyDescent="0.3">
      <c r="A1869" s="10" t="str">
        <f t="shared" si="208"/>
        <v/>
      </c>
      <c r="B1869" s="11">
        <f>Weekly!$I$3</f>
        <v>45921</v>
      </c>
      <c r="C1869" s="12">
        <v>0.48263888888888901</v>
      </c>
      <c r="D1869" s="13">
        <f>Weekly!I143</f>
        <v>0</v>
      </c>
      <c r="E1869" s="13" t="str">
        <f t="shared" si="209"/>
        <v/>
      </c>
      <c r="F1869" s="13" t="str">
        <f t="shared" si="212"/>
        <v/>
      </c>
      <c r="G1869" s="13" t="str">
        <f t="shared" si="210"/>
        <v/>
      </c>
      <c r="H1869" s="13" t="str">
        <f t="shared" si="211"/>
        <v/>
      </c>
      <c r="I1869" s="14" t="str">
        <f t="array" ref="I1869">IF(getRGB1(Weekly!I143)="FFFF00","초방","재방")</f>
        <v>재방</v>
      </c>
    </row>
    <row r="1870" spans="1:9" ht="11.25" customHeight="1" x14ac:dyDescent="0.3">
      <c r="A1870" s="10" t="str">
        <f t="shared" si="208"/>
        <v/>
      </c>
      <c r="B1870" s="11">
        <f>Weekly!$I$3</f>
        <v>45921</v>
      </c>
      <c r="C1870" s="12">
        <v>0.48611111111111099</v>
      </c>
      <c r="D1870" s="13">
        <f>Weekly!I144</f>
        <v>0</v>
      </c>
      <c r="E1870" s="13" t="str">
        <f t="shared" si="209"/>
        <v/>
      </c>
      <c r="F1870" s="13" t="str">
        <f t="shared" si="212"/>
        <v/>
      </c>
      <c r="G1870" s="13" t="str">
        <f t="shared" si="210"/>
        <v/>
      </c>
      <c r="H1870" s="13" t="str">
        <f t="shared" si="211"/>
        <v/>
      </c>
      <c r="I1870" s="14" t="str">
        <f t="array" ref="I1870">IF(getRGB1(Weekly!I144)="FFFF00","초방","재방")</f>
        <v>재방</v>
      </c>
    </row>
    <row r="1871" spans="1:9" ht="11.25" customHeight="1" x14ac:dyDescent="0.3">
      <c r="A1871" s="10" t="str">
        <f t="shared" si="208"/>
        <v/>
      </c>
      <c r="B1871" s="11">
        <f>Weekly!$I$3</f>
        <v>45921</v>
      </c>
      <c r="C1871" s="12">
        <v>0.48958333333333298</v>
      </c>
      <c r="D1871" s="13">
        <f>Weekly!I145</f>
        <v>0</v>
      </c>
      <c r="E1871" s="13" t="str">
        <f t="shared" si="209"/>
        <v/>
      </c>
      <c r="F1871" s="13" t="str">
        <f t="shared" si="212"/>
        <v/>
      </c>
      <c r="G1871" s="13" t="str">
        <f t="shared" si="210"/>
        <v/>
      </c>
      <c r="H1871" s="13" t="str">
        <f t="shared" si="211"/>
        <v/>
      </c>
      <c r="I1871" s="14" t="str">
        <f t="array" ref="I1871">IF(getRGB1(Weekly!I145)="FFFF00","초방","재방")</f>
        <v>재방</v>
      </c>
    </row>
    <row r="1872" spans="1:9" ht="11.25" customHeight="1" x14ac:dyDescent="0.3">
      <c r="A1872" s="10" t="str">
        <f t="shared" si="208"/>
        <v/>
      </c>
      <c r="B1872" s="11">
        <f>Weekly!$I$3</f>
        <v>45921</v>
      </c>
      <c r="C1872" s="12">
        <v>0.49305555555555602</v>
      </c>
      <c r="D1872" s="13">
        <f>Weekly!I146</f>
        <v>0</v>
      </c>
      <c r="E1872" s="13" t="str">
        <f t="shared" si="209"/>
        <v/>
      </c>
      <c r="F1872" s="13" t="str">
        <f t="shared" si="212"/>
        <v/>
      </c>
      <c r="G1872" s="13" t="str">
        <f t="shared" si="210"/>
        <v/>
      </c>
      <c r="H1872" s="13" t="str">
        <f t="shared" si="211"/>
        <v/>
      </c>
      <c r="I1872" s="14" t="str">
        <f t="array" ref="I1872">IF(getRGB1(Weekly!I146)="FFFF00","초방","재방")</f>
        <v>재방</v>
      </c>
    </row>
    <row r="1873" spans="1:9" ht="11.25" customHeight="1" x14ac:dyDescent="0.3">
      <c r="A1873" s="10" t="str">
        <f t="shared" si="208"/>
        <v/>
      </c>
      <c r="B1873" s="11">
        <f>Weekly!$I$3</f>
        <v>45921</v>
      </c>
      <c r="C1873" s="12">
        <v>0.49652777777777801</v>
      </c>
      <c r="D1873" s="13">
        <f>Weekly!I147</f>
        <v>0</v>
      </c>
      <c r="E1873" s="13" t="str">
        <f t="shared" si="209"/>
        <v/>
      </c>
      <c r="F1873" s="13" t="str">
        <f t="shared" si="212"/>
        <v/>
      </c>
      <c r="G1873" s="13" t="str">
        <f t="shared" si="210"/>
        <v/>
      </c>
      <c r="H1873" s="13" t="str">
        <f t="shared" si="211"/>
        <v/>
      </c>
      <c r="I1873" s="14" t="str">
        <f t="array" ref="I1873">IF(getRGB1(Weekly!I147)="FFFF00","초방","재방")</f>
        <v>재방</v>
      </c>
    </row>
    <row r="1874" spans="1:9" ht="11.25" customHeight="1" x14ac:dyDescent="0.3">
      <c r="A1874" s="10">
        <f t="shared" si="208"/>
        <v>45921.5</v>
      </c>
      <c r="B1874" s="11">
        <f>Weekly!$I$3</f>
        <v>45921</v>
      </c>
      <c r="C1874" s="12">
        <v>0.5</v>
      </c>
      <c r="D1874" s="13" t="str">
        <f>Weekly!I148</f>
        <v>행복무지개
&lt;31</v>
      </c>
      <c r="E1874" s="13" t="str">
        <f t="shared" si="209"/>
        <v>행복무지개</v>
      </c>
      <c r="F1874" s="13">
        <f t="shared" si="212"/>
        <v>31</v>
      </c>
      <c r="G1874" s="13" t="str">
        <f t="shared" si="210"/>
        <v/>
      </c>
      <c r="H1874" s="13" t="str">
        <f t="shared" si="211"/>
        <v/>
      </c>
      <c r="I1874" s="14" t="str">
        <f t="array" ref="I1874">IF(getRGB1(Weekly!I148)="FFFF00","초방","재방")</f>
        <v>재방</v>
      </c>
    </row>
    <row r="1875" spans="1:9" ht="11.25" customHeight="1" x14ac:dyDescent="0.3">
      <c r="A1875" s="10" t="str">
        <f t="shared" si="208"/>
        <v/>
      </c>
      <c r="B1875" s="11">
        <f>Weekly!$I$3</f>
        <v>45921</v>
      </c>
      <c r="C1875" s="12">
        <v>0.50347222222222199</v>
      </c>
      <c r="D1875" s="13">
        <f>Weekly!I149</f>
        <v>0</v>
      </c>
      <c r="E1875" s="13" t="str">
        <f t="shared" si="209"/>
        <v/>
      </c>
      <c r="F1875" s="13" t="str">
        <f t="shared" si="212"/>
        <v/>
      </c>
      <c r="G1875" s="13" t="str">
        <f t="shared" si="210"/>
        <v/>
      </c>
      <c r="H1875" s="13" t="str">
        <f t="shared" si="211"/>
        <v/>
      </c>
      <c r="I1875" s="14" t="str">
        <f t="array" ref="I1875">IF(getRGB1(Weekly!I149)="FFFF00","초방","재방")</f>
        <v>재방</v>
      </c>
    </row>
    <row r="1876" spans="1:9" ht="11.25" customHeight="1" x14ac:dyDescent="0.3">
      <c r="A1876" s="10" t="str">
        <f t="shared" si="208"/>
        <v/>
      </c>
      <c r="B1876" s="11">
        <f>Weekly!$I$3</f>
        <v>45921</v>
      </c>
      <c r="C1876" s="12">
        <v>0.50694444444444398</v>
      </c>
      <c r="D1876" s="13">
        <f>Weekly!I150</f>
        <v>0</v>
      </c>
      <c r="E1876" s="13" t="str">
        <f t="shared" si="209"/>
        <v/>
      </c>
      <c r="F1876" s="13" t="str">
        <f t="shared" si="212"/>
        <v/>
      </c>
      <c r="G1876" s="13" t="str">
        <f t="shared" si="210"/>
        <v/>
      </c>
      <c r="H1876" s="13" t="str">
        <f t="shared" si="211"/>
        <v/>
      </c>
      <c r="I1876" s="14" t="str">
        <f t="array" ref="I1876">IF(getRGB1(Weekly!I150)="FFFF00","초방","재방")</f>
        <v>재방</v>
      </c>
    </row>
    <row r="1877" spans="1:9" ht="11.25" customHeight="1" x14ac:dyDescent="0.3">
      <c r="A1877" s="10" t="str">
        <f t="shared" si="208"/>
        <v/>
      </c>
      <c r="B1877" s="11">
        <f>Weekly!$I$3</f>
        <v>45921</v>
      </c>
      <c r="C1877" s="12">
        <v>0.51041666666666696</v>
      </c>
      <c r="D1877" s="13">
        <f>Weekly!I151</f>
        <v>0</v>
      </c>
      <c r="E1877" s="13" t="str">
        <f t="shared" si="209"/>
        <v/>
      </c>
      <c r="F1877" s="13" t="str">
        <f t="shared" si="212"/>
        <v/>
      </c>
      <c r="G1877" s="13" t="str">
        <f t="shared" si="210"/>
        <v/>
      </c>
      <c r="H1877" s="13" t="str">
        <f t="shared" si="211"/>
        <v/>
      </c>
      <c r="I1877" s="14" t="str">
        <f t="array" ref="I1877">IF(getRGB1(Weekly!I151)="FFFF00","초방","재방")</f>
        <v>재방</v>
      </c>
    </row>
    <row r="1878" spans="1:9" ht="11.25" customHeight="1" x14ac:dyDescent="0.3">
      <c r="A1878" s="10" t="str">
        <f t="shared" si="208"/>
        <v/>
      </c>
      <c r="B1878" s="11">
        <f>Weekly!$I$3</f>
        <v>45921</v>
      </c>
      <c r="C1878" s="12">
        <v>0.51388888888888895</v>
      </c>
      <c r="D1878" s="13">
        <f>Weekly!I152</f>
        <v>0</v>
      </c>
      <c r="E1878" s="13" t="str">
        <f t="shared" si="209"/>
        <v/>
      </c>
      <c r="F1878" s="13" t="str">
        <f t="shared" si="212"/>
        <v/>
      </c>
      <c r="G1878" s="13" t="str">
        <f t="shared" si="210"/>
        <v/>
      </c>
      <c r="H1878" s="13" t="str">
        <f t="shared" si="211"/>
        <v/>
      </c>
      <c r="I1878" s="14" t="str">
        <f t="array" ref="I1878">IF(getRGB1(Weekly!I152)="FFFF00","초방","재방")</f>
        <v>재방</v>
      </c>
    </row>
    <row r="1879" spans="1:9" ht="11.25" customHeight="1" x14ac:dyDescent="0.3">
      <c r="A1879" s="10" t="str">
        <f t="shared" si="208"/>
        <v/>
      </c>
      <c r="B1879" s="11">
        <f>Weekly!$I$3</f>
        <v>45921</v>
      </c>
      <c r="C1879" s="12">
        <v>0.51736111111111105</v>
      </c>
      <c r="D1879" s="13">
        <f>Weekly!I153</f>
        <v>0</v>
      </c>
      <c r="E1879" s="13" t="str">
        <f t="shared" si="209"/>
        <v/>
      </c>
      <c r="F1879" s="13" t="str">
        <f t="shared" si="212"/>
        <v/>
      </c>
      <c r="G1879" s="13" t="str">
        <f t="shared" si="210"/>
        <v/>
      </c>
      <c r="H1879" s="13" t="str">
        <f t="shared" si="211"/>
        <v/>
      </c>
      <c r="I1879" s="14" t="str">
        <f t="array" ref="I1879">IF(getRGB1(Weekly!I153)="FFFF00","초방","재방")</f>
        <v>재방</v>
      </c>
    </row>
    <row r="1880" spans="1:9" ht="11.25" customHeight="1" x14ac:dyDescent="0.3">
      <c r="A1880" s="10" t="str">
        <f t="shared" si="208"/>
        <v/>
      </c>
      <c r="B1880" s="11">
        <f>Weekly!$I$3</f>
        <v>45921</v>
      </c>
      <c r="C1880" s="12">
        <v>0.52083333333333304</v>
      </c>
      <c r="D1880" s="13">
        <f>Weekly!I154</f>
        <v>0</v>
      </c>
      <c r="E1880" s="13" t="str">
        <f t="shared" si="209"/>
        <v/>
      </c>
      <c r="F1880" s="13" t="str">
        <f t="shared" si="212"/>
        <v/>
      </c>
      <c r="G1880" s="13" t="str">
        <f t="shared" si="210"/>
        <v/>
      </c>
      <c r="H1880" s="13" t="str">
        <f t="shared" si="211"/>
        <v/>
      </c>
      <c r="I1880" s="14" t="str">
        <f t="array" ref="I1880">IF(getRGB1(Weekly!I154)="FFFF00","초방","재방")</f>
        <v>재방</v>
      </c>
    </row>
    <row r="1881" spans="1:9" ht="11.25" customHeight="1" x14ac:dyDescent="0.3">
      <c r="A1881" s="10" t="str">
        <f t="shared" si="208"/>
        <v/>
      </c>
      <c r="B1881" s="11">
        <f>Weekly!$I$3</f>
        <v>45921</v>
      </c>
      <c r="C1881" s="12">
        <v>0.52430555555555602</v>
      </c>
      <c r="D1881" s="13">
        <f>Weekly!I155</f>
        <v>0</v>
      </c>
      <c r="E1881" s="13" t="str">
        <f t="shared" si="209"/>
        <v/>
      </c>
      <c r="F1881" s="13" t="str">
        <f t="shared" si="212"/>
        <v/>
      </c>
      <c r="G1881" s="13" t="str">
        <f t="shared" si="210"/>
        <v/>
      </c>
      <c r="H1881" s="13" t="str">
        <f t="shared" si="211"/>
        <v/>
      </c>
      <c r="I1881" s="14" t="str">
        <f t="array" ref="I1881">IF(getRGB1(Weekly!I155)="FFFF00","초방","재방")</f>
        <v>재방</v>
      </c>
    </row>
    <row r="1882" spans="1:9" ht="11.25" customHeight="1" x14ac:dyDescent="0.3">
      <c r="A1882" s="10" t="str">
        <f t="shared" si="208"/>
        <v/>
      </c>
      <c r="B1882" s="11">
        <f>Weekly!$I$3</f>
        <v>45921</v>
      </c>
      <c r="C1882" s="12">
        <v>0.52777777777777801</v>
      </c>
      <c r="D1882" s="13">
        <f>Weekly!I156</f>
        <v>0</v>
      </c>
      <c r="E1882" s="13" t="str">
        <f t="shared" si="209"/>
        <v/>
      </c>
      <c r="F1882" s="13" t="str">
        <f t="shared" si="212"/>
        <v/>
      </c>
      <c r="G1882" s="13" t="str">
        <f t="shared" si="210"/>
        <v/>
      </c>
      <c r="H1882" s="13" t="str">
        <f t="shared" si="211"/>
        <v/>
      </c>
      <c r="I1882" s="14" t="str">
        <f t="array" ref="I1882">IF(getRGB1(Weekly!I156)="FFFF00","초방","재방")</f>
        <v>재방</v>
      </c>
    </row>
    <row r="1883" spans="1:9" ht="11.25" customHeight="1" x14ac:dyDescent="0.3">
      <c r="A1883" s="10" t="str">
        <f t="shared" si="208"/>
        <v/>
      </c>
      <c r="B1883" s="11">
        <f>Weekly!$I$3</f>
        <v>45921</v>
      </c>
      <c r="C1883" s="12">
        <v>0.53125</v>
      </c>
      <c r="D1883" s="13">
        <f>Weekly!I157</f>
        <v>0</v>
      </c>
      <c r="E1883" s="13" t="str">
        <f t="shared" si="209"/>
        <v/>
      </c>
      <c r="F1883" s="13" t="str">
        <f t="shared" si="212"/>
        <v/>
      </c>
      <c r="G1883" s="13" t="str">
        <f t="shared" si="210"/>
        <v/>
      </c>
      <c r="H1883" s="13" t="str">
        <f t="shared" si="211"/>
        <v/>
      </c>
      <c r="I1883" s="14" t="str">
        <f t="array" ref="I1883">IF(getRGB1(Weekly!I157)="FFFF00","초방","재방")</f>
        <v>재방</v>
      </c>
    </row>
    <row r="1884" spans="1:9" ht="11.25" customHeight="1" x14ac:dyDescent="0.3">
      <c r="A1884" s="10" t="str">
        <f t="shared" si="208"/>
        <v/>
      </c>
      <c r="B1884" s="11">
        <f>Weekly!$I$3</f>
        <v>45921</v>
      </c>
      <c r="C1884" s="12">
        <v>0.53472222222222199</v>
      </c>
      <c r="D1884" s="13">
        <f>Weekly!I158</f>
        <v>0</v>
      </c>
      <c r="E1884" s="13" t="str">
        <f t="shared" si="209"/>
        <v/>
      </c>
      <c r="F1884" s="13" t="str">
        <f t="shared" si="212"/>
        <v/>
      </c>
      <c r="G1884" s="13" t="str">
        <f t="shared" si="210"/>
        <v/>
      </c>
      <c r="H1884" s="13" t="str">
        <f t="shared" si="211"/>
        <v/>
      </c>
      <c r="I1884" s="14" t="str">
        <f t="array" ref="I1884">IF(getRGB1(Weekly!I158)="FFFF00","초방","재방")</f>
        <v>재방</v>
      </c>
    </row>
    <row r="1885" spans="1:9" ht="11.25" customHeight="1" x14ac:dyDescent="0.3">
      <c r="A1885" s="10" t="str">
        <f t="shared" si="208"/>
        <v/>
      </c>
      <c r="B1885" s="11">
        <f>Weekly!$I$3</f>
        <v>45921</v>
      </c>
      <c r="C1885" s="12">
        <v>0.53819444444444398</v>
      </c>
      <c r="D1885" s="13">
        <f>Weekly!I159</f>
        <v>0</v>
      </c>
      <c r="E1885" s="13" t="str">
        <f t="shared" si="209"/>
        <v/>
      </c>
      <c r="F1885" s="13" t="str">
        <f t="shared" si="212"/>
        <v/>
      </c>
      <c r="G1885" s="13" t="str">
        <f t="shared" si="210"/>
        <v/>
      </c>
      <c r="H1885" s="13" t="str">
        <f t="shared" si="211"/>
        <v/>
      </c>
      <c r="I1885" s="14" t="str">
        <f t="array" ref="I1885">IF(getRGB1(Weekly!I159)="FFFF00","초방","재방")</f>
        <v>재방</v>
      </c>
    </row>
    <row r="1886" spans="1:9" ht="11.25" customHeight="1" x14ac:dyDescent="0.3">
      <c r="A1886" s="10">
        <f t="shared" si="208"/>
        <v>45921.541666666664</v>
      </c>
      <c r="B1886" s="11">
        <f>Weekly!$I$3</f>
        <v>45921</v>
      </c>
      <c r="C1886" s="12">
        <v>0.54166666666666696</v>
      </c>
      <c r="D1886" s="13" t="str">
        <f>Weekly!I160</f>
        <v xml:space="preserve"> NEWSJ
&lt;67</v>
      </c>
      <c r="E1886" s="13" t="str">
        <f t="shared" si="209"/>
        <v>NEWSJ</v>
      </c>
      <c r="F1886" s="13">
        <f t="shared" si="212"/>
        <v>67</v>
      </c>
      <c r="G1886" s="13" t="str">
        <f t="shared" si="210"/>
        <v/>
      </c>
      <c r="H1886" s="13" t="str">
        <f t="shared" si="211"/>
        <v/>
      </c>
      <c r="I1886" s="14" t="str">
        <f t="array" ref="I1886">IF(getRGB1(Weekly!I160)="FFFF00","초방","재방")</f>
        <v>재방</v>
      </c>
    </row>
    <row r="1887" spans="1:9" ht="11.25" customHeight="1" x14ac:dyDescent="0.3">
      <c r="A1887" s="10" t="str">
        <f t="shared" si="208"/>
        <v/>
      </c>
      <c r="B1887" s="11">
        <f>Weekly!$I$3</f>
        <v>45921</v>
      </c>
      <c r="C1887" s="12">
        <v>0.54513888888888895</v>
      </c>
      <c r="D1887" s="13">
        <f>Weekly!I161</f>
        <v>0</v>
      </c>
      <c r="E1887" s="13" t="str">
        <f t="shared" si="209"/>
        <v/>
      </c>
      <c r="F1887" s="13" t="str">
        <f t="shared" si="212"/>
        <v/>
      </c>
      <c r="G1887" s="13" t="str">
        <f t="shared" si="210"/>
        <v/>
      </c>
      <c r="H1887" s="13" t="str">
        <f t="shared" si="211"/>
        <v/>
      </c>
      <c r="I1887" s="14" t="str">
        <f t="array" ref="I1887">IF(getRGB1(Weekly!I161)="FFFF00","초방","재방")</f>
        <v>재방</v>
      </c>
    </row>
    <row r="1888" spans="1:9" ht="11.25" customHeight="1" x14ac:dyDescent="0.3">
      <c r="A1888" s="10" t="str">
        <f t="shared" si="208"/>
        <v/>
      </c>
      <c r="B1888" s="11">
        <f>Weekly!$I$3</f>
        <v>45921</v>
      </c>
      <c r="C1888" s="12">
        <v>0.54861111111111105</v>
      </c>
      <c r="D1888" s="13">
        <f>Weekly!I162</f>
        <v>0</v>
      </c>
      <c r="E1888" s="13" t="str">
        <f t="shared" si="209"/>
        <v/>
      </c>
      <c r="F1888" s="13" t="str">
        <f t="shared" si="212"/>
        <v/>
      </c>
      <c r="G1888" s="13" t="str">
        <f t="shared" si="210"/>
        <v/>
      </c>
      <c r="H1888" s="13" t="str">
        <f t="shared" si="211"/>
        <v/>
      </c>
      <c r="I1888" s="14" t="str">
        <f t="array" ref="I1888">IF(getRGB1(Weekly!I162)="FFFF00","초방","재방")</f>
        <v>재방</v>
      </c>
    </row>
    <row r="1889" spans="1:9" ht="11.25" customHeight="1" x14ac:dyDescent="0.3">
      <c r="A1889" s="10" t="str">
        <f t="shared" si="208"/>
        <v/>
      </c>
      <c r="B1889" s="11">
        <f>Weekly!$I$3</f>
        <v>45921</v>
      </c>
      <c r="C1889" s="12">
        <v>0.55208333333333304</v>
      </c>
      <c r="D1889" s="13">
        <f>Weekly!I163</f>
        <v>0</v>
      </c>
      <c r="E1889" s="13" t="str">
        <f t="shared" si="209"/>
        <v/>
      </c>
      <c r="F1889" s="13" t="str">
        <f t="shared" si="212"/>
        <v/>
      </c>
      <c r="G1889" s="13" t="str">
        <f t="shared" si="210"/>
        <v/>
      </c>
      <c r="H1889" s="13" t="str">
        <f t="shared" si="211"/>
        <v/>
      </c>
      <c r="I1889" s="14" t="str">
        <f t="array" ref="I1889">IF(getRGB1(Weekly!I163)="FFFF00","초방","재방")</f>
        <v>재방</v>
      </c>
    </row>
    <row r="1890" spans="1:9" ht="11.25" customHeight="1" x14ac:dyDescent="0.3">
      <c r="A1890" s="10" t="str">
        <f t="shared" si="208"/>
        <v/>
      </c>
      <c r="B1890" s="11">
        <f>Weekly!$I$3</f>
        <v>45921</v>
      </c>
      <c r="C1890" s="12">
        <v>0.55555555555555602</v>
      </c>
      <c r="D1890" s="13">
        <f>Weekly!I164</f>
        <v>0</v>
      </c>
      <c r="E1890" s="13" t="str">
        <f t="shared" si="209"/>
        <v/>
      </c>
      <c r="F1890" s="13" t="str">
        <f t="shared" si="212"/>
        <v/>
      </c>
      <c r="G1890" s="13" t="str">
        <f t="shared" si="210"/>
        <v/>
      </c>
      <c r="H1890" s="13" t="str">
        <f t="shared" si="211"/>
        <v/>
      </c>
      <c r="I1890" s="14" t="str">
        <f t="array" ref="I1890">IF(getRGB1(Weekly!I164)="FFFF00","초방","재방")</f>
        <v>재방</v>
      </c>
    </row>
    <row r="1891" spans="1:9" ht="11.25" customHeight="1" x14ac:dyDescent="0.3">
      <c r="A1891" s="10" t="str">
        <f t="shared" si="208"/>
        <v/>
      </c>
      <c r="B1891" s="11">
        <f>Weekly!$I$3</f>
        <v>45921</v>
      </c>
      <c r="C1891" s="12">
        <v>0.55902777777777801</v>
      </c>
      <c r="D1891" s="13">
        <f>Weekly!I165</f>
        <v>0</v>
      </c>
      <c r="E1891" s="13" t="str">
        <f t="shared" si="209"/>
        <v/>
      </c>
      <c r="F1891" s="13" t="str">
        <f t="shared" si="212"/>
        <v/>
      </c>
      <c r="G1891" s="13" t="str">
        <f t="shared" si="210"/>
        <v/>
      </c>
      <c r="H1891" s="13" t="str">
        <f t="shared" si="211"/>
        <v/>
      </c>
      <c r="I1891" s="14" t="str">
        <f t="array" ref="I1891">IF(getRGB1(Weekly!I165)="FFFF00","초방","재방")</f>
        <v>재방</v>
      </c>
    </row>
    <row r="1892" spans="1:9" ht="11.25" customHeight="1" x14ac:dyDescent="0.3">
      <c r="A1892" s="10">
        <f t="shared" si="208"/>
        <v>45921.5625</v>
      </c>
      <c r="B1892" s="11">
        <f>Weekly!$I$3</f>
        <v>45921</v>
      </c>
      <c r="C1892" s="12">
        <v>0.5625</v>
      </c>
      <c r="D1892" s="13" t="str">
        <f>Weekly!I166</f>
        <v>더 人터뷰
&lt;54</v>
      </c>
      <c r="E1892" s="13" t="str">
        <f t="shared" si="209"/>
        <v>더 人터뷰</v>
      </c>
      <c r="F1892" s="13">
        <f t="shared" si="212"/>
        <v>54</v>
      </c>
      <c r="G1892" s="13" t="str">
        <f t="shared" si="210"/>
        <v/>
      </c>
      <c r="H1892" s="13" t="str">
        <f t="shared" si="211"/>
        <v/>
      </c>
      <c r="I1892" s="14" t="str">
        <f t="array" ref="I1892">IF(getRGB1(Weekly!I166)="FFFF00","초방","재방")</f>
        <v>재방</v>
      </c>
    </row>
    <row r="1893" spans="1:9" ht="11.25" customHeight="1" x14ac:dyDescent="0.3">
      <c r="A1893" s="10" t="str">
        <f t="shared" si="208"/>
        <v/>
      </c>
      <c r="B1893" s="11">
        <f>Weekly!$I$3</f>
        <v>45921</v>
      </c>
      <c r="C1893" s="12">
        <v>0.56597222222222199</v>
      </c>
      <c r="D1893" s="13">
        <f>Weekly!I167</f>
        <v>0</v>
      </c>
      <c r="E1893" s="13" t="str">
        <f t="shared" si="209"/>
        <v/>
      </c>
      <c r="F1893" s="13" t="str">
        <f t="shared" si="212"/>
        <v/>
      </c>
      <c r="G1893" s="13" t="str">
        <f t="shared" si="210"/>
        <v/>
      </c>
      <c r="H1893" s="13" t="str">
        <f t="shared" si="211"/>
        <v/>
      </c>
      <c r="I1893" s="14" t="str">
        <f t="array" ref="I1893">IF(getRGB1(Weekly!I167)="FFFF00","초방","재방")</f>
        <v>재방</v>
      </c>
    </row>
    <row r="1894" spans="1:9" ht="11.25" customHeight="1" x14ac:dyDescent="0.3">
      <c r="A1894" s="10" t="str">
        <f t="shared" si="208"/>
        <v/>
      </c>
      <c r="B1894" s="11">
        <f>Weekly!$I$3</f>
        <v>45921</v>
      </c>
      <c r="C1894" s="12">
        <v>0.56944444444444398</v>
      </c>
      <c r="D1894" s="13">
        <f>Weekly!I168</f>
        <v>0</v>
      </c>
      <c r="E1894" s="13" t="str">
        <f t="shared" si="209"/>
        <v/>
      </c>
      <c r="F1894" s="13" t="str">
        <f t="shared" si="212"/>
        <v/>
      </c>
      <c r="G1894" s="13" t="str">
        <f t="shared" si="210"/>
        <v/>
      </c>
      <c r="H1894" s="13" t="str">
        <f t="shared" si="211"/>
        <v/>
      </c>
      <c r="I1894" s="14" t="str">
        <f t="array" ref="I1894">IF(getRGB1(Weekly!I168)="FFFF00","초방","재방")</f>
        <v>재방</v>
      </c>
    </row>
    <row r="1895" spans="1:9" ht="11.25" customHeight="1" x14ac:dyDescent="0.3">
      <c r="A1895" s="10" t="str">
        <f t="shared" si="208"/>
        <v/>
      </c>
      <c r="B1895" s="11">
        <f>Weekly!$I$3</f>
        <v>45921</v>
      </c>
      <c r="C1895" s="12">
        <v>0.57291666666666696</v>
      </c>
      <c r="D1895" s="13">
        <f>Weekly!I169</f>
        <v>0</v>
      </c>
      <c r="E1895" s="13" t="str">
        <f t="shared" si="209"/>
        <v/>
      </c>
      <c r="F1895" s="13" t="str">
        <f t="shared" si="212"/>
        <v/>
      </c>
      <c r="G1895" s="13" t="str">
        <f t="shared" si="210"/>
        <v/>
      </c>
      <c r="H1895" s="13" t="str">
        <f t="shared" si="211"/>
        <v/>
      </c>
      <c r="I1895" s="14" t="str">
        <f t="array" ref="I1895">IF(getRGB1(Weekly!I169)="FFFF00","초방","재방")</f>
        <v>재방</v>
      </c>
    </row>
    <row r="1896" spans="1:9" ht="11.25" customHeight="1" x14ac:dyDescent="0.3">
      <c r="A1896" s="10" t="str">
        <f t="shared" si="208"/>
        <v/>
      </c>
      <c r="B1896" s="11">
        <f>Weekly!$I$3</f>
        <v>45921</v>
      </c>
      <c r="C1896" s="12">
        <v>0.57638888888888895</v>
      </c>
      <c r="D1896" s="13">
        <f>Weekly!I170</f>
        <v>0</v>
      </c>
      <c r="E1896" s="13" t="str">
        <f t="shared" si="209"/>
        <v/>
      </c>
      <c r="F1896" s="13" t="str">
        <f t="shared" si="212"/>
        <v/>
      </c>
      <c r="G1896" s="13" t="str">
        <f t="shared" si="210"/>
        <v/>
      </c>
      <c r="H1896" s="13" t="str">
        <f t="shared" si="211"/>
        <v/>
      </c>
      <c r="I1896" s="14" t="str">
        <f t="array" ref="I1896">IF(getRGB1(Weekly!I170)="FFFF00","초방","재방")</f>
        <v>재방</v>
      </c>
    </row>
    <row r="1897" spans="1:9" ht="11.25" customHeight="1" x14ac:dyDescent="0.3">
      <c r="A1897" s="10" t="str">
        <f t="shared" si="208"/>
        <v/>
      </c>
      <c r="B1897" s="11">
        <f>Weekly!$I$3</f>
        <v>45921</v>
      </c>
      <c r="C1897" s="12">
        <v>0.57986111111111105</v>
      </c>
      <c r="D1897" s="13">
        <f>Weekly!I171</f>
        <v>0</v>
      </c>
      <c r="E1897" s="13" t="str">
        <f t="shared" si="209"/>
        <v/>
      </c>
      <c r="F1897" s="13" t="str">
        <f t="shared" si="212"/>
        <v/>
      </c>
      <c r="G1897" s="13" t="str">
        <f t="shared" si="210"/>
        <v/>
      </c>
      <c r="H1897" s="13" t="str">
        <f t="shared" si="211"/>
        <v/>
      </c>
      <c r="I1897" s="14" t="str">
        <f t="array" ref="I1897">IF(getRGB1(Weekly!I171)="FFFF00","초방","재방")</f>
        <v>재방</v>
      </c>
    </row>
    <row r="1898" spans="1:9" ht="11.25" customHeight="1" x14ac:dyDescent="0.3">
      <c r="A1898" s="10">
        <f t="shared" si="208"/>
        <v>45921.583333333336</v>
      </c>
      <c r="B1898" s="11">
        <f>Weekly!$I$3</f>
        <v>45921</v>
      </c>
      <c r="C1898" s="12">
        <v>0.58333333333333304</v>
      </c>
      <c r="D1898" s="13" t="str">
        <f>Weekly!I172</f>
        <v>지방자치TV 스페셜
&lt;23</v>
      </c>
      <c r="E1898" s="13" t="str">
        <f t="shared" si="209"/>
        <v>지방자치TV 스페셜</v>
      </c>
      <c r="F1898" s="13">
        <f t="shared" si="212"/>
        <v>23</v>
      </c>
      <c r="G1898" s="13" t="str">
        <f t="shared" si="210"/>
        <v/>
      </c>
      <c r="H1898" s="13" t="str">
        <f t="shared" si="211"/>
        <v/>
      </c>
      <c r="I1898" s="14" t="str">
        <f t="array" ref="I1898">IF(getRGB1(Weekly!I172)="FFFF00","초방","재방")</f>
        <v>재방</v>
      </c>
    </row>
    <row r="1899" spans="1:9" ht="11.25" customHeight="1" x14ac:dyDescent="0.3">
      <c r="A1899" s="10" t="str">
        <f t="shared" si="208"/>
        <v/>
      </c>
      <c r="B1899" s="11">
        <f>Weekly!$I$3</f>
        <v>45921</v>
      </c>
      <c r="C1899" s="12">
        <v>0.58680555555555503</v>
      </c>
      <c r="D1899" s="13">
        <f>Weekly!I173</f>
        <v>0</v>
      </c>
      <c r="E1899" s="13" t="str">
        <f t="shared" si="209"/>
        <v/>
      </c>
      <c r="F1899" s="13" t="str">
        <f t="shared" si="212"/>
        <v/>
      </c>
      <c r="G1899" s="13" t="str">
        <f t="shared" si="210"/>
        <v/>
      </c>
      <c r="H1899" s="13" t="str">
        <f t="shared" si="211"/>
        <v/>
      </c>
      <c r="I1899" s="14" t="str">
        <f t="array" ref="I1899">IF(getRGB1(Weekly!I173)="FFFF00","초방","재방")</f>
        <v>재방</v>
      </c>
    </row>
    <row r="1900" spans="1:9" ht="11.25" customHeight="1" x14ac:dyDescent="0.3">
      <c r="A1900" s="10" t="str">
        <f t="shared" si="208"/>
        <v/>
      </c>
      <c r="B1900" s="11">
        <f>Weekly!$I$3</f>
        <v>45921</v>
      </c>
      <c r="C1900" s="12">
        <v>0.59027777777777801</v>
      </c>
      <c r="D1900" s="13">
        <f>Weekly!I174</f>
        <v>0</v>
      </c>
      <c r="E1900" s="13" t="str">
        <f t="shared" si="209"/>
        <v/>
      </c>
      <c r="F1900" s="13" t="str">
        <f t="shared" si="212"/>
        <v/>
      </c>
      <c r="G1900" s="13" t="str">
        <f t="shared" si="210"/>
        <v/>
      </c>
      <c r="H1900" s="13" t="str">
        <f t="shared" si="211"/>
        <v/>
      </c>
      <c r="I1900" s="14" t="str">
        <f t="array" ref="I1900">IF(getRGB1(Weekly!I174)="FFFF00","초방","재방")</f>
        <v>재방</v>
      </c>
    </row>
    <row r="1901" spans="1:9" ht="11.25" customHeight="1" x14ac:dyDescent="0.3">
      <c r="A1901" s="10" t="str">
        <f t="shared" si="208"/>
        <v/>
      </c>
      <c r="B1901" s="11">
        <f>Weekly!$I$3</f>
        <v>45921</v>
      </c>
      <c r="C1901" s="12">
        <v>0.59375</v>
      </c>
      <c r="D1901" s="13">
        <f>Weekly!I175</f>
        <v>0</v>
      </c>
      <c r="E1901" s="13" t="str">
        <f t="shared" si="209"/>
        <v/>
      </c>
      <c r="F1901" s="13" t="str">
        <f t="shared" si="212"/>
        <v/>
      </c>
      <c r="G1901" s="13" t="str">
        <f t="shared" si="210"/>
        <v/>
      </c>
      <c r="H1901" s="13" t="str">
        <f t="shared" si="211"/>
        <v/>
      </c>
      <c r="I1901" s="14" t="str">
        <f t="array" ref="I1901">IF(getRGB1(Weekly!I175)="FFFF00","초방","재방")</f>
        <v>재방</v>
      </c>
    </row>
    <row r="1902" spans="1:9" ht="11.25" customHeight="1" x14ac:dyDescent="0.3">
      <c r="A1902" s="10" t="str">
        <f t="shared" si="208"/>
        <v/>
      </c>
      <c r="B1902" s="11">
        <f>Weekly!$I$3</f>
        <v>45921</v>
      </c>
      <c r="C1902" s="12">
        <v>0.59722222222222199</v>
      </c>
      <c r="D1902" s="13">
        <f>Weekly!I176</f>
        <v>0</v>
      </c>
      <c r="E1902" s="13" t="str">
        <f t="shared" si="209"/>
        <v/>
      </c>
      <c r="F1902" s="13" t="str">
        <f t="shared" si="212"/>
        <v/>
      </c>
      <c r="G1902" s="13" t="str">
        <f t="shared" si="210"/>
        <v/>
      </c>
      <c r="H1902" s="13" t="str">
        <f t="shared" si="211"/>
        <v/>
      </c>
      <c r="I1902" s="14" t="str">
        <f t="array" ref="I1902">IF(getRGB1(Weekly!I176)="FFFF00","초방","재방")</f>
        <v>재방</v>
      </c>
    </row>
    <row r="1903" spans="1:9" ht="11.25" customHeight="1" x14ac:dyDescent="0.3">
      <c r="A1903" s="10" t="str">
        <f t="shared" si="208"/>
        <v/>
      </c>
      <c r="B1903" s="11">
        <f>Weekly!$I$3</f>
        <v>45921</v>
      </c>
      <c r="C1903" s="12">
        <v>0.60069444444444398</v>
      </c>
      <c r="D1903" s="13">
        <f>Weekly!I177</f>
        <v>0</v>
      </c>
      <c r="E1903" s="13" t="str">
        <f t="shared" si="209"/>
        <v/>
      </c>
      <c r="F1903" s="13" t="str">
        <f t="shared" si="212"/>
        <v/>
      </c>
      <c r="G1903" s="13" t="str">
        <f t="shared" si="210"/>
        <v/>
      </c>
      <c r="H1903" s="13" t="str">
        <f t="shared" si="211"/>
        <v/>
      </c>
      <c r="I1903" s="14" t="str">
        <f t="array" ref="I1903">IF(getRGB1(Weekly!I177)="FFFF00","초방","재방")</f>
        <v>재방</v>
      </c>
    </row>
    <row r="1904" spans="1:9" ht="11.25" customHeight="1" x14ac:dyDescent="0.3">
      <c r="A1904" s="10" t="str">
        <f t="shared" si="208"/>
        <v/>
      </c>
      <c r="B1904" s="11">
        <f>Weekly!$I$3</f>
        <v>45921</v>
      </c>
      <c r="C1904" s="12">
        <v>0.60416666666666696</v>
      </c>
      <c r="D1904" s="13">
        <f>Weekly!I178</f>
        <v>0</v>
      </c>
      <c r="E1904" s="13" t="str">
        <f t="shared" si="209"/>
        <v/>
      </c>
      <c r="F1904" s="13" t="str">
        <f t="shared" si="212"/>
        <v/>
      </c>
      <c r="G1904" s="13" t="str">
        <f t="shared" si="210"/>
        <v/>
      </c>
      <c r="H1904" s="13" t="str">
        <f t="shared" si="211"/>
        <v/>
      </c>
      <c r="I1904" s="14" t="str">
        <f t="array" ref="I1904">IF(getRGB1(Weekly!I178)="FFFF00","초방","재방")</f>
        <v>재방</v>
      </c>
    </row>
    <row r="1905" spans="1:9" ht="11.25" customHeight="1" x14ac:dyDescent="0.3">
      <c r="A1905" s="10" t="str">
        <f t="shared" si="208"/>
        <v/>
      </c>
      <c r="B1905" s="11">
        <f>Weekly!$I$3</f>
        <v>45921</v>
      </c>
      <c r="C1905" s="12">
        <v>0.60763888888888895</v>
      </c>
      <c r="D1905" s="13">
        <f>Weekly!I179</f>
        <v>0</v>
      </c>
      <c r="E1905" s="13" t="str">
        <f t="shared" si="209"/>
        <v/>
      </c>
      <c r="F1905" s="13" t="str">
        <f t="shared" si="212"/>
        <v/>
      </c>
      <c r="G1905" s="13" t="str">
        <f t="shared" si="210"/>
        <v/>
      </c>
      <c r="H1905" s="13" t="str">
        <f t="shared" si="211"/>
        <v/>
      </c>
      <c r="I1905" s="14" t="str">
        <f t="array" ref="I1905">IF(getRGB1(Weekly!I179)="FFFF00","초방","재방")</f>
        <v>재방</v>
      </c>
    </row>
    <row r="1906" spans="1:9" ht="11.25" customHeight="1" x14ac:dyDescent="0.3">
      <c r="A1906" s="10" t="str">
        <f t="shared" si="208"/>
        <v/>
      </c>
      <c r="B1906" s="11">
        <f>Weekly!$I$3</f>
        <v>45921</v>
      </c>
      <c r="C1906" s="12">
        <v>0.61111111111111105</v>
      </c>
      <c r="D1906" s="13">
        <f>Weekly!I180</f>
        <v>0</v>
      </c>
      <c r="E1906" s="13" t="str">
        <f t="shared" si="209"/>
        <v/>
      </c>
      <c r="F1906" s="13" t="str">
        <f t="shared" si="212"/>
        <v/>
      </c>
      <c r="G1906" s="13" t="str">
        <f t="shared" si="210"/>
        <v/>
      </c>
      <c r="H1906" s="13" t="str">
        <f t="shared" si="211"/>
        <v/>
      </c>
      <c r="I1906" s="14" t="str">
        <f t="array" ref="I1906">IF(getRGB1(Weekly!I180)="FFFF00","초방","재방")</f>
        <v>재방</v>
      </c>
    </row>
    <row r="1907" spans="1:9" ht="11.25" customHeight="1" x14ac:dyDescent="0.3">
      <c r="A1907" s="10" t="str">
        <f t="shared" si="208"/>
        <v/>
      </c>
      <c r="B1907" s="11">
        <f>Weekly!$I$3</f>
        <v>45921</v>
      </c>
      <c r="C1907" s="12">
        <v>0.61458333333333304</v>
      </c>
      <c r="D1907" s="13">
        <f>Weekly!I181</f>
        <v>0</v>
      </c>
      <c r="E1907" s="13" t="str">
        <f t="shared" si="209"/>
        <v/>
      </c>
      <c r="F1907" s="13" t="str">
        <f t="shared" si="212"/>
        <v/>
      </c>
      <c r="G1907" s="13" t="str">
        <f t="shared" si="210"/>
        <v/>
      </c>
      <c r="H1907" s="13" t="str">
        <f t="shared" si="211"/>
        <v/>
      </c>
      <c r="I1907" s="14" t="str">
        <f t="array" ref="I1907">IF(getRGB1(Weekly!I181)="FFFF00","초방","재방")</f>
        <v>재방</v>
      </c>
    </row>
    <row r="1908" spans="1:9" ht="11.25" customHeight="1" x14ac:dyDescent="0.3">
      <c r="A1908" s="10" t="str">
        <f t="shared" si="208"/>
        <v/>
      </c>
      <c r="B1908" s="11">
        <f>Weekly!$I$3</f>
        <v>45921</v>
      </c>
      <c r="C1908" s="12">
        <v>0.61805555555555503</v>
      </c>
      <c r="D1908" s="13">
        <f>Weekly!I182</f>
        <v>0</v>
      </c>
      <c r="E1908" s="13" t="str">
        <f t="shared" si="209"/>
        <v/>
      </c>
      <c r="F1908" s="13" t="str">
        <f t="shared" si="212"/>
        <v/>
      </c>
      <c r="G1908" s="13" t="str">
        <f t="shared" si="210"/>
        <v/>
      </c>
      <c r="H1908" s="13" t="str">
        <f t="shared" si="211"/>
        <v/>
      </c>
      <c r="I1908" s="14" t="str">
        <f t="array" ref="I1908">IF(getRGB1(Weekly!I182)="FFFF00","초방","재방")</f>
        <v>재방</v>
      </c>
    </row>
    <row r="1909" spans="1:9" ht="11.25" customHeight="1" x14ac:dyDescent="0.3">
      <c r="A1909" s="10" t="str">
        <f t="shared" si="208"/>
        <v/>
      </c>
      <c r="B1909" s="11">
        <f>Weekly!$I$3</f>
        <v>45921</v>
      </c>
      <c r="C1909" s="12">
        <v>0.62152777777777801</v>
      </c>
      <c r="D1909" s="13">
        <f>Weekly!I183</f>
        <v>0</v>
      </c>
      <c r="E1909" s="13" t="str">
        <f t="shared" si="209"/>
        <v/>
      </c>
      <c r="F1909" s="13" t="str">
        <f t="shared" si="212"/>
        <v/>
      </c>
      <c r="G1909" s="13" t="str">
        <f t="shared" si="210"/>
        <v/>
      </c>
      <c r="H1909" s="13" t="str">
        <f t="shared" si="211"/>
        <v/>
      </c>
      <c r="I1909" s="14" t="str">
        <f t="array" ref="I1909">IF(getRGB1(Weekly!I183)="FFFF00","초방","재방")</f>
        <v>재방</v>
      </c>
    </row>
    <row r="1910" spans="1:9" ht="11.25" customHeight="1" x14ac:dyDescent="0.3">
      <c r="A1910" s="10">
        <f t="shared" si="208"/>
        <v>45921.625</v>
      </c>
      <c r="B1910" s="11">
        <f>Weekly!$I$3</f>
        <v>45921</v>
      </c>
      <c r="C1910" s="12">
        <v>0.625</v>
      </c>
      <c r="D1910" s="13" t="str">
        <f>Weekly!I184</f>
        <v>행복무지개
&lt;32</v>
      </c>
      <c r="E1910" s="13" t="str">
        <f t="shared" si="209"/>
        <v>행복무지개</v>
      </c>
      <c r="F1910" s="13">
        <f t="shared" si="212"/>
        <v>32</v>
      </c>
      <c r="G1910" s="13" t="str">
        <f t="shared" si="210"/>
        <v/>
      </c>
      <c r="H1910" s="13" t="str">
        <f t="shared" si="211"/>
        <v/>
      </c>
      <c r="I1910" s="14" t="str">
        <f t="array" ref="I1910">IF(getRGB1(Weekly!I184)="FFFF00","초방","재방")</f>
        <v>재방</v>
      </c>
    </row>
    <row r="1911" spans="1:9" ht="11.25" customHeight="1" x14ac:dyDescent="0.3">
      <c r="A1911" s="10" t="str">
        <f t="shared" si="208"/>
        <v/>
      </c>
      <c r="B1911" s="11">
        <f>Weekly!$I$3</f>
        <v>45921</v>
      </c>
      <c r="C1911" s="12">
        <v>0.62847222222222199</v>
      </c>
      <c r="D1911" s="13">
        <f>Weekly!I185</f>
        <v>0</v>
      </c>
      <c r="E1911" s="13" t="str">
        <f t="shared" si="209"/>
        <v/>
      </c>
      <c r="F1911" s="13" t="str">
        <f t="shared" si="212"/>
        <v/>
      </c>
      <c r="G1911" s="13" t="str">
        <f t="shared" si="210"/>
        <v/>
      </c>
      <c r="H1911" s="13" t="str">
        <f t="shared" si="211"/>
        <v/>
      </c>
      <c r="I1911" s="14" t="str">
        <f t="array" ref="I1911">IF(getRGB1(Weekly!I185)="FFFF00","초방","재방")</f>
        <v>재방</v>
      </c>
    </row>
    <row r="1912" spans="1:9" ht="11.25" customHeight="1" x14ac:dyDescent="0.3">
      <c r="A1912" s="10" t="str">
        <f t="shared" si="208"/>
        <v/>
      </c>
      <c r="B1912" s="11">
        <f>Weekly!$I$3</f>
        <v>45921</v>
      </c>
      <c r="C1912" s="12">
        <v>0.63194444444444398</v>
      </c>
      <c r="D1912" s="13">
        <f>Weekly!I186</f>
        <v>0</v>
      </c>
      <c r="E1912" s="13" t="str">
        <f t="shared" si="209"/>
        <v/>
      </c>
      <c r="F1912" s="13" t="str">
        <f t="shared" si="212"/>
        <v/>
      </c>
      <c r="G1912" s="13" t="str">
        <f t="shared" si="210"/>
        <v/>
      </c>
      <c r="H1912" s="13" t="str">
        <f t="shared" si="211"/>
        <v/>
      </c>
      <c r="I1912" s="14" t="str">
        <f t="array" ref="I1912">IF(getRGB1(Weekly!I186)="FFFF00","초방","재방")</f>
        <v>재방</v>
      </c>
    </row>
    <row r="1913" spans="1:9" ht="11.25" customHeight="1" x14ac:dyDescent="0.3">
      <c r="A1913" s="10" t="str">
        <f t="shared" si="208"/>
        <v/>
      </c>
      <c r="B1913" s="11">
        <f>Weekly!$I$3</f>
        <v>45921</v>
      </c>
      <c r="C1913" s="12">
        <v>0.63541666666666696</v>
      </c>
      <c r="D1913" s="13">
        <f>Weekly!I187</f>
        <v>0</v>
      </c>
      <c r="E1913" s="13" t="str">
        <f t="shared" si="209"/>
        <v/>
      </c>
      <c r="F1913" s="13" t="str">
        <f t="shared" si="212"/>
        <v/>
      </c>
      <c r="G1913" s="13" t="str">
        <f t="shared" si="210"/>
        <v/>
      </c>
      <c r="H1913" s="13" t="str">
        <f t="shared" si="211"/>
        <v/>
      </c>
      <c r="I1913" s="14" t="str">
        <f t="array" ref="I1913">IF(getRGB1(Weekly!I187)="FFFF00","초방","재방")</f>
        <v>재방</v>
      </c>
    </row>
    <row r="1914" spans="1:9" ht="11.25" customHeight="1" x14ac:dyDescent="0.3">
      <c r="A1914" s="10" t="str">
        <f t="shared" si="208"/>
        <v/>
      </c>
      <c r="B1914" s="11">
        <f>Weekly!$I$3</f>
        <v>45921</v>
      </c>
      <c r="C1914" s="12">
        <v>0.63888888888888895</v>
      </c>
      <c r="D1914" s="13">
        <f>Weekly!I188</f>
        <v>0</v>
      </c>
      <c r="E1914" s="13" t="str">
        <f t="shared" si="209"/>
        <v/>
      </c>
      <c r="F1914" s="13" t="str">
        <f t="shared" si="212"/>
        <v/>
      </c>
      <c r="G1914" s="13" t="str">
        <f t="shared" si="210"/>
        <v/>
      </c>
      <c r="H1914" s="13" t="str">
        <f t="shared" si="211"/>
        <v/>
      </c>
      <c r="I1914" s="14" t="str">
        <f t="array" ref="I1914">IF(getRGB1(Weekly!I188)="FFFF00","초방","재방")</f>
        <v>재방</v>
      </c>
    </row>
    <row r="1915" spans="1:9" ht="11.25" customHeight="1" x14ac:dyDescent="0.3">
      <c r="A1915" s="10" t="str">
        <f t="shared" si="208"/>
        <v/>
      </c>
      <c r="B1915" s="11">
        <f>Weekly!$I$3</f>
        <v>45921</v>
      </c>
      <c r="C1915" s="12">
        <v>0.64236111111111105</v>
      </c>
      <c r="D1915" s="13">
        <f>Weekly!I189</f>
        <v>0</v>
      </c>
      <c r="E1915" s="13" t="str">
        <f t="shared" si="209"/>
        <v/>
      </c>
      <c r="F1915" s="13" t="str">
        <f t="shared" si="212"/>
        <v/>
      </c>
      <c r="G1915" s="13" t="str">
        <f t="shared" si="210"/>
        <v/>
      </c>
      <c r="H1915" s="13" t="str">
        <f t="shared" si="211"/>
        <v/>
      </c>
      <c r="I1915" s="14" t="str">
        <f t="array" ref="I1915">IF(getRGB1(Weekly!I189)="FFFF00","초방","재방")</f>
        <v>재방</v>
      </c>
    </row>
    <row r="1916" spans="1:9" ht="11.25" customHeight="1" x14ac:dyDescent="0.3">
      <c r="A1916" s="10" t="str">
        <f t="shared" si="208"/>
        <v/>
      </c>
      <c r="B1916" s="11">
        <f>Weekly!$I$3</f>
        <v>45921</v>
      </c>
      <c r="C1916" s="12">
        <v>0.64583333333333304</v>
      </c>
      <c r="D1916" s="13">
        <f>Weekly!I190</f>
        <v>0</v>
      </c>
      <c r="E1916" s="13" t="str">
        <f t="shared" si="209"/>
        <v/>
      </c>
      <c r="F1916" s="13" t="str">
        <f t="shared" si="212"/>
        <v/>
      </c>
      <c r="G1916" s="13" t="str">
        <f t="shared" si="210"/>
        <v/>
      </c>
      <c r="H1916" s="13" t="str">
        <f t="shared" si="211"/>
        <v/>
      </c>
      <c r="I1916" s="14" t="str">
        <f t="array" ref="I1916">IF(getRGB1(Weekly!I190)="FFFF00","초방","재방")</f>
        <v>재방</v>
      </c>
    </row>
    <row r="1917" spans="1:9" ht="11.25" customHeight="1" x14ac:dyDescent="0.3">
      <c r="A1917" s="10" t="str">
        <f t="shared" si="208"/>
        <v/>
      </c>
      <c r="B1917" s="11">
        <f>Weekly!$I$3</f>
        <v>45921</v>
      </c>
      <c r="C1917" s="12">
        <v>0.64930555555555503</v>
      </c>
      <c r="D1917" s="13">
        <f>Weekly!I191</f>
        <v>0</v>
      </c>
      <c r="E1917" s="13" t="str">
        <f t="shared" si="209"/>
        <v/>
      </c>
      <c r="F1917" s="13" t="str">
        <f t="shared" si="212"/>
        <v/>
      </c>
      <c r="G1917" s="13" t="str">
        <f t="shared" si="210"/>
        <v/>
      </c>
      <c r="H1917" s="13" t="str">
        <f t="shared" si="211"/>
        <v/>
      </c>
      <c r="I1917" s="14" t="str">
        <f t="array" ref="I1917">IF(getRGB1(Weekly!I191)="FFFF00","초방","재방")</f>
        <v>재방</v>
      </c>
    </row>
    <row r="1918" spans="1:9" ht="11.25" customHeight="1" x14ac:dyDescent="0.3">
      <c r="A1918" s="10" t="str">
        <f t="shared" si="208"/>
        <v/>
      </c>
      <c r="B1918" s="11">
        <f>Weekly!$I$3</f>
        <v>45921</v>
      </c>
      <c r="C1918" s="12">
        <v>0.65277777777777801</v>
      </c>
      <c r="D1918" s="13">
        <f>Weekly!I192</f>
        <v>0</v>
      </c>
      <c r="E1918" s="13" t="str">
        <f t="shared" si="209"/>
        <v/>
      </c>
      <c r="F1918" s="13" t="str">
        <f t="shared" si="212"/>
        <v/>
      </c>
      <c r="G1918" s="13" t="str">
        <f t="shared" si="210"/>
        <v/>
      </c>
      <c r="H1918" s="13" t="str">
        <f t="shared" si="211"/>
        <v/>
      </c>
      <c r="I1918" s="14" t="str">
        <f t="array" ref="I1918">IF(getRGB1(Weekly!I192)="FFFF00","초방","재방")</f>
        <v>재방</v>
      </c>
    </row>
    <row r="1919" spans="1:9" ht="11.25" customHeight="1" x14ac:dyDescent="0.3">
      <c r="A1919" s="10" t="str">
        <f t="shared" si="208"/>
        <v/>
      </c>
      <c r="B1919" s="11">
        <f>Weekly!$I$3</f>
        <v>45921</v>
      </c>
      <c r="C1919" s="12">
        <v>0.65625</v>
      </c>
      <c r="D1919" s="13">
        <f>Weekly!I193</f>
        <v>0</v>
      </c>
      <c r="E1919" s="13" t="str">
        <f t="shared" si="209"/>
        <v/>
      </c>
      <c r="F1919" s="13" t="str">
        <f t="shared" si="212"/>
        <v/>
      </c>
      <c r="G1919" s="13" t="str">
        <f t="shared" si="210"/>
        <v/>
      </c>
      <c r="H1919" s="13" t="str">
        <f t="shared" si="211"/>
        <v/>
      </c>
      <c r="I1919" s="14" t="str">
        <f t="array" ref="I1919">IF(getRGB1(Weekly!I193)="FFFF00","초방","재방")</f>
        <v>재방</v>
      </c>
    </row>
    <row r="1920" spans="1:9" ht="11.25" customHeight="1" x14ac:dyDescent="0.3">
      <c r="A1920" s="10" t="str">
        <f t="shared" si="208"/>
        <v/>
      </c>
      <c r="B1920" s="11">
        <f>Weekly!$I$3</f>
        <v>45921</v>
      </c>
      <c r="C1920" s="12">
        <v>0.65972222222222199</v>
      </c>
      <c r="D1920" s="13">
        <f>Weekly!I194</f>
        <v>0</v>
      </c>
      <c r="E1920" s="13" t="str">
        <f t="shared" si="209"/>
        <v/>
      </c>
      <c r="F1920" s="13" t="str">
        <f t="shared" si="212"/>
        <v/>
      </c>
      <c r="G1920" s="13" t="str">
        <f t="shared" si="210"/>
        <v/>
      </c>
      <c r="H1920" s="13" t="str">
        <f t="shared" si="211"/>
        <v/>
      </c>
      <c r="I1920" s="14" t="str">
        <f t="array" ref="I1920">IF(getRGB1(Weekly!I194)="FFFF00","초방","재방")</f>
        <v>재방</v>
      </c>
    </row>
    <row r="1921" spans="1:9" ht="11.25" customHeight="1" x14ac:dyDescent="0.3">
      <c r="A1921" s="10" t="str">
        <f t="shared" si="208"/>
        <v/>
      </c>
      <c r="B1921" s="11">
        <f>Weekly!$I$3</f>
        <v>45921</v>
      </c>
      <c r="C1921" s="12">
        <v>0.66319444444444398</v>
      </c>
      <c r="D1921" s="13">
        <f>Weekly!I195</f>
        <v>0</v>
      </c>
      <c r="E1921" s="13" t="str">
        <f t="shared" si="209"/>
        <v/>
      </c>
      <c r="F1921" s="13" t="str">
        <f t="shared" si="212"/>
        <v/>
      </c>
      <c r="G1921" s="13" t="str">
        <f t="shared" si="210"/>
        <v/>
      </c>
      <c r="H1921" s="13" t="str">
        <f t="shared" si="211"/>
        <v/>
      </c>
      <c r="I1921" s="14" t="str">
        <f t="array" ref="I1921">IF(getRGB1(Weekly!I195)="FFFF00","초방","재방")</f>
        <v>재방</v>
      </c>
    </row>
    <row r="1922" spans="1:9" ht="11.25" customHeight="1" x14ac:dyDescent="0.3">
      <c r="A1922" s="10">
        <f t="shared" ref="A1922:A1985" si="213">IF(D1922&lt;&gt;0,B1922+C1922,"")</f>
        <v>45921.666666666664</v>
      </c>
      <c r="B1922" s="11">
        <f>Weekly!$I$3</f>
        <v>45921</v>
      </c>
      <c r="C1922" s="12">
        <v>0.66666666666666696</v>
      </c>
      <c r="D1922" s="13" t="str">
        <f>Weekly!I196</f>
        <v xml:space="preserve"> NEWS4
&lt;64</v>
      </c>
      <c r="E1922" s="13" t="str">
        <f t="shared" ref="E1922:E1985" si="214">IFERROR(SUBSTITUTE(SUBSTITUTE(TRIM(LEFT(D1922,FIND("&lt;",D1922)-1)),CHAR(10),""),"⑮ ",""),"")</f>
        <v>NEWS4</v>
      </c>
      <c r="F1922" s="13">
        <f t="shared" si="212"/>
        <v>64</v>
      </c>
      <c r="G1922" s="13" t="str">
        <f t="shared" ref="G1922:G1985" si="215">IFERROR(MID(D1922,FIND("&gt;",D1922)+1,10),"")</f>
        <v/>
      </c>
      <c r="H1922" s="13" t="str">
        <f t="shared" ref="H1922:H1985" si="216">IFERROR(VLOOKUP(LEFT(D1922,2),$W$1:$X$6,2,0),"")</f>
        <v/>
      </c>
      <c r="I1922" s="14" t="str">
        <f t="array" ref="I1922">IF(getRGB1(Weekly!I196)="FFFF00","초방","재방")</f>
        <v>재방</v>
      </c>
    </row>
    <row r="1923" spans="1:9" ht="11.25" customHeight="1" x14ac:dyDescent="0.3">
      <c r="A1923" s="10" t="str">
        <f t="shared" si="213"/>
        <v/>
      </c>
      <c r="B1923" s="11">
        <f>Weekly!$I$3</f>
        <v>45921</v>
      </c>
      <c r="C1923" s="12">
        <v>0.67013888888888895</v>
      </c>
      <c r="D1923" s="13">
        <f>Weekly!I197</f>
        <v>0</v>
      </c>
      <c r="E1923" s="13" t="str">
        <f t="shared" si="214"/>
        <v/>
      </c>
      <c r="F1923" s="13" t="str">
        <f t="shared" ref="F1923:F1986" si="217">IFERROR((MID(D1923,FIND("&lt;",D1923)+1,4))*1,"")</f>
        <v/>
      </c>
      <c r="G1923" s="13" t="str">
        <f t="shared" si="215"/>
        <v/>
      </c>
      <c r="H1923" s="13" t="str">
        <f t="shared" si="216"/>
        <v/>
      </c>
      <c r="I1923" s="14" t="str">
        <f t="array" ref="I1923">IF(getRGB1(Weekly!I197)="FFFF00","초방","재방")</f>
        <v>재방</v>
      </c>
    </row>
    <row r="1924" spans="1:9" ht="11.25" customHeight="1" x14ac:dyDescent="0.3">
      <c r="A1924" s="10" t="str">
        <f t="shared" si="213"/>
        <v/>
      </c>
      <c r="B1924" s="11">
        <f>Weekly!$I$3</f>
        <v>45921</v>
      </c>
      <c r="C1924" s="12">
        <v>0.67361111111111105</v>
      </c>
      <c r="D1924" s="13">
        <f>Weekly!I198</f>
        <v>0</v>
      </c>
      <c r="E1924" s="13" t="str">
        <f t="shared" si="214"/>
        <v/>
      </c>
      <c r="F1924" s="13" t="str">
        <f t="shared" si="217"/>
        <v/>
      </c>
      <c r="G1924" s="13" t="str">
        <f t="shared" si="215"/>
        <v/>
      </c>
      <c r="H1924" s="13" t="str">
        <f t="shared" si="216"/>
        <v/>
      </c>
      <c r="I1924" s="14" t="str">
        <f t="array" ref="I1924">IF(getRGB1(Weekly!I198)="FFFF00","초방","재방")</f>
        <v>재방</v>
      </c>
    </row>
    <row r="1925" spans="1:9" ht="11.25" customHeight="1" x14ac:dyDescent="0.3">
      <c r="A1925" s="10" t="str">
        <f t="shared" si="213"/>
        <v/>
      </c>
      <c r="B1925" s="11">
        <f>Weekly!$I$3</f>
        <v>45921</v>
      </c>
      <c r="C1925" s="12">
        <v>0.67708333333333304</v>
      </c>
      <c r="D1925" s="13">
        <f>Weekly!I199</f>
        <v>0</v>
      </c>
      <c r="E1925" s="13" t="str">
        <f t="shared" si="214"/>
        <v/>
      </c>
      <c r="F1925" s="13" t="str">
        <f t="shared" si="217"/>
        <v/>
      </c>
      <c r="G1925" s="13" t="str">
        <f t="shared" si="215"/>
        <v/>
      </c>
      <c r="H1925" s="13" t="str">
        <f t="shared" si="216"/>
        <v/>
      </c>
      <c r="I1925" s="14" t="str">
        <f t="array" ref="I1925">IF(getRGB1(Weekly!I199)="FFFF00","초방","재방")</f>
        <v>재방</v>
      </c>
    </row>
    <row r="1926" spans="1:9" ht="11.25" customHeight="1" x14ac:dyDescent="0.3">
      <c r="A1926" s="10" t="str">
        <f t="shared" si="213"/>
        <v/>
      </c>
      <c r="B1926" s="11">
        <f>Weekly!$I$3</f>
        <v>45921</v>
      </c>
      <c r="C1926" s="12">
        <v>0.68055555555555503</v>
      </c>
      <c r="D1926" s="13">
        <f>Weekly!I200</f>
        <v>0</v>
      </c>
      <c r="E1926" s="13" t="str">
        <f t="shared" si="214"/>
        <v/>
      </c>
      <c r="F1926" s="13" t="str">
        <f t="shared" si="217"/>
        <v/>
      </c>
      <c r="G1926" s="13" t="str">
        <f t="shared" si="215"/>
        <v/>
      </c>
      <c r="H1926" s="13" t="str">
        <f t="shared" si="216"/>
        <v/>
      </c>
      <c r="I1926" s="14" t="str">
        <f t="array" ref="I1926">IF(getRGB1(Weekly!I200)="FFFF00","초방","재방")</f>
        <v>재방</v>
      </c>
    </row>
    <row r="1927" spans="1:9" ht="11.25" customHeight="1" x14ac:dyDescent="0.3">
      <c r="A1927" s="10" t="str">
        <f t="shared" si="213"/>
        <v/>
      </c>
      <c r="B1927" s="11">
        <f>Weekly!$I$3</f>
        <v>45921</v>
      </c>
      <c r="C1927" s="12">
        <v>0.68402777777777801</v>
      </c>
      <c r="D1927" s="13">
        <f>Weekly!I201</f>
        <v>0</v>
      </c>
      <c r="E1927" s="13" t="str">
        <f t="shared" si="214"/>
        <v/>
      </c>
      <c r="F1927" s="13" t="str">
        <f t="shared" si="217"/>
        <v/>
      </c>
      <c r="G1927" s="13" t="str">
        <f t="shared" si="215"/>
        <v/>
      </c>
      <c r="H1927" s="13" t="str">
        <f t="shared" si="216"/>
        <v/>
      </c>
      <c r="I1927" s="14" t="str">
        <f t="array" ref="I1927">IF(getRGB1(Weekly!I201)="FFFF00","초방","재방")</f>
        <v>재방</v>
      </c>
    </row>
    <row r="1928" spans="1:9" ht="11.25" customHeight="1" x14ac:dyDescent="0.3">
      <c r="A1928" s="10">
        <f t="shared" si="213"/>
        <v>45921.6875</v>
      </c>
      <c r="B1928" s="11">
        <f>Weekly!$I$3</f>
        <v>45921</v>
      </c>
      <c r="C1928" s="12">
        <v>0.6875</v>
      </c>
      <c r="D1928" s="13" t="str">
        <f>Weekly!I202</f>
        <v>지금은 지방시대 강원
&lt;18</v>
      </c>
      <c r="E1928" s="13" t="str">
        <f t="shared" si="214"/>
        <v>지금은 지방시대 강원</v>
      </c>
      <c r="F1928" s="13">
        <f t="shared" si="217"/>
        <v>18</v>
      </c>
      <c r="G1928" s="13" t="str">
        <f t="shared" si="215"/>
        <v/>
      </c>
      <c r="H1928" s="13" t="str">
        <f t="shared" si="216"/>
        <v/>
      </c>
      <c r="I1928" s="14" t="str">
        <f t="array" ref="I1928">IF(getRGB1(Weekly!I202)="FFFF00","초방","재방")</f>
        <v>재방</v>
      </c>
    </row>
    <row r="1929" spans="1:9" ht="11.25" customHeight="1" x14ac:dyDescent="0.3">
      <c r="A1929" s="10" t="str">
        <f t="shared" si="213"/>
        <v/>
      </c>
      <c r="B1929" s="11">
        <f>Weekly!$I$3</f>
        <v>45921</v>
      </c>
      <c r="C1929" s="12">
        <v>0.69097222222222199</v>
      </c>
      <c r="D1929" s="13">
        <f>Weekly!I203</f>
        <v>0</v>
      </c>
      <c r="E1929" s="13" t="str">
        <f t="shared" si="214"/>
        <v/>
      </c>
      <c r="F1929" s="13" t="str">
        <f t="shared" si="217"/>
        <v/>
      </c>
      <c r="G1929" s="13" t="str">
        <f t="shared" si="215"/>
        <v/>
      </c>
      <c r="H1929" s="13" t="str">
        <f t="shared" si="216"/>
        <v/>
      </c>
      <c r="I1929" s="14" t="str">
        <f t="array" ref="I1929">IF(getRGB1(Weekly!I203)="FFFF00","초방","재방")</f>
        <v>재방</v>
      </c>
    </row>
    <row r="1930" spans="1:9" ht="11.25" customHeight="1" x14ac:dyDescent="0.3">
      <c r="A1930" s="10" t="str">
        <f t="shared" si="213"/>
        <v/>
      </c>
      <c r="B1930" s="11">
        <f>Weekly!$I$3</f>
        <v>45921</v>
      </c>
      <c r="C1930" s="12">
        <v>0.69444444444444398</v>
      </c>
      <c r="D1930" s="13">
        <f>Weekly!I204</f>
        <v>0</v>
      </c>
      <c r="E1930" s="13" t="str">
        <f t="shared" si="214"/>
        <v/>
      </c>
      <c r="F1930" s="13" t="str">
        <f t="shared" si="217"/>
        <v/>
      </c>
      <c r="G1930" s="13" t="str">
        <f t="shared" si="215"/>
        <v/>
      </c>
      <c r="H1930" s="13" t="str">
        <f t="shared" si="216"/>
        <v/>
      </c>
      <c r="I1930" s="14" t="str">
        <f t="array" ref="I1930">IF(getRGB1(Weekly!I204)="FFFF00","초방","재방")</f>
        <v>재방</v>
      </c>
    </row>
    <row r="1931" spans="1:9" ht="11.25" customHeight="1" x14ac:dyDescent="0.3">
      <c r="A1931" s="10" t="str">
        <f t="shared" si="213"/>
        <v/>
      </c>
      <c r="B1931" s="11">
        <f>Weekly!$I$3</f>
        <v>45921</v>
      </c>
      <c r="C1931" s="12">
        <v>0.69791666666666696</v>
      </c>
      <c r="D1931" s="13">
        <f>Weekly!I205</f>
        <v>0</v>
      </c>
      <c r="E1931" s="13" t="str">
        <f t="shared" si="214"/>
        <v/>
      </c>
      <c r="F1931" s="13" t="str">
        <f t="shared" si="217"/>
        <v/>
      </c>
      <c r="G1931" s="13" t="str">
        <f t="shared" si="215"/>
        <v/>
      </c>
      <c r="H1931" s="13" t="str">
        <f t="shared" si="216"/>
        <v/>
      </c>
      <c r="I1931" s="14" t="str">
        <f t="array" ref="I1931">IF(getRGB1(Weekly!I205)="FFFF00","초방","재방")</f>
        <v>재방</v>
      </c>
    </row>
    <row r="1932" spans="1:9" ht="11.25" customHeight="1" x14ac:dyDescent="0.3">
      <c r="A1932" s="10" t="str">
        <f t="shared" si="213"/>
        <v/>
      </c>
      <c r="B1932" s="11">
        <f>Weekly!$I$3</f>
        <v>45921</v>
      </c>
      <c r="C1932" s="12">
        <v>0.70138888888888895</v>
      </c>
      <c r="D1932" s="13">
        <f>Weekly!I206</f>
        <v>0</v>
      </c>
      <c r="E1932" s="13" t="str">
        <f t="shared" si="214"/>
        <v/>
      </c>
      <c r="F1932" s="13" t="str">
        <f t="shared" si="217"/>
        <v/>
      </c>
      <c r="G1932" s="13" t="str">
        <f t="shared" si="215"/>
        <v/>
      </c>
      <c r="H1932" s="13" t="str">
        <f t="shared" si="216"/>
        <v/>
      </c>
      <c r="I1932" s="14" t="str">
        <f t="array" ref="I1932">IF(getRGB1(Weekly!I206)="FFFF00","초방","재방")</f>
        <v>재방</v>
      </c>
    </row>
    <row r="1933" spans="1:9" ht="11.25" customHeight="1" x14ac:dyDescent="0.3">
      <c r="A1933" s="10" t="str">
        <f t="shared" si="213"/>
        <v/>
      </c>
      <c r="B1933" s="11">
        <f>Weekly!$I$3</f>
        <v>45921</v>
      </c>
      <c r="C1933" s="12">
        <v>0.70486111111111105</v>
      </c>
      <c r="D1933" s="13">
        <f>Weekly!I207</f>
        <v>0</v>
      </c>
      <c r="E1933" s="13" t="str">
        <f t="shared" si="214"/>
        <v/>
      </c>
      <c r="F1933" s="13" t="str">
        <f t="shared" si="217"/>
        <v/>
      </c>
      <c r="G1933" s="13" t="str">
        <f t="shared" si="215"/>
        <v/>
      </c>
      <c r="H1933" s="13" t="str">
        <f t="shared" si="216"/>
        <v/>
      </c>
      <c r="I1933" s="14" t="str">
        <f t="array" ref="I1933">IF(getRGB1(Weekly!I207)="FFFF00","초방","재방")</f>
        <v>재방</v>
      </c>
    </row>
    <row r="1934" spans="1:9" ht="11.25" customHeight="1" x14ac:dyDescent="0.3">
      <c r="A1934" s="10">
        <f t="shared" si="213"/>
        <v>45921.708333333336</v>
      </c>
      <c r="B1934" s="11">
        <f>Weekly!$I$3</f>
        <v>45921</v>
      </c>
      <c r="C1934" s="12">
        <v>0.70833333333333304</v>
      </c>
      <c r="D1934" s="13" t="str">
        <f>Weekly!I208</f>
        <v>최선규의 이제는 지방시대
&lt;04</v>
      </c>
      <c r="E1934" s="13" t="str">
        <f t="shared" si="214"/>
        <v>최선규의 이제는 지방시대</v>
      </c>
      <c r="F1934" s="13">
        <f t="shared" si="217"/>
        <v>4</v>
      </c>
      <c r="G1934" s="13" t="str">
        <f t="shared" si="215"/>
        <v/>
      </c>
      <c r="H1934" s="13" t="str">
        <f t="shared" si="216"/>
        <v/>
      </c>
      <c r="I1934" s="14" t="str">
        <f t="array" ref="I1934">IF(getRGB1(Weekly!I208)="FFFF00","초방","재방")</f>
        <v>재방</v>
      </c>
    </row>
    <row r="1935" spans="1:9" ht="11.25" customHeight="1" x14ac:dyDescent="0.3">
      <c r="A1935" s="10" t="str">
        <f t="shared" si="213"/>
        <v/>
      </c>
      <c r="B1935" s="11">
        <f>Weekly!$I$3</f>
        <v>45921</v>
      </c>
      <c r="C1935" s="12">
        <v>0.71180555555555503</v>
      </c>
      <c r="D1935" s="13">
        <f>Weekly!I209</f>
        <v>0</v>
      </c>
      <c r="E1935" s="13" t="str">
        <f t="shared" si="214"/>
        <v/>
      </c>
      <c r="F1935" s="13" t="str">
        <f t="shared" si="217"/>
        <v/>
      </c>
      <c r="G1935" s="13" t="str">
        <f t="shared" si="215"/>
        <v/>
      </c>
      <c r="H1935" s="13" t="str">
        <f t="shared" si="216"/>
        <v/>
      </c>
      <c r="I1935" s="14" t="str">
        <f t="array" ref="I1935">IF(getRGB1(Weekly!I209)="FFFF00","초방","재방")</f>
        <v>재방</v>
      </c>
    </row>
    <row r="1936" spans="1:9" ht="11.25" customHeight="1" x14ac:dyDescent="0.3">
      <c r="A1936" s="10" t="str">
        <f t="shared" si="213"/>
        <v/>
      </c>
      <c r="B1936" s="11">
        <f>Weekly!$I$3</f>
        <v>45921</v>
      </c>
      <c r="C1936" s="12">
        <v>0.71527777777777801</v>
      </c>
      <c r="D1936" s="13">
        <f>Weekly!I210</f>
        <v>0</v>
      </c>
      <c r="E1936" s="13" t="str">
        <f t="shared" si="214"/>
        <v/>
      </c>
      <c r="F1936" s="13" t="str">
        <f t="shared" si="217"/>
        <v/>
      </c>
      <c r="G1936" s="13" t="str">
        <f t="shared" si="215"/>
        <v/>
      </c>
      <c r="H1936" s="13" t="str">
        <f t="shared" si="216"/>
        <v/>
      </c>
      <c r="I1936" s="14" t="str">
        <f t="array" ref="I1936">IF(getRGB1(Weekly!I210)="FFFF00","초방","재방")</f>
        <v>재방</v>
      </c>
    </row>
    <row r="1937" spans="1:9" ht="11.25" customHeight="1" x14ac:dyDescent="0.3">
      <c r="A1937" s="10" t="str">
        <f t="shared" si="213"/>
        <v/>
      </c>
      <c r="B1937" s="11">
        <f>Weekly!$I$3</f>
        <v>45921</v>
      </c>
      <c r="C1937" s="12">
        <v>0.71875</v>
      </c>
      <c r="D1937" s="13">
        <f>Weekly!I211</f>
        <v>0</v>
      </c>
      <c r="E1937" s="13" t="str">
        <f t="shared" si="214"/>
        <v/>
      </c>
      <c r="F1937" s="13" t="str">
        <f t="shared" si="217"/>
        <v/>
      </c>
      <c r="G1937" s="13" t="str">
        <f t="shared" si="215"/>
        <v/>
      </c>
      <c r="H1937" s="13" t="str">
        <f t="shared" si="216"/>
        <v/>
      </c>
      <c r="I1937" s="14" t="str">
        <f t="array" ref="I1937">IF(getRGB1(Weekly!I211)="FFFF00","초방","재방")</f>
        <v>재방</v>
      </c>
    </row>
    <row r="1938" spans="1:9" ht="11.25" customHeight="1" x14ac:dyDescent="0.3">
      <c r="A1938" s="10" t="str">
        <f t="shared" si="213"/>
        <v/>
      </c>
      <c r="B1938" s="11">
        <f>Weekly!$I$3</f>
        <v>45921</v>
      </c>
      <c r="C1938" s="12">
        <v>0.72222222222222199</v>
      </c>
      <c r="D1938" s="13">
        <f>Weekly!I212</f>
        <v>0</v>
      </c>
      <c r="E1938" s="13" t="str">
        <f t="shared" si="214"/>
        <v/>
      </c>
      <c r="F1938" s="13" t="str">
        <f t="shared" si="217"/>
        <v/>
      </c>
      <c r="G1938" s="13" t="str">
        <f t="shared" si="215"/>
        <v/>
      </c>
      <c r="H1938" s="13" t="str">
        <f t="shared" si="216"/>
        <v/>
      </c>
      <c r="I1938" s="14" t="str">
        <f t="array" ref="I1938">IF(getRGB1(Weekly!I212)="FFFF00","초방","재방")</f>
        <v>재방</v>
      </c>
    </row>
    <row r="1939" spans="1:9" ht="11.25" customHeight="1" x14ac:dyDescent="0.3">
      <c r="A1939" s="10" t="str">
        <f t="shared" si="213"/>
        <v/>
      </c>
      <c r="B1939" s="11">
        <f>Weekly!$I$3</f>
        <v>45921</v>
      </c>
      <c r="C1939" s="12">
        <v>0.72569444444444398</v>
      </c>
      <c r="D1939" s="13">
        <f>Weekly!I213</f>
        <v>0</v>
      </c>
      <c r="E1939" s="13" t="str">
        <f t="shared" si="214"/>
        <v/>
      </c>
      <c r="F1939" s="13" t="str">
        <f t="shared" si="217"/>
        <v/>
      </c>
      <c r="G1939" s="13" t="str">
        <f t="shared" si="215"/>
        <v/>
      </c>
      <c r="H1939" s="13" t="str">
        <f t="shared" si="216"/>
        <v/>
      </c>
      <c r="I1939" s="14" t="str">
        <f t="array" ref="I1939">IF(getRGB1(Weekly!I213)="FFFF00","초방","재방")</f>
        <v>재방</v>
      </c>
    </row>
    <row r="1940" spans="1:9" ht="11.25" customHeight="1" x14ac:dyDescent="0.3">
      <c r="A1940" s="10" t="str">
        <f t="shared" si="213"/>
        <v/>
      </c>
      <c r="B1940" s="11">
        <f>Weekly!$I$3</f>
        <v>45921</v>
      </c>
      <c r="C1940" s="12">
        <v>0.72916666666666696</v>
      </c>
      <c r="D1940" s="13">
        <f>Weekly!I214</f>
        <v>0</v>
      </c>
      <c r="E1940" s="13" t="str">
        <f t="shared" si="214"/>
        <v/>
      </c>
      <c r="F1940" s="13" t="str">
        <f t="shared" si="217"/>
        <v/>
      </c>
      <c r="G1940" s="13" t="str">
        <f t="shared" si="215"/>
        <v/>
      </c>
      <c r="H1940" s="13" t="str">
        <f t="shared" si="216"/>
        <v/>
      </c>
      <c r="I1940" s="14" t="str">
        <f t="array" ref="I1940">IF(getRGB1(Weekly!I214)="FFFF00","초방","재방")</f>
        <v>재방</v>
      </c>
    </row>
    <row r="1941" spans="1:9" ht="11.25" customHeight="1" x14ac:dyDescent="0.3">
      <c r="A1941" s="10" t="str">
        <f t="shared" si="213"/>
        <v/>
      </c>
      <c r="B1941" s="11">
        <f>Weekly!$I$3</f>
        <v>45921</v>
      </c>
      <c r="C1941" s="12">
        <v>0.73263888888888895</v>
      </c>
      <c r="D1941" s="13">
        <f>Weekly!I215</f>
        <v>0</v>
      </c>
      <c r="E1941" s="13" t="str">
        <f t="shared" si="214"/>
        <v/>
      </c>
      <c r="F1941" s="13" t="str">
        <f t="shared" si="217"/>
        <v/>
      </c>
      <c r="G1941" s="13" t="str">
        <f t="shared" si="215"/>
        <v/>
      </c>
      <c r="H1941" s="13" t="str">
        <f t="shared" si="216"/>
        <v/>
      </c>
      <c r="I1941" s="14" t="str">
        <f t="array" ref="I1941">IF(getRGB1(Weekly!I215)="FFFF00","초방","재방")</f>
        <v>재방</v>
      </c>
    </row>
    <row r="1942" spans="1:9" ht="11.25" customHeight="1" x14ac:dyDescent="0.3">
      <c r="A1942" s="10" t="str">
        <f t="shared" si="213"/>
        <v/>
      </c>
      <c r="B1942" s="11">
        <f>Weekly!$I$3</f>
        <v>45921</v>
      </c>
      <c r="C1942" s="12">
        <v>0.73611111111111105</v>
      </c>
      <c r="D1942" s="13">
        <f>Weekly!I216</f>
        <v>0</v>
      </c>
      <c r="E1942" s="13" t="str">
        <f t="shared" si="214"/>
        <v/>
      </c>
      <c r="F1942" s="13" t="str">
        <f t="shared" si="217"/>
        <v/>
      </c>
      <c r="G1942" s="13" t="str">
        <f t="shared" si="215"/>
        <v/>
      </c>
      <c r="H1942" s="13" t="str">
        <f t="shared" si="216"/>
        <v/>
      </c>
      <c r="I1942" s="14" t="str">
        <f t="array" ref="I1942">IF(getRGB1(Weekly!I216)="FFFF00","초방","재방")</f>
        <v>재방</v>
      </c>
    </row>
    <row r="1943" spans="1:9" ht="11.25" customHeight="1" x14ac:dyDescent="0.3">
      <c r="A1943" s="10" t="str">
        <f t="shared" si="213"/>
        <v/>
      </c>
      <c r="B1943" s="11">
        <f>Weekly!$I$3</f>
        <v>45921</v>
      </c>
      <c r="C1943" s="12">
        <v>0.73958333333333304</v>
      </c>
      <c r="D1943" s="13">
        <f>Weekly!I217</f>
        <v>0</v>
      </c>
      <c r="E1943" s="13" t="str">
        <f t="shared" si="214"/>
        <v/>
      </c>
      <c r="F1943" s="13" t="str">
        <f t="shared" si="217"/>
        <v/>
      </c>
      <c r="G1943" s="13" t="str">
        <f t="shared" si="215"/>
        <v/>
      </c>
      <c r="H1943" s="13" t="str">
        <f t="shared" si="216"/>
        <v/>
      </c>
      <c r="I1943" s="14" t="str">
        <f t="array" ref="I1943">IF(getRGB1(Weekly!I217)="FFFF00","초방","재방")</f>
        <v>재방</v>
      </c>
    </row>
    <row r="1944" spans="1:9" ht="11.25" customHeight="1" x14ac:dyDescent="0.3">
      <c r="A1944" s="10" t="str">
        <f t="shared" si="213"/>
        <v/>
      </c>
      <c r="B1944" s="11">
        <f>Weekly!$I$3</f>
        <v>45921</v>
      </c>
      <c r="C1944" s="12">
        <v>0.74305555555555503</v>
      </c>
      <c r="D1944" s="13">
        <f>Weekly!I218</f>
        <v>0</v>
      </c>
      <c r="E1944" s="13" t="str">
        <f t="shared" si="214"/>
        <v/>
      </c>
      <c r="F1944" s="13" t="str">
        <f t="shared" si="217"/>
        <v/>
      </c>
      <c r="G1944" s="13" t="str">
        <f t="shared" si="215"/>
        <v/>
      </c>
      <c r="H1944" s="13" t="str">
        <f t="shared" si="216"/>
        <v/>
      </c>
      <c r="I1944" s="14" t="str">
        <f t="array" ref="I1944">IF(getRGB1(Weekly!I218)="FFFF00","초방","재방")</f>
        <v>재방</v>
      </c>
    </row>
    <row r="1945" spans="1:9" ht="11.25" customHeight="1" x14ac:dyDescent="0.3">
      <c r="A1945" s="10" t="str">
        <f t="shared" si="213"/>
        <v/>
      </c>
      <c r="B1945" s="11">
        <f>Weekly!$I$3</f>
        <v>45921</v>
      </c>
      <c r="C1945" s="12">
        <v>0.74652777777777801</v>
      </c>
      <c r="D1945" s="13">
        <f>Weekly!I219</f>
        <v>0</v>
      </c>
      <c r="E1945" s="13" t="str">
        <f t="shared" si="214"/>
        <v/>
      </c>
      <c r="F1945" s="13" t="str">
        <f t="shared" si="217"/>
        <v/>
      </c>
      <c r="G1945" s="13" t="str">
        <f t="shared" si="215"/>
        <v/>
      </c>
      <c r="H1945" s="13" t="str">
        <f t="shared" si="216"/>
        <v/>
      </c>
      <c r="I1945" s="14" t="str">
        <f t="array" ref="I1945">IF(getRGB1(Weekly!I219)="FFFF00","초방","재방")</f>
        <v>재방</v>
      </c>
    </row>
    <row r="1946" spans="1:9" ht="11.25" customHeight="1" x14ac:dyDescent="0.3">
      <c r="A1946" s="10">
        <f t="shared" si="213"/>
        <v>45921.75</v>
      </c>
      <c r="B1946" s="11">
        <f>Weekly!$I$3</f>
        <v>45921</v>
      </c>
      <c r="C1946" s="12">
        <v>0.75</v>
      </c>
      <c r="D1946" s="13" t="str">
        <f>Weekly!I220</f>
        <v>지방자치단체장 인터뷰
&lt;47</v>
      </c>
      <c r="E1946" s="13" t="str">
        <f t="shared" si="214"/>
        <v>지방자치단체장 인터뷰</v>
      </c>
      <c r="F1946" s="13">
        <f t="shared" si="217"/>
        <v>47</v>
      </c>
      <c r="G1946" s="13" t="str">
        <f t="shared" si="215"/>
        <v/>
      </c>
      <c r="H1946" s="13" t="str">
        <f t="shared" si="216"/>
        <v/>
      </c>
      <c r="I1946" s="14" t="str">
        <f t="array" ref="I1946">IF(getRGB1(Weekly!I220)="FFFF00","초방","재방")</f>
        <v>재방</v>
      </c>
    </row>
    <row r="1947" spans="1:9" ht="11.25" customHeight="1" x14ac:dyDescent="0.3">
      <c r="A1947" s="10" t="str">
        <f t="shared" si="213"/>
        <v/>
      </c>
      <c r="B1947" s="11">
        <f>Weekly!$I$3</f>
        <v>45921</v>
      </c>
      <c r="C1947" s="12">
        <v>0.75347222222222199</v>
      </c>
      <c r="D1947" s="13">
        <f>Weekly!I221</f>
        <v>0</v>
      </c>
      <c r="E1947" s="13" t="str">
        <f t="shared" si="214"/>
        <v/>
      </c>
      <c r="F1947" s="13" t="str">
        <f t="shared" si="217"/>
        <v/>
      </c>
      <c r="G1947" s="13" t="str">
        <f t="shared" si="215"/>
        <v/>
      </c>
      <c r="H1947" s="13" t="str">
        <f t="shared" si="216"/>
        <v/>
      </c>
      <c r="I1947" s="14" t="str">
        <f t="array" ref="I1947">IF(getRGB1(Weekly!I221)="FFFF00","초방","재방")</f>
        <v>재방</v>
      </c>
    </row>
    <row r="1948" spans="1:9" ht="11.25" customHeight="1" x14ac:dyDescent="0.3">
      <c r="A1948" s="10" t="str">
        <f t="shared" si="213"/>
        <v/>
      </c>
      <c r="B1948" s="11">
        <f>Weekly!$I$3</f>
        <v>45921</v>
      </c>
      <c r="C1948" s="12">
        <v>0.75694444444444398</v>
      </c>
      <c r="D1948" s="13">
        <f>Weekly!I222</f>
        <v>0</v>
      </c>
      <c r="E1948" s="13" t="str">
        <f t="shared" si="214"/>
        <v/>
      </c>
      <c r="F1948" s="13" t="str">
        <f t="shared" si="217"/>
        <v/>
      </c>
      <c r="G1948" s="13" t="str">
        <f t="shared" si="215"/>
        <v/>
      </c>
      <c r="H1948" s="13" t="str">
        <f t="shared" si="216"/>
        <v/>
      </c>
      <c r="I1948" s="14" t="str">
        <f t="array" ref="I1948">IF(getRGB1(Weekly!I222)="FFFF00","초방","재방")</f>
        <v>재방</v>
      </c>
    </row>
    <row r="1949" spans="1:9" ht="11.25" customHeight="1" x14ac:dyDescent="0.3">
      <c r="A1949" s="10" t="str">
        <f t="shared" si="213"/>
        <v/>
      </c>
      <c r="B1949" s="11">
        <f>Weekly!$I$3</f>
        <v>45921</v>
      </c>
      <c r="C1949" s="12">
        <v>0.76041666666666696</v>
      </c>
      <c r="D1949" s="13">
        <f>Weekly!I223</f>
        <v>0</v>
      </c>
      <c r="E1949" s="13" t="str">
        <f t="shared" si="214"/>
        <v/>
      </c>
      <c r="F1949" s="13" t="str">
        <f t="shared" si="217"/>
        <v/>
      </c>
      <c r="G1949" s="13" t="str">
        <f t="shared" si="215"/>
        <v/>
      </c>
      <c r="H1949" s="13" t="str">
        <f t="shared" si="216"/>
        <v/>
      </c>
      <c r="I1949" s="14" t="str">
        <f t="array" ref="I1949">IF(getRGB1(Weekly!I223)="FFFF00","초방","재방")</f>
        <v>재방</v>
      </c>
    </row>
    <row r="1950" spans="1:9" ht="11.25" customHeight="1" x14ac:dyDescent="0.3">
      <c r="A1950" s="10" t="str">
        <f t="shared" si="213"/>
        <v/>
      </c>
      <c r="B1950" s="11">
        <f>Weekly!$I$3</f>
        <v>45921</v>
      </c>
      <c r="C1950" s="12">
        <v>0.76388888888888895</v>
      </c>
      <c r="D1950" s="13">
        <f>Weekly!I224</f>
        <v>0</v>
      </c>
      <c r="E1950" s="13" t="str">
        <f t="shared" si="214"/>
        <v/>
      </c>
      <c r="F1950" s="13" t="str">
        <f t="shared" si="217"/>
        <v/>
      </c>
      <c r="G1950" s="13" t="str">
        <f t="shared" si="215"/>
        <v/>
      </c>
      <c r="H1950" s="13" t="str">
        <f t="shared" si="216"/>
        <v/>
      </c>
      <c r="I1950" s="14" t="str">
        <f t="array" ref="I1950">IF(getRGB1(Weekly!I224)="FFFF00","초방","재방")</f>
        <v>재방</v>
      </c>
    </row>
    <row r="1951" spans="1:9" ht="11.25" customHeight="1" x14ac:dyDescent="0.3">
      <c r="A1951" s="10" t="str">
        <f t="shared" si="213"/>
        <v/>
      </c>
      <c r="B1951" s="11">
        <f>Weekly!$I$3</f>
        <v>45921</v>
      </c>
      <c r="C1951" s="12">
        <v>0.76736111111111105</v>
      </c>
      <c r="D1951" s="13">
        <f>Weekly!I225</f>
        <v>0</v>
      </c>
      <c r="E1951" s="13" t="str">
        <f t="shared" si="214"/>
        <v/>
      </c>
      <c r="F1951" s="13" t="str">
        <f t="shared" si="217"/>
        <v/>
      </c>
      <c r="G1951" s="13" t="str">
        <f t="shared" si="215"/>
        <v/>
      </c>
      <c r="H1951" s="13" t="str">
        <f t="shared" si="216"/>
        <v/>
      </c>
      <c r="I1951" s="14" t="str">
        <f t="array" ref="I1951">IF(getRGB1(Weekly!I225)="FFFF00","초방","재방")</f>
        <v>재방</v>
      </c>
    </row>
    <row r="1952" spans="1:9" ht="11.25" customHeight="1" x14ac:dyDescent="0.3">
      <c r="A1952" s="10">
        <f t="shared" si="213"/>
        <v>45921.770833333336</v>
      </c>
      <c r="B1952" s="11">
        <f>Weekly!$I$3</f>
        <v>45921</v>
      </c>
      <c r="C1952" s="12">
        <v>0.77083333333333304</v>
      </c>
      <c r="D1952" s="13" t="str">
        <f>Weekly!I226</f>
        <v>더 人터뷰
&lt;54</v>
      </c>
      <c r="E1952" s="13" t="str">
        <f t="shared" si="214"/>
        <v>더 人터뷰</v>
      </c>
      <c r="F1952" s="13">
        <f t="shared" si="217"/>
        <v>54</v>
      </c>
      <c r="G1952" s="13" t="str">
        <f t="shared" si="215"/>
        <v/>
      </c>
      <c r="H1952" s="13" t="str">
        <f t="shared" si="216"/>
        <v/>
      </c>
      <c r="I1952" s="14" t="str">
        <f t="array" ref="I1952">IF(getRGB1(Weekly!I226)="FFFF00","초방","재방")</f>
        <v>재방</v>
      </c>
    </row>
    <row r="1953" spans="1:9" ht="11.25" customHeight="1" x14ac:dyDescent="0.3">
      <c r="A1953" s="10" t="str">
        <f t="shared" si="213"/>
        <v/>
      </c>
      <c r="B1953" s="11">
        <f>Weekly!$I$3</f>
        <v>45921</v>
      </c>
      <c r="C1953" s="12">
        <v>0.77430555555555503</v>
      </c>
      <c r="D1953" s="13">
        <f>Weekly!I227</f>
        <v>0</v>
      </c>
      <c r="E1953" s="13" t="str">
        <f t="shared" si="214"/>
        <v/>
      </c>
      <c r="F1953" s="13" t="str">
        <f t="shared" si="217"/>
        <v/>
      </c>
      <c r="G1953" s="13" t="str">
        <f t="shared" si="215"/>
        <v/>
      </c>
      <c r="H1953" s="13" t="str">
        <f t="shared" si="216"/>
        <v/>
      </c>
      <c r="I1953" s="14" t="str">
        <f t="array" ref="I1953">IF(getRGB1(Weekly!I227)="FFFF00","초방","재방")</f>
        <v>재방</v>
      </c>
    </row>
    <row r="1954" spans="1:9" ht="11.25" customHeight="1" x14ac:dyDescent="0.3">
      <c r="A1954" s="10" t="str">
        <f t="shared" si="213"/>
        <v/>
      </c>
      <c r="B1954" s="11">
        <f>Weekly!$I$3</f>
        <v>45921</v>
      </c>
      <c r="C1954" s="12">
        <v>0.77777777777777801</v>
      </c>
      <c r="D1954" s="13">
        <f>Weekly!I228</f>
        <v>0</v>
      </c>
      <c r="E1954" s="13" t="str">
        <f t="shared" si="214"/>
        <v/>
      </c>
      <c r="F1954" s="13" t="str">
        <f t="shared" si="217"/>
        <v/>
      </c>
      <c r="G1954" s="13" t="str">
        <f t="shared" si="215"/>
        <v/>
      </c>
      <c r="H1954" s="13" t="str">
        <f t="shared" si="216"/>
        <v/>
      </c>
      <c r="I1954" s="14" t="str">
        <f t="array" ref="I1954">IF(getRGB1(Weekly!I228)="FFFF00","초방","재방")</f>
        <v>재방</v>
      </c>
    </row>
    <row r="1955" spans="1:9" ht="11.25" customHeight="1" x14ac:dyDescent="0.3">
      <c r="A1955" s="10" t="str">
        <f t="shared" si="213"/>
        <v/>
      </c>
      <c r="B1955" s="11">
        <f>Weekly!$I$3</f>
        <v>45921</v>
      </c>
      <c r="C1955" s="12">
        <v>0.78125</v>
      </c>
      <c r="D1955" s="13">
        <f>Weekly!I229</f>
        <v>0</v>
      </c>
      <c r="E1955" s="13" t="str">
        <f t="shared" si="214"/>
        <v/>
      </c>
      <c r="F1955" s="13" t="str">
        <f t="shared" si="217"/>
        <v/>
      </c>
      <c r="G1955" s="13" t="str">
        <f t="shared" si="215"/>
        <v/>
      </c>
      <c r="H1955" s="13" t="str">
        <f t="shared" si="216"/>
        <v/>
      </c>
      <c r="I1955" s="14" t="str">
        <f t="array" ref="I1955">IF(getRGB1(Weekly!I229)="FFFF00","초방","재방")</f>
        <v>재방</v>
      </c>
    </row>
    <row r="1956" spans="1:9" ht="11.25" customHeight="1" x14ac:dyDescent="0.3">
      <c r="A1956" s="10" t="str">
        <f t="shared" si="213"/>
        <v/>
      </c>
      <c r="B1956" s="11">
        <f>Weekly!$I$3</f>
        <v>45921</v>
      </c>
      <c r="C1956" s="12">
        <v>0.78472222222222199</v>
      </c>
      <c r="D1956" s="13">
        <f>Weekly!I230</f>
        <v>0</v>
      </c>
      <c r="E1956" s="13" t="str">
        <f t="shared" si="214"/>
        <v/>
      </c>
      <c r="F1956" s="13" t="str">
        <f t="shared" si="217"/>
        <v/>
      </c>
      <c r="G1956" s="13" t="str">
        <f t="shared" si="215"/>
        <v/>
      </c>
      <c r="H1956" s="13" t="str">
        <f t="shared" si="216"/>
        <v/>
      </c>
      <c r="I1956" s="14" t="str">
        <f t="array" ref="I1956">IF(getRGB1(Weekly!I230)="FFFF00","초방","재방")</f>
        <v>재방</v>
      </c>
    </row>
    <row r="1957" spans="1:9" ht="11.25" customHeight="1" x14ac:dyDescent="0.3">
      <c r="A1957" s="10" t="str">
        <f t="shared" si="213"/>
        <v/>
      </c>
      <c r="B1957" s="11">
        <f>Weekly!$I$3</f>
        <v>45921</v>
      </c>
      <c r="C1957" s="12">
        <v>0.78819444444444398</v>
      </c>
      <c r="D1957" s="13">
        <f>Weekly!I231</f>
        <v>0</v>
      </c>
      <c r="E1957" s="13" t="str">
        <f t="shared" si="214"/>
        <v/>
      </c>
      <c r="F1957" s="13" t="str">
        <f t="shared" si="217"/>
        <v/>
      </c>
      <c r="G1957" s="13" t="str">
        <f t="shared" si="215"/>
        <v/>
      </c>
      <c r="H1957" s="13" t="str">
        <f t="shared" si="216"/>
        <v/>
      </c>
      <c r="I1957" s="14" t="str">
        <f t="array" ref="I1957">IF(getRGB1(Weekly!I231)="FFFF00","초방","재방")</f>
        <v>재방</v>
      </c>
    </row>
    <row r="1958" spans="1:9" ht="11.25" customHeight="1" x14ac:dyDescent="0.3">
      <c r="A1958" s="10">
        <f t="shared" si="213"/>
        <v>45921.791666666664</v>
      </c>
      <c r="B1958" s="11">
        <f>Weekly!$I$3</f>
        <v>45921</v>
      </c>
      <c r="C1958" s="12">
        <v>0.79166666666666696</v>
      </c>
      <c r="D1958" s="13" t="str">
        <f>Weekly!I232</f>
        <v>더 人터뷰
&lt;04</v>
      </c>
      <c r="E1958" s="13" t="str">
        <f t="shared" si="214"/>
        <v>더 人터뷰</v>
      </c>
      <c r="F1958" s="13">
        <f t="shared" si="217"/>
        <v>4</v>
      </c>
      <c r="G1958" s="13" t="str">
        <f t="shared" si="215"/>
        <v/>
      </c>
      <c r="H1958" s="13" t="str">
        <f t="shared" si="216"/>
        <v/>
      </c>
      <c r="I1958" s="14" t="str">
        <f t="array" ref="I1958">IF(getRGB1(Weekly!I232)="FFFF00","초방","재방")</f>
        <v>재방</v>
      </c>
    </row>
    <row r="1959" spans="1:9" ht="11.25" customHeight="1" x14ac:dyDescent="0.3">
      <c r="A1959" s="10" t="str">
        <f t="shared" si="213"/>
        <v/>
      </c>
      <c r="B1959" s="11">
        <f>Weekly!$I$3</f>
        <v>45921</v>
      </c>
      <c r="C1959" s="12">
        <v>0.79513888888888895</v>
      </c>
      <c r="D1959" s="13">
        <f>Weekly!I233</f>
        <v>0</v>
      </c>
      <c r="E1959" s="13" t="str">
        <f t="shared" si="214"/>
        <v/>
      </c>
      <c r="F1959" s="13" t="str">
        <f t="shared" si="217"/>
        <v/>
      </c>
      <c r="G1959" s="13" t="str">
        <f t="shared" si="215"/>
        <v/>
      </c>
      <c r="H1959" s="13" t="str">
        <f t="shared" si="216"/>
        <v/>
      </c>
      <c r="I1959" s="14" t="str">
        <f t="array" ref="I1959">IF(getRGB1(Weekly!I233)="FFFF00","초방","재방")</f>
        <v>재방</v>
      </c>
    </row>
    <row r="1960" spans="1:9" ht="11.25" customHeight="1" x14ac:dyDescent="0.3">
      <c r="A1960" s="10" t="str">
        <f t="shared" si="213"/>
        <v/>
      </c>
      <c r="B1960" s="11">
        <f>Weekly!$I$3</f>
        <v>45921</v>
      </c>
      <c r="C1960" s="12">
        <v>0.79861111111111105</v>
      </c>
      <c r="D1960" s="13">
        <f>Weekly!I234</f>
        <v>0</v>
      </c>
      <c r="E1960" s="13" t="str">
        <f t="shared" si="214"/>
        <v/>
      </c>
      <c r="F1960" s="13" t="str">
        <f t="shared" si="217"/>
        <v/>
      </c>
      <c r="G1960" s="13" t="str">
        <f t="shared" si="215"/>
        <v/>
      </c>
      <c r="H1960" s="13" t="str">
        <f t="shared" si="216"/>
        <v/>
      </c>
      <c r="I1960" s="14" t="str">
        <f t="array" ref="I1960">IF(getRGB1(Weekly!I234)="FFFF00","초방","재방")</f>
        <v>재방</v>
      </c>
    </row>
    <row r="1961" spans="1:9" ht="11.25" customHeight="1" x14ac:dyDescent="0.3">
      <c r="A1961" s="10" t="str">
        <f t="shared" si="213"/>
        <v/>
      </c>
      <c r="B1961" s="11">
        <f>Weekly!$I$3</f>
        <v>45921</v>
      </c>
      <c r="C1961" s="12">
        <v>0.80208333333333304</v>
      </c>
      <c r="D1961" s="13">
        <f>Weekly!I235</f>
        <v>0</v>
      </c>
      <c r="E1961" s="13" t="str">
        <f t="shared" si="214"/>
        <v/>
      </c>
      <c r="F1961" s="13" t="str">
        <f t="shared" si="217"/>
        <v/>
      </c>
      <c r="G1961" s="13" t="str">
        <f t="shared" si="215"/>
        <v/>
      </c>
      <c r="H1961" s="13" t="str">
        <f t="shared" si="216"/>
        <v/>
      </c>
      <c r="I1961" s="14" t="str">
        <f t="array" ref="I1961">IF(getRGB1(Weekly!I235)="FFFF00","초방","재방")</f>
        <v>재방</v>
      </c>
    </row>
    <row r="1962" spans="1:9" ht="11.25" customHeight="1" x14ac:dyDescent="0.3">
      <c r="A1962" s="10" t="str">
        <f t="shared" si="213"/>
        <v/>
      </c>
      <c r="B1962" s="11">
        <f>Weekly!$I$3</f>
        <v>45921</v>
      </c>
      <c r="C1962" s="12">
        <v>0.80555555555555503</v>
      </c>
      <c r="D1962" s="13">
        <f>Weekly!I236</f>
        <v>0</v>
      </c>
      <c r="E1962" s="13" t="str">
        <f t="shared" si="214"/>
        <v/>
      </c>
      <c r="F1962" s="13" t="str">
        <f t="shared" si="217"/>
        <v/>
      </c>
      <c r="G1962" s="13" t="str">
        <f t="shared" si="215"/>
        <v/>
      </c>
      <c r="H1962" s="13" t="str">
        <f t="shared" si="216"/>
        <v/>
      </c>
      <c r="I1962" s="14" t="str">
        <f t="array" ref="I1962">IF(getRGB1(Weekly!I236)="FFFF00","초방","재방")</f>
        <v>재방</v>
      </c>
    </row>
    <row r="1963" spans="1:9" ht="11.25" customHeight="1" x14ac:dyDescent="0.3">
      <c r="A1963" s="10" t="str">
        <f t="shared" si="213"/>
        <v/>
      </c>
      <c r="B1963" s="11">
        <f>Weekly!$I$3</f>
        <v>45921</v>
      </c>
      <c r="C1963" s="12">
        <v>0.80902777777777801</v>
      </c>
      <c r="D1963" s="13">
        <f>Weekly!I237</f>
        <v>0</v>
      </c>
      <c r="E1963" s="13" t="str">
        <f t="shared" si="214"/>
        <v/>
      </c>
      <c r="F1963" s="13" t="str">
        <f t="shared" si="217"/>
        <v/>
      </c>
      <c r="G1963" s="13" t="str">
        <f t="shared" si="215"/>
        <v/>
      </c>
      <c r="H1963" s="13" t="str">
        <f t="shared" si="216"/>
        <v/>
      </c>
      <c r="I1963" s="14" t="str">
        <f t="array" ref="I1963">IF(getRGB1(Weekly!I237)="FFFF00","초방","재방")</f>
        <v>재방</v>
      </c>
    </row>
    <row r="1964" spans="1:9" ht="11.25" customHeight="1" x14ac:dyDescent="0.3">
      <c r="A1964" s="10" t="str">
        <f t="shared" si="213"/>
        <v/>
      </c>
      <c r="B1964" s="11">
        <f>Weekly!$I$3</f>
        <v>45921</v>
      </c>
      <c r="C1964" s="12">
        <v>0.8125</v>
      </c>
      <c r="D1964" s="13">
        <f>Weekly!I238</f>
        <v>0</v>
      </c>
      <c r="E1964" s="13" t="str">
        <f t="shared" si="214"/>
        <v/>
      </c>
      <c r="F1964" s="13" t="str">
        <f t="shared" si="217"/>
        <v/>
      </c>
      <c r="G1964" s="13" t="str">
        <f t="shared" si="215"/>
        <v/>
      </c>
      <c r="H1964" s="13" t="str">
        <f t="shared" si="216"/>
        <v/>
      </c>
      <c r="I1964" s="14" t="str">
        <f t="array" ref="I1964">IF(getRGB1(Weekly!I238)="FFFF00","초방","재방")</f>
        <v>재방</v>
      </c>
    </row>
    <row r="1965" spans="1:9" ht="11.25" customHeight="1" x14ac:dyDescent="0.3">
      <c r="A1965" s="10" t="str">
        <f t="shared" si="213"/>
        <v/>
      </c>
      <c r="B1965" s="11">
        <f>Weekly!$I$3</f>
        <v>45921</v>
      </c>
      <c r="C1965" s="12">
        <v>0.81597222222222199</v>
      </c>
      <c r="D1965" s="13">
        <f>Weekly!I239</f>
        <v>0</v>
      </c>
      <c r="E1965" s="13" t="str">
        <f t="shared" si="214"/>
        <v/>
      </c>
      <c r="F1965" s="13" t="str">
        <f t="shared" si="217"/>
        <v/>
      </c>
      <c r="G1965" s="13" t="str">
        <f t="shared" si="215"/>
        <v/>
      </c>
      <c r="H1965" s="13" t="str">
        <f t="shared" si="216"/>
        <v/>
      </c>
      <c r="I1965" s="14" t="str">
        <f t="array" ref="I1965">IF(getRGB1(Weekly!I239)="FFFF00","초방","재방")</f>
        <v>재방</v>
      </c>
    </row>
    <row r="1966" spans="1:9" ht="11.25" customHeight="1" x14ac:dyDescent="0.3">
      <c r="A1966" s="10" t="str">
        <f t="shared" si="213"/>
        <v/>
      </c>
      <c r="B1966" s="11">
        <f>Weekly!$I$3</f>
        <v>45921</v>
      </c>
      <c r="C1966" s="12">
        <v>0.81944444444444398</v>
      </c>
      <c r="D1966" s="13">
        <f>Weekly!I240</f>
        <v>0</v>
      </c>
      <c r="E1966" s="13" t="str">
        <f t="shared" si="214"/>
        <v/>
      </c>
      <c r="F1966" s="13" t="str">
        <f t="shared" si="217"/>
        <v/>
      </c>
      <c r="G1966" s="13" t="str">
        <f t="shared" si="215"/>
        <v/>
      </c>
      <c r="H1966" s="13" t="str">
        <f t="shared" si="216"/>
        <v/>
      </c>
      <c r="I1966" s="14" t="str">
        <f t="array" ref="I1966">IF(getRGB1(Weekly!I240)="FFFF00","초방","재방")</f>
        <v>재방</v>
      </c>
    </row>
    <row r="1967" spans="1:9" ht="11.25" customHeight="1" x14ac:dyDescent="0.3">
      <c r="A1967" s="10" t="str">
        <f t="shared" si="213"/>
        <v/>
      </c>
      <c r="B1967" s="11">
        <f>Weekly!$I$3</f>
        <v>45921</v>
      </c>
      <c r="C1967" s="12">
        <v>0.82291666666666696</v>
      </c>
      <c r="D1967" s="13">
        <f>Weekly!I241</f>
        <v>0</v>
      </c>
      <c r="E1967" s="13" t="str">
        <f t="shared" si="214"/>
        <v/>
      </c>
      <c r="F1967" s="13" t="str">
        <f t="shared" si="217"/>
        <v/>
      </c>
      <c r="G1967" s="13" t="str">
        <f t="shared" si="215"/>
        <v/>
      </c>
      <c r="H1967" s="13" t="str">
        <f t="shared" si="216"/>
        <v/>
      </c>
      <c r="I1967" s="14" t="str">
        <f t="array" ref="I1967">IF(getRGB1(Weekly!I241)="FFFF00","초방","재방")</f>
        <v>재방</v>
      </c>
    </row>
    <row r="1968" spans="1:9" ht="11.25" customHeight="1" x14ac:dyDescent="0.3">
      <c r="A1968" s="10" t="str">
        <f t="shared" si="213"/>
        <v/>
      </c>
      <c r="B1968" s="11">
        <f>Weekly!$I$3</f>
        <v>45921</v>
      </c>
      <c r="C1968" s="12">
        <v>0.82638888888888895</v>
      </c>
      <c r="D1968" s="13">
        <f>Weekly!I242</f>
        <v>0</v>
      </c>
      <c r="E1968" s="13" t="str">
        <f t="shared" si="214"/>
        <v/>
      </c>
      <c r="F1968" s="13" t="str">
        <f t="shared" si="217"/>
        <v/>
      </c>
      <c r="G1968" s="13" t="str">
        <f t="shared" si="215"/>
        <v/>
      </c>
      <c r="H1968" s="13" t="str">
        <f t="shared" si="216"/>
        <v/>
      </c>
      <c r="I1968" s="14" t="str">
        <f t="array" ref="I1968">IF(getRGB1(Weekly!I242)="FFFF00","초방","재방")</f>
        <v>재방</v>
      </c>
    </row>
    <row r="1969" spans="1:9" ht="11.25" customHeight="1" x14ac:dyDescent="0.3">
      <c r="A1969" s="10" t="str">
        <f t="shared" si="213"/>
        <v/>
      </c>
      <c r="B1969" s="11">
        <f>Weekly!$I$3</f>
        <v>45921</v>
      </c>
      <c r="C1969" s="12">
        <v>0.82986111111111105</v>
      </c>
      <c r="D1969" s="13">
        <f>Weekly!I243</f>
        <v>0</v>
      </c>
      <c r="E1969" s="13" t="str">
        <f t="shared" si="214"/>
        <v/>
      </c>
      <c r="F1969" s="13" t="str">
        <f t="shared" si="217"/>
        <v/>
      </c>
      <c r="G1969" s="13" t="str">
        <f t="shared" si="215"/>
        <v/>
      </c>
      <c r="H1969" s="13" t="str">
        <f t="shared" si="216"/>
        <v/>
      </c>
      <c r="I1969" s="14" t="str">
        <f t="array" ref="I1969">IF(getRGB1(Weekly!I243)="FFFF00","초방","재방")</f>
        <v>재방</v>
      </c>
    </row>
    <row r="1970" spans="1:9" ht="11.25" customHeight="1" x14ac:dyDescent="0.3">
      <c r="A1970" s="10">
        <f t="shared" si="213"/>
        <v>45921.833333333336</v>
      </c>
      <c r="B1970" s="11">
        <f>Weekly!$I$3</f>
        <v>45921</v>
      </c>
      <c r="C1970" s="12">
        <v>0.83333333333333304</v>
      </c>
      <c r="D1970" s="13" t="str">
        <f>Weekly!I244</f>
        <v xml:space="preserve"> NEWSON
&lt;67</v>
      </c>
      <c r="E1970" s="13" t="str">
        <f t="shared" si="214"/>
        <v>NEWSON</v>
      </c>
      <c r="F1970" s="13">
        <f t="shared" si="217"/>
        <v>67</v>
      </c>
      <c r="G1970" s="13" t="str">
        <f t="shared" si="215"/>
        <v/>
      </c>
      <c r="H1970" s="13" t="str">
        <f t="shared" si="216"/>
        <v/>
      </c>
      <c r="I1970" s="14" t="str">
        <f t="array" ref="I1970">IF(getRGB1(Weekly!I244)="FFFF00","초방","재방")</f>
        <v>재방</v>
      </c>
    </row>
    <row r="1971" spans="1:9" ht="11.25" customHeight="1" x14ac:dyDescent="0.3">
      <c r="A1971" s="10" t="str">
        <f t="shared" si="213"/>
        <v/>
      </c>
      <c r="B1971" s="11">
        <f>Weekly!$I$3</f>
        <v>45921</v>
      </c>
      <c r="C1971" s="12">
        <v>0.83680555555555503</v>
      </c>
      <c r="D1971" s="13">
        <f>Weekly!I245</f>
        <v>0</v>
      </c>
      <c r="E1971" s="13" t="str">
        <f t="shared" si="214"/>
        <v/>
      </c>
      <c r="F1971" s="13" t="str">
        <f t="shared" si="217"/>
        <v/>
      </c>
      <c r="G1971" s="13" t="str">
        <f t="shared" si="215"/>
        <v/>
      </c>
      <c r="H1971" s="13" t="str">
        <f t="shared" si="216"/>
        <v/>
      </c>
      <c r="I1971" s="14" t="str">
        <f t="array" ref="I1971">IF(getRGB1(Weekly!I245)="FFFF00","초방","재방")</f>
        <v>재방</v>
      </c>
    </row>
    <row r="1972" spans="1:9" ht="11.25" customHeight="1" x14ac:dyDescent="0.3">
      <c r="A1972" s="10" t="str">
        <f t="shared" si="213"/>
        <v/>
      </c>
      <c r="B1972" s="11">
        <f>Weekly!$I$3</f>
        <v>45921</v>
      </c>
      <c r="C1972" s="12">
        <v>0.84027777777777801</v>
      </c>
      <c r="D1972" s="13">
        <f>Weekly!I246</f>
        <v>0</v>
      </c>
      <c r="E1972" s="13" t="str">
        <f t="shared" si="214"/>
        <v/>
      </c>
      <c r="F1972" s="13" t="str">
        <f t="shared" si="217"/>
        <v/>
      </c>
      <c r="G1972" s="13" t="str">
        <f t="shared" si="215"/>
        <v/>
      </c>
      <c r="H1972" s="13" t="str">
        <f t="shared" si="216"/>
        <v/>
      </c>
      <c r="I1972" s="14" t="str">
        <f t="array" ref="I1972">IF(getRGB1(Weekly!I246)="FFFF00","초방","재방")</f>
        <v>재방</v>
      </c>
    </row>
    <row r="1973" spans="1:9" ht="11.25" customHeight="1" x14ac:dyDescent="0.3">
      <c r="A1973" s="10" t="str">
        <f t="shared" si="213"/>
        <v/>
      </c>
      <c r="B1973" s="11">
        <f>Weekly!$I$3</f>
        <v>45921</v>
      </c>
      <c r="C1973" s="12">
        <v>0.84375</v>
      </c>
      <c r="D1973" s="13">
        <f>Weekly!I247</f>
        <v>0</v>
      </c>
      <c r="E1973" s="13" t="str">
        <f t="shared" si="214"/>
        <v/>
      </c>
      <c r="F1973" s="13" t="str">
        <f t="shared" si="217"/>
        <v/>
      </c>
      <c r="G1973" s="13" t="str">
        <f t="shared" si="215"/>
        <v/>
      </c>
      <c r="H1973" s="13" t="str">
        <f t="shared" si="216"/>
        <v/>
      </c>
      <c r="I1973" s="14" t="str">
        <f t="array" ref="I1973">IF(getRGB1(Weekly!I247)="FFFF00","초방","재방")</f>
        <v>재방</v>
      </c>
    </row>
    <row r="1974" spans="1:9" ht="11.25" customHeight="1" x14ac:dyDescent="0.3">
      <c r="A1974" s="10" t="str">
        <f t="shared" si="213"/>
        <v/>
      </c>
      <c r="B1974" s="11">
        <f>Weekly!$I$3</f>
        <v>45921</v>
      </c>
      <c r="C1974" s="12">
        <v>0.84722222222222199</v>
      </c>
      <c r="D1974" s="13">
        <f>Weekly!I248</f>
        <v>0</v>
      </c>
      <c r="E1974" s="13" t="str">
        <f t="shared" si="214"/>
        <v/>
      </c>
      <c r="F1974" s="13" t="str">
        <f t="shared" si="217"/>
        <v/>
      </c>
      <c r="G1974" s="13" t="str">
        <f t="shared" si="215"/>
        <v/>
      </c>
      <c r="H1974" s="13" t="str">
        <f t="shared" si="216"/>
        <v/>
      </c>
      <c r="I1974" s="14" t="str">
        <f t="array" ref="I1974">IF(getRGB1(Weekly!I248)="FFFF00","초방","재방")</f>
        <v>재방</v>
      </c>
    </row>
    <row r="1975" spans="1:9" ht="11.25" customHeight="1" x14ac:dyDescent="0.3">
      <c r="A1975" s="10" t="str">
        <f t="shared" si="213"/>
        <v/>
      </c>
      <c r="B1975" s="11">
        <f>Weekly!$I$3</f>
        <v>45921</v>
      </c>
      <c r="C1975" s="12">
        <v>0.85069444444444398</v>
      </c>
      <c r="D1975" s="13">
        <f>Weekly!I249</f>
        <v>0</v>
      </c>
      <c r="E1975" s="13" t="str">
        <f t="shared" si="214"/>
        <v/>
      </c>
      <c r="F1975" s="13" t="str">
        <f t="shared" si="217"/>
        <v/>
      </c>
      <c r="G1975" s="13" t="str">
        <f t="shared" si="215"/>
        <v/>
      </c>
      <c r="H1975" s="13" t="str">
        <f t="shared" si="216"/>
        <v/>
      </c>
      <c r="I1975" s="14" t="str">
        <f t="array" ref="I1975">IF(getRGB1(Weekly!I249)="FFFF00","초방","재방")</f>
        <v>재방</v>
      </c>
    </row>
    <row r="1976" spans="1:9" ht="11.25" customHeight="1" x14ac:dyDescent="0.3">
      <c r="A1976" s="10">
        <f t="shared" si="213"/>
        <v>45921.854166666664</v>
      </c>
      <c r="B1976" s="11">
        <f>Weekly!$I$3</f>
        <v>45921</v>
      </c>
      <c r="C1976" s="12">
        <v>0.85416666666666696</v>
      </c>
      <c r="D1976" s="13" t="str">
        <f>Weekly!I250</f>
        <v>우리동네 너튜브
&lt;10</v>
      </c>
      <c r="E1976" s="13" t="str">
        <f t="shared" si="214"/>
        <v>우리동네 너튜브</v>
      </c>
      <c r="F1976" s="13">
        <f t="shared" si="217"/>
        <v>10</v>
      </c>
      <c r="G1976" s="13" t="str">
        <f t="shared" si="215"/>
        <v/>
      </c>
      <c r="H1976" s="13" t="str">
        <f t="shared" si="216"/>
        <v/>
      </c>
      <c r="I1976" s="14" t="str">
        <f t="array" ref="I1976">IF(getRGB1(Weekly!I250)="FFFF00","초방","재방")</f>
        <v>재방</v>
      </c>
    </row>
    <row r="1977" spans="1:9" ht="11.25" customHeight="1" x14ac:dyDescent="0.3">
      <c r="A1977" s="10" t="str">
        <f t="shared" si="213"/>
        <v/>
      </c>
      <c r="B1977" s="11">
        <f>Weekly!$I$3</f>
        <v>45921</v>
      </c>
      <c r="C1977" s="12">
        <v>0.85763888888888895</v>
      </c>
      <c r="D1977" s="13">
        <f>Weekly!I251</f>
        <v>0</v>
      </c>
      <c r="E1977" s="13" t="str">
        <f t="shared" si="214"/>
        <v/>
      </c>
      <c r="F1977" s="13" t="str">
        <f t="shared" si="217"/>
        <v/>
      </c>
      <c r="G1977" s="13" t="str">
        <f t="shared" si="215"/>
        <v/>
      </c>
      <c r="H1977" s="13" t="str">
        <f t="shared" si="216"/>
        <v/>
      </c>
      <c r="I1977" s="14" t="str">
        <f t="array" ref="I1977">IF(getRGB1(Weekly!I251)="FFFF00","초방","재방")</f>
        <v>재방</v>
      </c>
    </row>
    <row r="1978" spans="1:9" ht="11.25" customHeight="1" x14ac:dyDescent="0.3">
      <c r="A1978" s="10" t="str">
        <f t="shared" si="213"/>
        <v/>
      </c>
      <c r="B1978" s="11">
        <f>Weekly!$I$3</f>
        <v>45921</v>
      </c>
      <c r="C1978" s="12">
        <v>0.86111111111111105</v>
      </c>
      <c r="D1978" s="13">
        <f>Weekly!I252</f>
        <v>0</v>
      </c>
      <c r="E1978" s="13" t="str">
        <f t="shared" si="214"/>
        <v/>
      </c>
      <c r="F1978" s="13" t="str">
        <f t="shared" si="217"/>
        <v/>
      </c>
      <c r="G1978" s="13" t="str">
        <f t="shared" si="215"/>
        <v/>
      </c>
      <c r="H1978" s="13" t="str">
        <f t="shared" si="216"/>
        <v/>
      </c>
      <c r="I1978" s="14" t="str">
        <f t="array" ref="I1978">IF(getRGB1(Weekly!I252)="FFFF00","초방","재방")</f>
        <v>재방</v>
      </c>
    </row>
    <row r="1979" spans="1:9" ht="11.25" customHeight="1" x14ac:dyDescent="0.3">
      <c r="A1979" s="10" t="str">
        <f t="shared" si="213"/>
        <v/>
      </c>
      <c r="B1979" s="11">
        <f>Weekly!$I$3</f>
        <v>45921</v>
      </c>
      <c r="C1979" s="12">
        <v>0.86458333333333304</v>
      </c>
      <c r="D1979" s="13">
        <f>Weekly!I253</f>
        <v>0</v>
      </c>
      <c r="E1979" s="13" t="str">
        <f t="shared" si="214"/>
        <v/>
      </c>
      <c r="F1979" s="13" t="str">
        <f t="shared" si="217"/>
        <v/>
      </c>
      <c r="G1979" s="13" t="str">
        <f t="shared" si="215"/>
        <v/>
      </c>
      <c r="H1979" s="13" t="str">
        <f t="shared" si="216"/>
        <v/>
      </c>
      <c r="I1979" s="14" t="str">
        <f t="array" ref="I1979">IF(getRGB1(Weekly!I253)="FFFF00","초방","재방")</f>
        <v>재방</v>
      </c>
    </row>
    <row r="1980" spans="1:9" ht="11.25" customHeight="1" x14ac:dyDescent="0.3">
      <c r="A1980" s="10" t="str">
        <f t="shared" si="213"/>
        <v/>
      </c>
      <c r="B1980" s="11">
        <f>Weekly!$I$3</f>
        <v>45921</v>
      </c>
      <c r="C1980" s="12">
        <v>0.86805555555555503</v>
      </c>
      <c r="D1980" s="13">
        <f>Weekly!I254</f>
        <v>0</v>
      </c>
      <c r="E1980" s="13" t="str">
        <f t="shared" si="214"/>
        <v/>
      </c>
      <c r="F1980" s="13" t="str">
        <f t="shared" si="217"/>
        <v/>
      </c>
      <c r="G1980" s="13" t="str">
        <f t="shared" si="215"/>
        <v/>
      </c>
      <c r="H1980" s="13" t="str">
        <f t="shared" si="216"/>
        <v/>
      </c>
      <c r="I1980" s="14" t="str">
        <f t="array" ref="I1980">IF(getRGB1(Weekly!I254)="FFFF00","초방","재방")</f>
        <v>재방</v>
      </c>
    </row>
    <row r="1981" spans="1:9" ht="11.25" customHeight="1" x14ac:dyDescent="0.3">
      <c r="A1981" s="10" t="str">
        <f t="shared" si="213"/>
        <v/>
      </c>
      <c r="B1981" s="11">
        <f>Weekly!$I$3</f>
        <v>45921</v>
      </c>
      <c r="C1981" s="12">
        <v>0.87152777777777801</v>
      </c>
      <c r="D1981" s="13">
        <f>Weekly!I255</f>
        <v>0</v>
      </c>
      <c r="E1981" s="13" t="str">
        <f t="shared" si="214"/>
        <v/>
      </c>
      <c r="F1981" s="13" t="str">
        <f t="shared" si="217"/>
        <v/>
      </c>
      <c r="G1981" s="13" t="str">
        <f t="shared" si="215"/>
        <v/>
      </c>
      <c r="H1981" s="13" t="str">
        <f t="shared" si="216"/>
        <v/>
      </c>
      <c r="I1981" s="14" t="str">
        <f t="array" ref="I1981">IF(getRGB1(Weekly!I255)="FFFF00","초방","재방")</f>
        <v>재방</v>
      </c>
    </row>
    <row r="1982" spans="1:9" ht="11.25" customHeight="1" x14ac:dyDescent="0.3">
      <c r="A1982" s="10" t="str">
        <f t="shared" si="213"/>
        <v/>
      </c>
      <c r="B1982" s="11">
        <f>Weekly!$I$3</f>
        <v>45921</v>
      </c>
      <c r="C1982" s="12">
        <v>0.875</v>
      </c>
      <c r="D1982" s="13">
        <f>Weekly!I256</f>
        <v>0</v>
      </c>
      <c r="E1982" s="13" t="str">
        <f t="shared" si="214"/>
        <v/>
      </c>
      <c r="F1982" s="13" t="str">
        <f t="shared" si="217"/>
        <v/>
      </c>
      <c r="G1982" s="13" t="str">
        <f t="shared" si="215"/>
        <v/>
      </c>
      <c r="H1982" s="13" t="str">
        <f t="shared" si="216"/>
        <v/>
      </c>
      <c r="I1982" s="14" t="str">
        <f t="array" ref="I1982">IF(getRGB1(Weekly!I256)="FFFF00","초방","재방")</f>
        <v>재방</v>
      </c>
    </row>
    <row r="1983" spans="1:9" ht="11.25" customHeight="1" x14ac:dyDescent="0.3">
      <c r="A1983" s="10" t="str">
        <f t="shared" si="213"/>
        <v/>
      </c>
      <c r="B1983" s="11">
        <f>Weekly!$I$3</f>
        <v>45921</v>
      </c>
      <c r="C1983" s="12">
        <v>0.87847222222222199</v>
      </c>
      <c r="D1983" s="13">
        <f>Weekly!I257</f>
        <v>0</v>
      </c>
      <c r="E1983" s="13" t="str">
        <f t="shared" si="214"/>
        <v/>
      </c>
      <c r="F1983" s="13" t="str">
        <f t="shared" si="217"/>
        <v/>
      </c>
      <c r="G1983" s="13" t="str">
        <f t="shared" si="215"/>
        <v/>
      </c>
      <c r="H1983" s="13" t="str">
        <f t="shared" si="216"/>
        <v/>
      </c>
      <c r="I1983" s="14" t="str">
        <f t="array" ref="I1983">IF(getRGB1(Weekly!I257)="FFFF00","초방","재방")</f>
        <v>재방</v>
      </c>
    </row>
    <row r="1984" spans="1:9" ht="11.25" customHeight="1" x14ac:dyDescent="0.3">
      <c r="A1984" s="10" t="str">
        <f t="shared" si="213"/>
        <v/>
      </c>
      <c r="B1984" s="11">
        <f>Weekly!$I$3</f>
        <v>45921</v>
      </c>
      <c r="C1984" s="12">
        <v>0.88194444444444398</v>
      </c>
      <c r="D1984" s="13">
        <f>Weekly!I258</f>
        <v>0</v>
      </c>
      <c r="E1984" s="13" t="str">
        <f t="shared" si="214"/>
        <v/>
      </c>
      <c r="F1984" s="13" t="str">
        <f t="shared" si="217"/>
        <v/>
      </c>
      <c r="G1984" s="13" t="str">
        <f t="shared" si="215"/>
        <v/>
      </c>
      <c r="H1984" s="13" t="str">
        <f t="shared" si="216"/>
        <v/>
      </c>
      <c r="I1984" s="14" t="str">
        <f t="array" ref="I1984">IF(getRGB1(Weekly!I258)="FFFF00","초방","재방")</f>
        <v>재방</v>
      </c>
    </row>
    <row r="1985" spans="1:9" ht="11.25" customHeight="1" x14ac:dyDescent="0.3">
      <c r="A1985" s="10" t="str">
        <f t="shared" si="213"/>
        <v/>
      </c>
      <c r="B1985" s="11">
        <f>Weekly!$I$3</f>
        <v>45921</v>
      </c>
      <c r="C1985" s="12">
        <v>0.88541666666666696</v>
      </c>
      <c r="D1985" s="13">
        <f>Weekly!I259</f>
        <v>0</v>
      </c>
      <c r="E1985" s="13" t="str">
        <f t="shared" si="214"/>
        <v/>
      </c>
      <c r="F1985" s="13" t="str">
        <f t="shared" si="217"/>
        <v/>
      </c>
      <c r="G1985" s="13" t="str">
        <f t="shared" si="215"/>
        <v/>
      </c>
      <c r="H1985" s="13" t="str">
        <f t="shared" si="216"/>
        <v/>
      </c>
      <c r="I1985" s="14" t="str">
        <f t="array" ref="I1985">IF(getRGB1(Weekly!I259)="FFFF00","초방","재방")</f>
        <v>재방</v>
      </c>
    </row>
    <row r="1986" spans="1:9" ht="11.25" customHeight="1" x14ac:dyDescent="0.3">
      <c r="A1986" s="10">
        <f t="shared" ref="A1986:A2017" si="218">IF(D1986&lt;&gt;0,B1986+C1986,"")</f>
        <v>45921.888888888891</v>
      </c>
      <c r="B1986" s="11">
        <f>Weekly!$I$3</f>
        <v>45921</v>
      </c>
      <c r="C1986" s="12">
        <v>0.88888888888888895</v>
      </c>
      <c r="D1986" s="13" t="str">
        <f>Weekly!I260</f>
        <v>낭만살롱
&lt;07</v>
      </c>
      <c r="E1986" s="13" t="str">
        <f t="shared" ref="E1986:E2017" si="219">IFERROR(SUBSTITUTE(SUBSTITUTE(TRIM(LEFT(D1986,FIND("&lt;",D1986)-1)),CHAR(10),""),"⑮ ",""),"")</f>
        <v>낭만살롱</v>
      </c>
      <c r="F1986" s="13">
        <f t="shared" si="217"/>
        <v>7</v>
      </c>
      <c r="G1986" s="13" t="str">
        <f t="shared" ref="G1986:G2017" si="220">IFERROR(MID(D1986,FIND("&gt;",D1986)+1,10),"")</f>
        <v/>
      </c>
      <c r="H1986" s="13" t="str">
        <f t="shared" ref="H1986:H2017" si="221">IFERROR(VLOOKUP(LEFT(D1986,2),$W$1:$X$6,2,0),"")</f>
        <v/>
      </c>
      <c r="I1986" s="14" t="str">
        <f t="array" ref="I1986">IF(getRGB1(Weekly!I260)="FFFF00","초방","재방")</f>
        <v>재방</v>
      </c>
    </row>
    <row r="1987" spans="1:9" ht="11.25" customHeight="1" x14ac:dyDescent="0.3">
      <c r="A1987" s="10" t="str">
        <f t="shared" si="218"/>
        <v/>
      </c>
      <c r="B1987" s="11">
        <f>Weekly!$I$3</f>
        <v>45921</v>
      </c>
      <c r="C1987" s="12">
        <v>0.89236111111111105</v>
      </c>
      <c r="D1987" s="13">
        <f>Weekly!I261</f>
        <v>0</v>
      </c>
      <c r="E1987" s="13" t="str">
        <f t="shared" si="219"/>
        <v/>
      </c>
      <c r="F1987" s="13" t="str">
        <f t="shared" ref="F1987:F2017" si="222">IFERROR((MID(D1987,FIND("&lt;",D1987)+1,4))*1,"")</f>
        <v/>
      </c>
      <c r="G1987" s="13" t="str">
        <f t="shared" si="220"/>
        <v/>
      </c>
      <c r="H1987" s="13" t="str">
        <f t="shared" si="221"/>
        <v/>
      </c>
      <c r="I1987" s="14" t="str">
        <f t="array" ref="I1987">IF(getRGB1(Weekly!I261)="FFFF00","초방","재방")</f>
        <v>재방</v>
      </c>
    </row>
    <row r="1988" spans="1:9" ht="11.25" customHeight="1" x14ac:dyDescent="0.3">
      <c r="A1988" s="10" t="str">
        <f t="shared" si="218"/>
        <v/>
      </c>
      <c r="B1988" s="11">
        <f>Weekly!$I$3</f>
        <v>45921</v>
      </c>
      <c r="C1988" s="12">
        <v>0.89583333333333304</v>
      </c>
      <c r="D1988" s="13">
        <f>Weekly!I262</f>
        <v>0</v>
      </c>
      <c r="E1988" s="13" t="str">
        <f t="shared" si="219"/>
        <v/>
      </c>
      <c r="F1988" s="13" t="str">
        <f t="shared" si="222"/>
        <v/>
      </c>
      <c r="G1988" s="13" t="str">
        <f t="shared" si="220"/>
        <v/>
      </c>
      <c r="H1988" s="13" t="str">
        <f t="shared" si="221"/>
        <v/>
      </c>
      <c r="I1988" s="14" t="str">
        <f t="array" ref="I1988">IF(getRGB1(Weekly!I262)="FFFF00","초방","재방")</f>
        <v>재방</v>
      </c>
    </row>
    <row r="1989" spans="1:9" ht="11.25" customHeight="1" x14ac:dyDescent="0.3">
      <c r="A1989" s="10" t="str">
        <f t="shared" si="218"/>
        <v/>
      </c>
      <c r="B1989" s="11">
        <f>Weekly!$I$3</f>
        <v>45921</v>
      </c>
      <c r="C1989" s="12">
        <v>0.89930555555555503</v>
      </c>
      <c r="D1989" s="13">
        <f>Weekly!I263</f>
        <v>0</v>
      </c>
      <c r="E1989" s="13" t="str">
        <f t="shared" si="219"/>
        <v/>
      </c>
      <c r="F1989" s="13" t="str">
        <f t="shared" si="222"/>
        <v/>
      </c>
      <c r="G1989" s="13" t="str">
        <f t="shared" si="220"/>
        <v/>
      </c>
      <c r="H1989" s="13" t="str">
        <f t="shared" si="221"/>
        <v/>
      </c>
      <c r="I1989" s="14" t="str">
        <f t="array" ref="I1989">IF(getRGB1(Weekly!I263)="FFFF00","초방","재방")</f>
        <v>재방</v>
      </c>
    </row>
    <row r="1990" spans="1:9" ht="11.25" customHeight="1" x14ac:dyDescent="0.3">
      <c r="A1990" s="10" t="str">
        <f t="shared" si="218"/>
        <v/>
      </c>
      <c r="B1990" s="11">
        <f>Weekly!$I$3</f>
        <v>45921</v>
      </c>
      <c r="C1990" s="12">
        <v>0.90277777777777801</v>
      </c>
      <c r="D1990" s="13">
        <f>Weekly!I264</f>
        <v>0</v>
      </c>
      <c r="E1990" s="13" t="str">
        <f t="shared" si="219"/>
        <v/>
      </c>
      <c r="F1990" s="13" t="str">
        <f t="shared" si="222"/>
        <v/>
      </c>
      <c r="G1990" s="13" t="str">
        <f t="shared" si="220"/>
        <v/>
      </c>
      <c r="H1990" s="13" t="str">
        <f t="shared" si="221"/>
        <v/>
      </c>
      <c r="I1990" s="14" t="str">
        <f t="array" ref="I1990">IF(getRGB1(Weekly!I264)="FFFF00","초방","재방")</f>
        <v>재방</v>
      </c>
    </row>
    <row r="1991" spans="1:9" ht="11.25" customHeight="1" x14ac:dyDescent="0.3">
      <c r="A1991" s="10" t="str">
        <f t="shared" si="218"/>
        <v/>
      </c>
      <c r="B1991" s="11">
        <f>Weekly!$I$3</f>
        <v>45921</v>
      </c>
      <c r="C1991" s="12">
        <v>0.90625</v>
      </c>
      <c r="D1991" s="13">
        <f>Weekly!I265</f>
        <v>0</v>
      </c>
      <c r="E1991" s="13" t="str">
        <f t="shared" si="219"/>
        <v/>
      </c>
      <c r="F1991" s="13" t="str">
        <f t="shared" si="222"/>
        <v/>
      </c>
      <c r="G1991" s="13" t="str">
        <f t="shared" si="220"/>
        <v/>
      </c>
      <c r="H1991" s="13" t="str">
        <f t="shared" si="221"/>
        <v/>
      </c>
      <c r="I1991" s="14" t="str">
        <f t="array" ref="I1991">IF(getRGB1(Weekly!I265)="FFFF00","초방","재방")</f>
        <v>재방</v>
      </c>
    </row>
    <row r="1992" spans="1:9" ht="11.25" customHeight="1" x14ac:dyDescent="0.3">
      <c r="A1992" s="10" t="str">
        <f t="shared" si="218"/>
        <v/>
      </c>
      <c r="B1992" s="11">
        <f>Weekly!$I$3</f>
        <v>45921</v>
      </c>
      <c r="C1992" s="12">
        <v>0.90972222222222199</v>
      </c>
      <c r="D1992" s="13">
        <f>Weekly!I266</f>
        <v>0</v>
      </c>
      <c r="E1992" s="13" t="str">
        <f t="shared" si="219"/>
        <v/>
      </c>
      <c r="F1992" s="13" t="str">
        <f t="shared" si="222"/>
        <v/>
      </c>
      <c r="G1992" s="13" t="str">
        <f t="shared" si="220"/>
        <v/>
      </c>
      <c r="H1992" s="13" t="str">
        <f t="shared" si="221"/>
        <v/>
      </c>
      <c r="I1992" s="14" t="str">
        <f t="array" ref="I1992">IF(getRGB1(Weekly!I266)="FFFF00","초방","재방")</f>
        <v>재방</v>
      </c>
    </row>
    <row r="1993" spans="1:9" ht="11.25" customHeight="1" x14ac:dyDescent="0.3">
      <c r="A1993" s="10" t="str">
        <f t="shared" si="218"/>
        <v/>
      </c>
      <c r="B1993" s="11">
        <f>Weekly!$I$3</f>
        <v>45921</v>
      </c>
      <c r="C1993" s="12">
        <v>0.91319444444444398</v>
      </c>
      <c r="D1993" s="13">
        <f>Weekly!I267</f>
        <v>0</v>
      </c>
      <c r="E1993" s="13" t="str">
        <f t="shared" si="219"/>
        <v/>
      </c>
      <c r="F1993" s="13" t="str">
        <f t="shared" si="222"/>
        <v/>
      </c>
      <c r="G1993" s="13" t="str">
        <f t="shared" si="220"/>
        <v/>
      </c>
      <c r="H1993" s="13" t="str">
        <f t="shared" si="221"/>
        <v/>
      </c>
      <c r="I1993" s="14" t="str">
        <f t="array" ref="I1993">IF(getRGB1(Weekly!I267)="FFFF00","초방","재방")</f>
        <v>재방</v>
      </c>
    </row>
    <row r="1994" spans="1:9" ht="11.25" customHeight="1" x14ac:dyDescent="0.3">
      <c r="A1994" s="10">
        <f t="shared" si="218"/>
        <v>45921.916666666664</v>
      </c>
      <c r="B1994" s="11">
        <f>Weekly!$I$3</f>
        <v>45921</v>
      </c>
      <c r="C1994" s="12">
        <v>0.91666666666666696</v>
      </c>
      <c r="D1994" s="13" t="str">
        <f>Weekly!I268</f>
        <v>지방차치TV 하이라이트
&lt;13</v>
      </c>
      <c r="E1994" s="13" t="str">
        <f t="shared" si="219"/>
        <v>지방차치TV 하이라이트</v>
      </c>
      <c r="F1994" s="13">
        <f t="shared" si="222"/>
        <v>13</v>
      </c>
      <c r="G1994" s="13" t="str">
        <f t="shared" si="220"/>
        <v/>
      </c>
      <c r="H1994" s="13" t="str">
        <f t="shared" si="221"/>
        <v/>
      </c>
      <c r="I1994" s="14" t="str">
        <f t="array" ref="I1994">IF(getRGB1(Weekly!I268)="FFFF00","초방","재방")</f>
        <v>재방</v>
      </c>
    </row>
    <row r="1995" spans="1:9" ht="11.25" customHeight="1" x14ac:dyDescent="0.3">
      <c r="A1995" s="10" t="str">
        <f t="shared" si="218"/>
        <v/>
      </c>
      <c r="B1995" s="11">
        <f>Weekly!$I$3</f>
        <v>45921</v>
      </c>
      <c r="C1995" s="12">
        <v>0.92013888888888895</v>
      </c>
      <c r="D1995" s="13">
        <f>Weekly!I269</f>
        <v>0</v>
      </c>
      <c r="E1995" s="13" t="str">
        <f t="shared" si="219"/>
        <v/>
      </c>
      <c r="F1995" s="13" t="str">
        <f t="shared" si="222"/>
        <v/>
      </c>
      <c r="G1995" s="13" t="str">
        <f t="shared" si="220"/>
        <v/>
      </c>
      <c r="H1995" s="13" t="str">
        <f t="shared" si="221"/>
        <v/>
      </c>
      <c r="I1995" s="14" t="str">
        <f t="array" ref="I1995">IF(getRGB1(Weekly!I269)="FFFF00","초방","재방")</f>
        <v>재방</v>
      </c>
    </row>
    <row r="1996" spans="1:9" ht="11.25" customHeight="1" x14ac:dyDescent="0.3">
      <c r="A1996" s="10" t="str">
        <f t="shared" si="218"/>
        <v/>
      </c>
      <c r="B1996" s="11">
        <f>Weekly!$I$3</f>
        <v>45921</v>
      </c>
      <c r="C1996" s="12">
        <v>0.92361111111111105</v>
      </c>
      <c r="D1996" s="13">
        <f>Weekly!I270</f>
        <v>0</v>
      </c>
      <c r="E1996" s="13" t="str">
        <f t="shared" si="219"/>
        <v/>
      </c>
      <c r="F1996" s="13" t="str">
        <f t="shared" si="222"/>
        <v/>
      </c>
      <c r="G1996" s="13" t="str">
        <f t="shared" si="220"/>
        <v/>
      </c>
      <c r="H1996" s="13" t="str">
        <f t="shared" si="221"/>
        <v/>
      </c>
      <c r="I1996" s="14" t="str">
        <f t="array" ref="I1996">IF(getRGB1(Weekly!I270)="FFFF00","초방","재방")</f>
        <v>재방</v>
      </c>
    </row>
    <row r="1997" spans="1:9" ht="11.25" customHeight="1" x14ac:dyDescent="0.3">
      <c r="A1997" s="10" t="str">
        <f t="shared" si="218"/>
        <v/>
      </c>
      <c r="B1997" s="11">
        <f>Weekly!$I$3</f>
        <v>45921</v>
      </c>
      <c r="C1997" s="12">
        <v>0.92708333333333304</v>
      </c>
      <c r="D1997" s="13">
        <f>Weekly!I271</f>
        <v>0</v>
      </c>
      <c r="E1997" s="13" t="str">
        <f t="shared" si="219"/>
        <v/>
      </c>
      <c r="F1997" s="13" t="str">
        <f t="shared" si="222"/>
        <v/>
      </c>
      <c r="G1997" s="13" t="str">
        <f t="shared" si="220"/>
        <v/>
      </c>
      <c r="H1997" s="13" t="str">
        <f t="shared" si="221"/>
        <v/>
      </c>
      <c r="I1997" s="14" t="str">
        <f t="array" ref="I1997">IF(getRGB1(Weekly!I271)="FFFF00","초방","재방")</f>
        <v>재방</v>
      </c>
    </row>
    <row r="1998" spans="1:9" ht="11.25" customHeight="1" x14ac:dyDescent="0.3">
      <c r="A1998" s="10" t="str">
        <f t="shared" si="218"/>
        <v/>
      </c>
      <c r="B1998" s="11">
        <f>Weekly!$I$3</f>
        <v>45921</v>
      </c>
      <c r="C1998" s="12">
        <v>0.93055555555555503</v>
      </c>
      <c r="D1998" s="13">
        <f>Weekly!I272</f>
        <v>0</v>
      </c>
      <c r="E1998" s="13" t="str">
        <f t="shared" si="219"/>
        <v/>
      </c>
      <c r="F1998" s="13" t="str">
        <f t="shared" si="222"/>
        <v/>
      </c>
      <c r="G1998" s="13" t="str">
        <f t="shared" si="220"/>
        <v/>
      </c>
      <c r="H1998" s="13" t="str">
        <f t="shared" si="221"/>
        <v/>
      </c>
      <c r="I1998" s="14" t="str">
        <f t="array" ref="I1998">IF(getRGB1(Weekly!I272)="FFFF00","초방","재방")</f>
        <v>재방</v>
      </c>
    </row>
    <row r="1999" spans="1:9" ht="11.25" customHeight="1" x14ac:dyDescent="0.3">
      <c r="A1999" s="10" t="str">
        <f t="shared" si="218"/>
        <v/>
      </c>
      <c r="B1999" s="11">
        <f>Weekly!$I$3</f>
        <v>45921</v>
      </c>
      <c r="C1999" s="12">
        <v>0.93402777777777801</v>
      </c>
      <c r="D1999" s="13">
        <f>Weekly!I273</f>
        <v>0</v>
      </c>
      <c r="E1999" s="13" t="str">
        <f t="shared" si="219"/>
        <v/>
      </c>
      <c r="F1999" s="13" t="str">
        <f t="shared" si="222"/>
        <v/>
      </c>
      <c r="G1999" s="13" t="str">
        <f t="shared" si="220"/>
        <v/>
      </c>
      <c r="H1999" s="13" t="str">
        <f t="shared" si="221"/>
        <v/>
      </c>
      <c r="I1999" s="14" t="str">
        <f t="array" ref="I1999">IF(getRGB1(Weekly!I273)="FFFF00","초방","재방")</f>
        <v>재방</v>
      </c>
    </row>
    <row r="2000" spans="1:9" ht="11.25" customHeight="1" x14ac:dyDescent="0.3">
      <c r="A2000" s="10" t="str">
        <f t="shared" si="218"/>
        <v/>
      </c>
      <c r="B2000" s="11">
        <f>Weekly!$I$3</f>
        <v>45921</v>
      </c>
      <c r="C2000" s="12">
        <v>0.9375</v>
      </c>
      <c r="D2000" s="13">
        <f>Weekly!I274</f>
        <v>0</v>
      </c>
      <c r="E2000" s="13" t="str">
        <f t="shared" si="219"/>
        <v/>
      </c>
      <c r="F2000" s="13" t="str">
        <f t="shared" si="222"/>
        <v/>
      </c>
      <c r="G2000" s="13" t="str">
        <f t="shared" si="220"/>
        <v/>
      </c>
      <c r="H2000" s="13" t="str">
        <f t="shared" si="221"/>
        <v/>
      </c>
      <c r="I2000" s="14" t="str">
        <f t="array" ref="I2000">IF(getRGB1(Weekly!I274)="FFFF00","초방","재방")</f>
        <v>재방</v>
      </c>
    </row>
    <row r="2001" spans="1:9" ht="11.25" customHeight="1" x14ac:dyDescent="0.3">
      <c r="A2001" s="10">
        <f t="shared" si="218"/>
        <v>45921.940972222219</v>
      </c>
      <c r="B2001" s="11">
        <f>Weekly!$I$3</f>
        <v>45921</v>
      </c>
      <c r="C2001" s="12">
        <v>0.94097222222222199</v>
      </c>
      <c r="D2001" s="13" t="str">
        <f>Weekly!I275</f>
        <v>지방자치TV 스페셜
&lt;24</v>
      </c>
      <c r="E2001" s="13" t="str">
        <f t="shared" si="219"/>
        <v>지방자치TV 스페셜</v>
      </c>
      <c r="F2001" s="13">
        <f t="shared" si="222"/>
        <v>24</v>
      </c>
      <c r="G2001" s="13" t="str">
        <f t="shared" si="220"/>
        <v/>
      </c>
      <c r="H2001" s="13" t="str">
        <f t="shared" si="221"/>
        <v/>
      </c>
      <c r="I2001" s="14" t="str">
        <f t="array" ref="I2001">IF(getRGB1(Weekly!I275)="FFFF00","초방","재방")</f>
        <v>재방</v>
      </c>
    </row>
    <row r="2002" spans="1:9" ht="11.25" customHeight="1" x14ac:dyDescent="0.3">
      <c r="A2002" s="10" t="str">
        <f t="shared" si="218"/>
        <v/>
      </c>
      <c r="B2002" s="11">
        <f>Weekly!$I$3</f>
        <v>45921</v>
      </c>
      <c r="C2002" s="12">
        <v>0.94444444444444398</v>
      </c>
      <c r="D2002" s="13">
        <f>Weekly!I276</f>
        <v>0</v>
      </c>
      <c r="E2002" s="13" t="str">
        <f t="shared" si="219"/>
        <v/>
      </c>
      <c r="F2002" s="13" t="str">
        <f t="shared" si="222"/>
        <v/>
      </c>
      <c r="G2002" s="13" t="str">
        <f t="shared" si="220"/>
        <v/>
      </c>
      <c r="H2002" s="13" t="str">
        <f t="shared" si="221"/>
        <v/>
      </c>
      <c r="I2002" s="14" t="str">
        <f t="array" ref="I2002">IF(getRGB1(Weekly!I276)="FFFF00","초방","재방")</f>
        <v>재방</v>
      </c>
    </row>
    <row r="2003" spans="1:9" ht="11.25" customHeight="1" x14ac:dyDescent="0.3">
      <c r="A2003" s="10" t="str">
        <f t="shared" si="218"/>
        <v/>
      </c>
      <c r="B2003" s="11">
        <f>Weekly!$I$3</f>
        <v>45921</v>
      </c>
      <c r="C2003" s="12">
        <v>0.94791666666666696</v>
      </c>
      <c r="D2003" s="13">
        <f>Weekly!I277</f>
        <v>0</v>
      </c>
      <c r="E2003" s="13" t="str">
        <f t="shared" si="219"/>
        <v/>
      </c>
      <c r="F2003" s="13" t="str">
        <f t="shared" si="222"/>
        <v/>
      </c>
      <c r="G2003" s="13" t="str">
        <f t="shared" si="220"/>
        <v/>
      </c>
      <c r="H2003" s="13" t="str">
        <f t="shared" si="221"/>
        <v/>
      </c>
      <c r="I2003" s="14" t="str">
        <f t="array" ref="I2003">IF(getRGB1(Weekly!I277)="FFFF00","초방","재방")</f>
        <v>재방</v>
      </c>
    </row>
    <row r="2004" spans="1:9" ht="11.25" customHeight="1" x14ac:dyDescent="0.3">
      <c r="A2004" s="10" t="str">
        <f t="shared" si="218"/>
        <v/>
      </c>
      <c r="B2004" s="11">
        <f>Weekly!$I$3</f>
        <v>45921</v>
      </c>
      <c r="C2004" s="12">
        <v>0.95138888888888895</v>
      </c>
      <c r="D2004" s="13">
        <f>Weekly!I278</f>
        <v>0</v>
      </c>
      <c r="E2004" s="13" t="str">
        <f t="shared" si="219"/>
        <v/>
      </c>
      <c r="F2004" s="13" t="str">
        <f t="shared" si="222"/>
        <v/>
      </c>
      <c r="G2004" s="13" t="str">
        <f t="shared" si="220"/>
        <v/>
      </c>
      <c r="H2004" s="13" t="str">
        <f t="shared" si="221"/>
        <v/>
      </c>
      <c r="I2004" s="14" t="str">
        <f t="array" ref="I2004">IF(getRGB1(Weekly!I278)="FFFF00","초방","재방")</f>
        <v>재방</v>
      </c>
    </row>
    <row r="2005" spans="1:9" ht="11.25" customHeight="1" x14ac:dyDescent="0.3">
      <c r="A2005" s="10" t="str">
        <f t="shared" si="218"/>
        <v/>
      </c>
      <c r="B2005" s="11">
        <f>Weekly!$I$3</f>
        <v>45921</v>
      </c>
      <c r="C2005" s="12">
        <v>0.95486111111111105</v>
      </c>
      <c r="D2005" s="13">
        <f>Weekly!I279</f>
        <v>0</v>
      </c>
      <c r="E2005" s="13" t="str">
        <f t="shared" si="219"/>
        <v/>
      </c>
      <c r="F2005" s="13" t="str">
        <f t="shared" si="222"/>
        <v/>
      </c>
      <c r="G2005" s="13" t="str">
        <f t="shared" si="220"/>
        <v/>
      </c>
      <c r="H2005" s="13" t="str">
        <f t="shared" si="221"/>
        <v/>
      </c>
      <c r="I2005" s="14" t="str">
        <f t="array" ref="I2005">IF(getRGB1(Weekly!I279)="FFFF00","초방","재방")</f>
        <v>재방</v>
      </c>
    </row>
    <row r="2006" spans="1:9" ht="11.25" customHeight="1" x14ac:dyDescent="0.3">
      <c r="A2006" s="10" t="str">
        <f t="shared" si="218"/>
        <v/>
      </c>
      <c r="B2006" s="11">
        <f>Weekly!$I$3</f>
        <v>45921</v>
      </c>
      <c r="C2006" s="12">
        <v>0.95833333333333304</v>
      </c>
      <c r="D2006" s="13">
        <f>Weekly!I280</f>
        <v>0</v>
      </c>
      <c r="E2006" s="13" t="str">
        <f t="shared" si="219"/>
        <v/>
      </c>
      <c r="F2006" s="13" t="str">
        <f t="shared" si="222"/>
        <v/>
      </c>
      <c r="G2006" s="13" t="str">
        <f t="shared" si="220"/>
        <v/>
      </c>
      <c r="H2006" s="13" t="str">
        <f t="shared" si="221"/>
        <v/>
      </c>
      <c r="I2006" s="14" t="str">
        <f t="array" ref="I2006">IF(getRGB1(Weekly!I280)="FFFF00","초방","재방")</f>
        <v>재방</v>
      </c>
    </row>
    <row r="2007" spans="1:9" ht="11.25" customHeight="1" x14ac:dyDescent="0.3">
      <c r="A2007" s="10" t="str">
        <f t="shared" si="218"/>
        <v/>
      </c>
      <c r="B2007" s="11">
        <f>Weekly!$I$3</f>
        <v>45921</v>
      </c>
      <c r="C2007" s="12">
        <v>0.96180555555555503</v>
      </c>
      <c r="D2007" s="13">
        <f>Weekly!I281</f>
        <v>0</v>
      </c>
      <c r="E2007" s="13" t="str">
        <f t="shared" si="219"/>
        <v/>
      </c>
      <c r="F2007" s="13" t="str">
        <f t="shared" si="222"/>
        <v/>
      </c>
      <c r="G2007" s="13" t="str">
        <f t="shared" si="220"/>
        <v/>
      </c>
      <c r="H2007" s="13" t="str">
        <f t="shared" si="221"/>
        <v/>
      </c>
      <c r="I2007" s="14" t="str">
        <f t="array" ref="I2007">IF(getRGB1(Weekly!I281)="FFFF00","초방","재방")</f>
        <v>재방</v>
      </c>
    </row>
    <row r="2008" spans="1:9" ht="11.25" customHeight="1" x14ac:dyDescent="0.3">
      <c r="A2008" s="10" t="str">
        <f t="shared" si="218"/>
        <v/>
      </c>
      <c r="B2008" s="11">
        <f>Weekly!$I$3</f>
        <v>45921</v>
      </c>
      <c r="C2008" s="12">
        <v>0.96527777777777801</v>
      </c>
      <c r="D2008" s="13">
        <f>Weekly!I282</f>
        <v>0</v>
      </c>
      <c r="E2008" s="13" t="str">
        <f t="shared" si="219"/>
        <v/>
      </c>
      <c r="F2008" s="13" t="str">
        <f t="shared" si="222"/>
        <v/>
      </c>
      <c r="G2008" s="13" t="str">
        <f t="shared" si="220"/>
        <v/>
      </c>
      <c r="H2008" s="13" t="str">
        <f t="shared" si="221"/>
        <v/>
      </c>
      <c r="I2008" s="14" t="str">
        <f t="array" ref="I2008">IF(getRGB1(Weekly!I282)="FFFF00","초방","재방")</f>
        <v>재방</v>
      </c>
    </row>
    <row r="2009" spans="1:9" ht="11.25" customHeight="1" x14ac:dyDescent="0.3">
      <c r="A2009" s="10" t="str">
        <f t="shared" si="218"/>
        <v/>
      </c>
      <c r="B2009" s="11">
        <f>Weekly!$I$3</f>
        <v>45921</v>
      </c>
      <c r="C2009" s="12">
        <v>0.96875</v>
      </c>
      <c r="D2009" s="13">
        <f>Weekly!I283</f>
        <v>0</v>
      </c>
      <c r="E2009" s="13" t="str">
        <f t="shared" si="219"/>
        <v/>
      </c>
      <c r="F2009" s="13" t="str">
        <f t="shared" si="222"/>
        <v/>
      </c>
      <c r="G2009" s="13" t="str">
        <f t="shared" si="220"/>
        <v/>
      </c>
      <c r="H2009" s="13" t="str">
        <f t="shared" si="221"/>
        <v/>
      </c>
      <c r="I2009" s="14" t="str">
        <f t="array" ref="I2009">IF(getRGB1(Weekly!I283)="FFFF00","초방","재방")</f>
        <v>재방</v>
      </c>
    </row>
    <row r="2010" spans="1:9" ht="11.25" customHeight="1" x14ac:dyDescent="0.3">
      <c r="A2010" s="10" t="str">
        <f t="shared" si="218"/>
        <v/>
      </c>
      <c r="B2010" s="11">
        <f>Weekly!$I$3</f>
        <v>45921</v>
      </c>
      <c r="C2010" s="12">
        <v>0.97222222222222199</v>
      </c>
      <c r="D2010" s="13">
        <f>Weekly!I284</f>
        <v>0</v>
      </c>
      <c r="E2010" s="13" t="str">
        <f t="shared" si="219"/>
        <v/>
      </c>
      <c r="F2010" s="13" t="str">
        <f t="shared" si="222"/>
        <v/>
      </c>
      <c r="G2010" s="13" t="str">
        <f t="shared" si="220"/>
        <v/>
      </c>
      <c r="H2010" s="13" t="str">
        <f t="shared" si="221"/>
        <v/>
      </c>
      <c r="I2010" s="14" t="str">
        <f t="array" ref="I2010">IF(getRGB1(Weekly!I284)="FFFF00","초방","재방")</f>
        <v>재방</v>
      </c>
    </row>
    <row r="2011" spans="1:9" ht="11.25" customHeight="1" x14ac:dyDescent="0.3">
      <c r="A2011" s="10" t="str">
        <f t="shared" si="218"/>
        <v/>
      </c>
      <c r="B2011" s="11">
        <f>Weekly!$I$3</f>
        <v>45921</v>
      </c>
      <c r="C2011" s="12">
        <v>0.97569444444444398</v>
      </c>
      <c r="D2011" s="13">
        <f>Weekly!I285</f>
        <v>0</v>
      </c>
      <c r="E2011" s="13" t="str">
        <f t="shared" si="219"/>
        <v/>
      </c>
      <c r="F2011" s="13" t="str">
        <f t="shared" si="222"/>
        <v/>
      </c>
      <c r="G2011" s="13" t="str">
        <f t="shared" si="220"/>
        <v/>
      </c>
      <c r="H2011" s="13" t="str">
        <f t="shared" si="221"/>
        <v/>
      </c>
      <c r="I2011" s="14" t="str">
        <f t="array" ref="I2011">IF(getRGB1(Weekly!I285)="FFFF00","초방","재방")</f>
        <v>재방</v>
      </c>
    </row>
    <row r="2012" spans="1:9" ht="11.25" customHeight="1" x14ac:dyDescent="0.3">
      <c r="A2012" s="10" t="str">
        <f t="shared" si="218"/>
        <v/>
      </c>
      <c r="B2012" s="11">
        <f>Weekly!$I$3</f>
        <v>45921</v>
      </c>
      <c r="C2012" s="12">
        <v>0.97916666666666696</v>
      </c>
      <c r="D2012" s="13">
        <f>Weekly!I286</f>
        <v>0</v>
      </c>
      <c r="E2012" s="13" t="str">
        <f t="shared" si="219"/>
        <v/>
      </c>
      <c r="F2012" s="13" t="str">
        <f t="shared" si="222"/>
        <v/>
      </c>
      <c r="G2012" s="13" t="str">
        <f t="shared" si="220"/>
        <v/>
      </c>
      <c r="H2012" s="13" t="str">
        <f t="shared" si="221"/>
        <v/>
      </c>
      <c r="I2012" s="14" t="str">
        <f t="array" ref="I2012">IF(getRGB1(Weekly!I286)="FFFF00","초방","재방")</f>
        <v>재방</v>
      </c>
    </row>
    <row r="2013" spans="1:9" ht="11.25" customHeight="1" x14ac:dyDescent="0.3">
      <c r="A2013" s="10" t="str">
        <f t="shared" si="218"/>
        <v/>
      </c>
      <c r="B2013" s="11">
        <f>Weekly!$I$3</f>
        <v>45921</v>
      </c>
      <c r="C2013" s="12">
        <v>0.98263888888888895</v>
      </c>
      <c r="D2013" s="13">
        <f>Weekly!I287</f>
        <v>0</v>
      </c>
      <c r="E2013" s="13" t="str">
        <f t="shared" si="219"/>
        <v/>
      </c>
      <c r="F2013" s="13" t="str">
        <f t="shared" si="222"/>
        <v/>
      </c>
      <c r="G2013" s="13" t="str">
        <f t="shared" si="220"/>
        <v/>
      </c>
      <c r="H2013" s="13" t="str">
        <f t="shared" si="221"/>
        <v/>
      </c>
      <c r="I2013" s="14" t="str">
        <f t="array" ref="I2013">IF(getRGB1(Weekly!I287)="FFFF00","초방","재방")</f>
        <v>재방</v>
      </c>
    </row>
    <row r="2014" spans="1:9" ht="11.25" customHeight="1" x14ac:dyDescent="0.3">
      <c r="A2014" s="10" t="str">
        <f t="shared" si="218"/>
        <v/>
      </c>
      <c r="B2014" s="11">
        <f>Weekly!$I$3</f>
        <v>45921</v>
      </c>
      <c r="C2014" s="12">
        <v>0.98611111111111105</v>
      </c>
      <c r="D2014" s="13">
        <f>Weekly!I288</f>
        <v>0</v>
      </c>
      <c r="E2014" s="13" t="str">
        <f t="shared" si="219"/>
        <v/>
      </c>
      <c r="F2014" s="13" t="str">
        <f t="shared" si="222"/>
        <v/>
      </c>
      <c r="G2014" s="13" t="str">
        <f t="shared" si="220"/>
        <v/>
      </c>
      <c r="H2014" s="13" t="str">
        <f t="shared" si="221"/>
        <v/>
      </c>
      <c r="I2014" s="14" t="str">
        <f t="array" ref="I2014">IF(getRGB1(Weekly!I288)="FFFF00","초방","재방")</f>
        <v>재방</v>
      </c>
    </row>
    <row r="2015" spans="1:9" ht="11.25" customHeight="1" x14ac:dyDescent="0.3">
      <c r="A2015" s="10" t="str">
        <f t="shared" si="218"/>
        <v/>
      </c>
      <c r="B2015" s="11">
        <f>Weekly!$I$3</f>
        <v>45921</v>
      </c>
      <c r="C2015" s="12">
        <v>0.98958333333333304</v>
      </c>
      <c r="D2015" s="13">
        <f>Weekly!I289</f>
        <v>0</v>
      </c>
      <c r="E2015" s="13" t="str">
        <f t="shared" si="219"/>
        <v/>
      </c>
      <c r="F2015" s="13" t="str">
        <f t="shared" si="222"/>
        <v/>
      </c>
      <c r="G2015" s="13" t="str">
        <f t="shared" si="220"/>
        <v/>
      </c>
      <c r="H2015" s="13" t="str">
        <f t="shared" si="221"/>
        <v/>
      </c>
      <c r="I2015" s="14" t="str">
        <f t="array" ref="I2015">IF(getRGB1(Weekly!I289)="FFFF00","초방","재방")</f>
        <v>재방</v>
      </c>
    </row>
    <row r="2016" spans="1:9" ht="11.25" customHeight="1" x14ac:dyDescent="0.3">
      <c r="A2016" s="10" t="str">
        <f t="shared" si="218"/>
        <v/>
      </c>
      <c r="B2016" s="11">
        <f>Weekly!$I$3</f>
        <v>45921</v>
      </c>
      <c r="C2016" s="12">
        <v>0.99305555555555503</v>
      </c>
      <c r="D2016" s="13">
        <f>Weekly!I290</f>
        <v>0</v>
      </c>
      <c r="E2016" s="13" t="str">
        <f t="shared" si="219"/>
        <v/>
      </c>
      <c r="F2016" s="13" t="str">
        <f t="shared" si="222"/>
        <v/>
      </c>
      <c r="G2016" s="13" t="str">
        <f t="shared" si="220"/>
        <v/>
      </c>
      <c r="H2016" s="13" t="str">
        <f t="shared" si="221"/>
        <v/>
      </c>
      <c r="I2016" s="14" t="str">
        <f t="array" ref="I2016">IF(getRGB1(Weekly!I290)="FFFF00","초방","재방")</f>
        <v>재방</v>
      </c>
    </row>
    <row r="2017" spans="1:9" ht="11.25" customHeight="1" x14ac:dyDescent="0.3">
      <c r="A2017" s="10" t="str">
        <f t="shared" si="218"/>
        <v/>
      </c>
      <c r="B2017" s="11">
        <f>Weekly!$I$3</f>
        <v>45921</v>
      </c>
      <c r="C2017" s="12">
        <v>0.99652777777777801</v>
      </c>
      <c r="D2017" s="13">
        <f>Weekly!I291</f>
        <v>0</v>
      </c>
      <c r="E2017" s="13" t="str">
        <f t="shared" si="219"/>
        <v/>
      </c>
      <c r="F2017" s="13" t="str">
        <f t="shared" si="222"/>
        <v/>
      </c>
      <c r="G2017" s="13" t="str">
        <f t="shared" si="220"/>
        <v/>
      </c>
      <c r="H2017" s="13" t="str">
        <f t="shared" si="221"/>
        <v/>
      </c>
      <c r="I2017" s="14" t="str">
        <f t="array" ref="I2017">IF(getRGB1(Weekly!I291)="FFFF00","초방","재방")</f>
        <v>재방</v>
      </c>
    </row>
  </sheetData>
  <phoneticPr fontId="15" type="noConversion"/>
  <pageMargins left="0.69986110925674438" right="0.69986110925674438" top="0.75" bottom="0.75" header="0.30000001192092896" footer="0.30000001192092896"/>
  <pageSetup paperSize="9" fitToWidth="0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17"/>
  <sheetViews>
    <sheetView topLeftCell="A130" zoomScaleNormal="100" zoomScaleSheetLayoutView="75" workbookViewId="0">
      <selection activeCell="F183" sqref="F183"/>
    </sheetView>
  </sheetViews>
  <sheetFormatPr defaultColWidth="9" defaultRowHeight="11.25" customHeight="1" x14ac:dyDescent="0.3"/>
  <cols>
    <col min="1" max="1" width="8.375" style="9" bestFit="1" customWidth="1"/>
    <col min="2" max="2" width="22.75" style="9" bestFit="1" customWidth="1"/>
    <col min="3" max="4" width="7" style="9" bestFit="1" customWidth="1"/>
    <col min="5" max="5" width="12.75" style="25" bestFit="1" customWidth="1"/>
    <col min="6" max="6" width="9.375" style="9" bestFit="1" customWidth="1"/>
    <col min="7" max="7" width="9.75" style="9" bestFit="1" customWidth="1"/>
    <col min="8" max="8" width="24.125" style="9" bestFit="1" customWidth="1"/>
    <col min="9" max="10" width="9.25" style="9" bestFit="1" customWidth="1"/>
    <col min="11" max="12" width="10.875" style="9" bestFit="1" customWidth="1"/>
    <col min="13" max="13" width="8.875" style="9" bestFit="1" customWidth="1"/>
    <col min="14" max="14" width="15.375" style="9" bestFit="1" customWidth="1"/>
    <col min="15" max="16384" width="9" style="9"/>
  </cols>
  <sheetData>
    <row r="1" spans="1:14" ht="11.25" customHeight="1" x14ac:dyDescent="0.3">
      <c r="A1" s="27" t="s">
        <v>280</v>
      </c>
      <c r="B1" s="27" t="s">
        <v>360</v>
      </c>
      <c r="C1" s="27" t="s">
        <v>286</v>
      </c>
      <c r="D1" s="27" t="s">
        <v>309</v>
      </c>
      <c r="E1" s="28" t="s">
        <v>85</v>
      </c>
      <c r="F1" s="27" t="s">
        <v>263</v>
      </c>
      <c r="G1" s="29" t="s">
        <v>69</v>
      </c>
      <c r="H1" s="29" t="s">
        <v>171</v>
      </c>
      <c r="I1" s="29" t="s">
        <v>72</v>
      </c>
      <c r="J1" s="29" t="s">
        <v>95</v>
      </c>
      <c r="K1" s="29" t="s">
        <v>668</v>
      </c>
      <c r="L1" s="29" t="s">
        <v>687</v>
      </c>
      <c r="M1" s="29" t="s">
        <v>533</v>
      </c>
      <c r="N1" s="29" t="s">
        <v>80</v>
      </c>
    </row>
    <row r="2" spans="1:14" ht="11.25" customHeight="1" x14ac:dyDescent="0.3">
      <c r="A2" s="13" t="s">
        <v>271</v>
      </c>
      <c r="B2" s="23" t="str">
        <f>S.Info!O2&amp;" "&amp;S.Info!P2&amp;"회"</f>
        <v>특집 2026 지방선거_경기도의회 생생중계_본회의 2회</v>
      </c>
      <c r="C2" s="13"/>
      <c r="D2" s="13"/>
      <c r="E2" s="23" t="str">
        <f>TEXT(S.Info!K2,"YYYY-MM-DD HH:MM")</f>
        <v>2025-09-15 00:00</v>
      </c>
      <c r="F2" s="23" t="str">
        <f>TEXT(S.Info!N2,"[MM]")</f>
        <v>60</v>
      </c>
      <c r="G2" s="23">
        <v>0</v>
      </c>
      <c r="H2" s="23" t="str">
        <f>IF(TEXT(IF(S.Info!Q2="15세",3,0),"#,##")&lt;&gt;"",TEXT(IF(S.Info!Q2="15세",3,0),"#,##"),"0")</f>
        <v>0</v>
      </c>
      <c r="I2" s="24" t="s">
        <v>354</v>
      </c>
      <c r="J2" s="24" t="s">
        <v>354</v>
      </c>
      <c r="K2" s="24" t="s">
        <v>354</v>
      </c>
      <c r="L2" s="24" t="s">
        <v>354</v>
      </c>
      <c r="M2" s="24" t="s">
        <v>354</v>
      </c>
      <c r="N2" s="24" t="s">
        <v>75</v>
      </c>
    </row>
    <row r="3" spans="1:14" ht="11.25" customHeight="1" x14ac:dyDescent="0.3">
      <c r="A3" s="13" t="s">
        <v>271</v>
      </c>
      <c r="B3" s="23" t="str">
        <f>S.Info!O3&amp;" "&amp;S.Info!P3&amp;"회"</f>
        <v>특집 2026 지방선거_경기도의회 생생중계_상임위 2회</v>
      </c>
      <c r="C3" s="13"/>
      <c r="D3" s="13"/>
      <c r="E3" s="23" t="str">
        <f>TEXT(S.Info!K3,"YYYY-MM-DD HH:MM")</f>
        <v>2025-09-15 01:00</v>
      </c>
      <c r="F3" s="23" t="str">
        <f>TEXT(S.Info!N3,"[MM]")</f>
        <v>60</v>
      </c>
      <c r="G3" s="23">
        <v>0</v>
      </c>
      <c r="H3" s="23" t="str">
        <f>IF(TEXT(IF(S.Info!Q3="15세",3,0),"#,##")&lt;&gt;"",TEXT(IF(S.Info!Q3="15세",3,0),"#,##"),"0")</f>
        <v>0</v>
      </c>
      <c r="I3" s="24" t="s">
        <v>354</v>
      </c>
      <c r="J3" s="24" t="s">
        <v>354</v>
      </c>
      <c r="K3" s="24" t="s">
        <v>354</v>
      </c>
      <c r="L3" s="24" t="s">
        <v>354</v>
      </c>
      <c r="M3" s="24" t="s">
        <v>354</v>
      </c>
      <c r="N3" s="24" t="s">
        <v>81</v>
      </c>
    </row>
    <row r="4" spans="1:14" ht="11.25" customHeight="1" x14ac:dyDescent="0.3">
      <c r="A4" s="13" t="s">
        <v>271</v>
      </c>
      <c r="B4" s="23" t="str">
        <f>S.Info!O4&amp;" "&amp;S.Info!P4&amp;"회"</f>
        <v>휴먼다큐 시장사람들 15회</v>
      </c>
      <c r="C4" s="13"/>
      <c r="D4" s="13"/>
      <c r="E4" s="23" t="str">
        <f>TEXT(S.Info!K4,"YYYY-MM-DD HH:MM")</f>
        <v>2025-09-15 02:00</v>
      </c>
      <c r="F4" s="23" t="str">
        <f>TEXT(S.Info!N4,"[MM]")</f>
        <v>40</v>
      </c>
      <c r="G4" s="23">
        <v>0</v>
      </c>
      <c r="H4" s="23" t="str">
        <f>IF(TEXT(IF(S.Info!Q4="15세",3,0),"#,##")&lt;&gt;"",TEXT(IF(S.Info!Q4="15세",3,0),"#,##"),"0")</f>
        <v>0</v>
      </c>
      <c r="I4" s="24" t="s">
        <v>354</v>
      </c>
      <c r="J4" s="24" t="s">
        <v>354</v>
      </c>
      <c r="K4" s="24" t="s">
        <v>354</v>
      </c>
      <c r="L4" s="24" t="s">
        <v>354</v>
      </c>
      <c r="M4" s="24" t="s">
        <v>354</v>
      </c>
      <c r="N4" s="24" t="s">
        <v>94</v>
      </c>
    </row>
    <row r="5" spans="1:14" ht="11.25" customHeight="1" x14ac:dyDescent="0.3">
      <c r="A5" s="13" t="s">
        <v>271</v>
      </c>
      <c r="B5" s="23" t="str">
        <f>S.Info!O5&amp;" "&amp;S.Info!P5&amp;"회"</f>
        <v>최선규의 이제는 지방시대 시즌2 4회</v>
      </c>
      <c r="C5" s="13"/>
      <c r="D5" s="13"/>
      <c r="E5" s="23" t="str">
        <f>TEXT(S.Info!K5,"YYYY-MM-DD HH:MM")</f>
        <v>2025-09-15 02:40</v>
      </c>
      <c r="F5" s="23" t="str">
        <f>TEXT(S.Info!N5,"[MM]")</f>
        <v>60</v>
      </c>
      <c r="G5" s="23">
        <v>0</v>
      </c>
      <c r="H5" s="23" t="str">
        <f>IF(TEXT(IF(S.Info!Q5="15세",3,0),"#,##")&lt;&gt;"",TEXT(IF(S.Info!Q5="15세",3,0),"#,##"),"0")</f>
        <v>0</v>
      </c>
      <c r="I5" s="24" t="s">
        <v>354</v>
      </c>
      <c r="J5" s="24" t="s">
        <v>354</v>
      </c>
      <c r="K5" s="24" t="s">
        <v>354</v>
      </c>
      <c r="L5" s="24" t="s">
        <v>354</v>
      </c>
      <c r="M5" s="24" t="s">
        <v>354</v>
      </c>
      <c r="N5" s="24" t="s">
        <v>88</v>
      </c>
    </row>
    <row r="6" spans="1:14" ht="11.25" customHeight="1" x14ac:dyDescent="0.3">
      <c r="A6" s="13" t="s">
        <v>271</v>
      </c>
      <c r="B6" s="23" t="str">
        <f>S.Info!O6&amp;" "&amp;S.Info!P6&amp;"회"</f>
        <v>태군노래자랑 8회</v>
      </c>
      <c r="C6" s="13"/>
      <c r="D6" s="13"/>
      <c r="E6" s="23" t="str">
        <f>TEXT(S.Info!K6,"YYYY-MM-DD HH:MM")</f>
        <v>2025-09-15 03:40</v>
      </c>
      <c r="F6" s="23" t="str">
        <f>TEXT(S.Info!N6,"[MM]")</f>
        <v>60</v>
      </c>
      <c r="G6" s="23">
        <v>0</v>
      </c>
      <c r="H6" s="23" t="str">
        <f>IF(TEXT(IF(S.Info!Q6="15세",3,0),"#,##")&lt;&gt;"",TEXT(IF(S.Info!Q6="15세",3,0),"#,##"),"0")</f>
        <v>0</v>
      </c>
      <c r="I6" s="24" t="s">
        <v>354</v>
      </c>
      <c r="J6" s="24" t="s">
        <v>354</v>
      </c>
      <c r="K6" s="24" t="s">
        <v>354</v>
      </c>
      <c r="L6" s="24" t="s">
        <v>354</v>
      </c>
      <c r="M6" s="24" t="s">
        <v>354</v>
      </c>
      <c r="N6" s="24" t="s">
        <v>76</v>
      </c>
    </row>
    <row r="7" spans="1:14" ht="11.25" customHeight="1" x14ac:dyDescent="0.3">
      <c r="A7" s="13" t="s">
        <v>271</v>
      </c>
      <c r="B7" s="23" t="str">
        <f>S.Info!O7&amp;" "&amp;S.Info!P7&amp;"회"</f>
        <v>NEWS4 63회</v>
      </c>
      <c r="C7" s="13"/>
      <c r="D7" s="13"/>
      <c r="E7" s="23" t="str">
        <f>TEXT(S.Info!K7,"YYYY-MM-DD HH:MM")</f>
        <v>2025-09-15 04:40</v>
      </c>
      <c r="F7" s="23" t="str">
        <f>TEXT(S.Info!N7,"[MM]")</f>
        <v>30</v>
      </c>
      <c r="G7" s="23">
        <v>0</v>
      </c>
      <c r="H7" s="23" t="str">
        <f>IF(TEXT(IF(S.Info!Q7="15세",3,0),"#,##")&lt;&gt;"",TEXT(IF(S.Info!Q7="15세",3,0),"#,##"),"0")</f>
        <v>0</v>
      </c>
      <c r="I7" s="24" t="s">
        <v>354</v>
      </c>
      <c r="J7" s="24" t="s">
        <v>354</v>
      </c>
      <c r="K7" s="24" t="s">
        <v>354</v>
      </c>
      <c r="L7" s="24" t="s">
        <v>354</v>
      </c>
      <c r="M7" s="24" t="s">
        <v>354</v>
      </c>
      <c r="N7" s="24" t="s">
        <v>87</v>
      </c>
    </row>
    <row r="8" spans="1:14" ht="11.25" customHeight="1" x14ac:dyDescent="0.3">
      <c r="A8" s="13" t="s">
        <v>271</v>
      </c>
      <c r="B8" s="23" t="str">
        <f>S.Info!O8&amp;" "&amp;S.Info!P8&amp;"회"</f>
        <v>내삶을바꾸는정책 2189회</v>
      </c>
      <c r="C8" s="13"/>
      <c r="D8" s="13"/>
      <c r="E8" s="23" t="str">
        <f>TEXT(S.Info!K8,"YYYY-MM-DD HH:MM")</f>
        <v>2025-09-15 05:10</v>
      </c>
      <c r="F8" s="23" t="str">
        <f>TEXT(S.Info!N8,"[MM]")</f>
        <v>60</v>
      </c>
      <c r="G8" s="23">
        <v>0</v>
      </c>
      <c r="H8" s="23" t="str">
        <f>IF(TEXT(IF(S.Info!Q8="15세",3,0),"#,##")&lt;&gt;"",TEXT(IF(S.Info!Q8="15세",3,0),"#,##"),"0")</f>
        <v>0</v>
      </c>
      <c r="I8" s="24" t="s">
        <v>354</v>
      </c>
      <c r="J8" s="24" t="s">
        <v>354</v>
      </c>
      <c r="K8" s="24" t="s">
        <v>354</v>
      </c>
      <c r="L8" s="24" t="s">
        <v>354</v>
      </c>
      <c r="M8" s="24" t="s">
        <v>354</v>
      </c>
      <c r="N8" s="24" t="s">
        <v>96</v>
      </c>
    </row>
    <row r="9" spans="1:14" ht="11.25" customHeight="1" x14ac:dyDescent="0.3">
      <c r="A9" s="13" t="s">
        <v>271</v>
      </c>
      <c r="B9" s="23" t="str">
        <f>S.Info!O9&amp;" "&amp;S.Info!P9&amp;"회"</f>
        <v>내고향 전파 5회</v>
      </c>
      <c r="C9" s="13"/>
      <c r="D9" s="13"/>
      <c r="E9" s="23" t="str">
        <f>TEXT(S.Info!K9,"YYYY-MM-DD HH:MM")</f>
        <v>2025-09-15 06:10</v>
      </c>
      <c r="F9" s="23" t="str">
        <f>TEXT(S.Info!N9,"[MM]")</f>
        <v>50</v>
      </c>
      <c r="G9" s="23">
        <v>0</v>
      </c>
      <c r="H9" s="23" t="str">
        <f>IF(TEXT(IF(S.Info!Q9="15세",3,0),"#,##")&lt;&gt;"",TEXT(IF(S.Info!Q9="15세",3,0),"#,##"),"0")</f>
        <v>0</v>
      </c>
      <c r="I9" s="24" t="s">
        <v>354</v>
      </c>
      <c r="J9" s="24" t="s">
        <v>354</v>
      </c>
      <c r="K9" s="24" t="s">
        <v>354</v>
      </c>
      <c r="L9" s="24" t="s">
        <v>354</v>
      </c>
      <c r="M9" s="24" t="s">
        <v>354</v>
      </c>
      <c r="N9" s="24" t="s">
        <v>71</v>
      </c>
    </row>
    <row r="10" spans="1:14" ht="11.25" customHeight="1" x14ac:dyDescent="0.3">
      <c r="A10" s="13" t="s">
        <v>271</v>
      </c>
      <c r="B10" s="23" t="str">
        <f>S.Info!O10&amp;" "&amp;S.Info!P10&amp;"회"</f>
        <v>최선규의 이제는 지방시대 시즌2 22회</v>
      </c>
      <c r="C10" s="13"/>
      <c r="D10" s="13"/>
      <c r="E10" s="23" t="str">
        <f>TEXT(S.Info!K10,"YYYY-MM-DD HH:MM")</f>
        <v>2025-09-15 07:00</v>
      </c>
      <c r="F10" s="23" t="str">
        <f>TEXT(S.Info!N10,"[MM]")</f>
        <v>60</v>
      </c>
      <c r="G10" s="23">
        <v>0</v>
      </c>
      <c r="H10" s="23" t="str">
        <f>IF(TEXT(IF(S.Info!Q10="15세",3,0),"#,##")&lt;&gt;"",TEXT(IF(S.Info!Q10="15세",3,0),"#,##"),"0")</f>
        <v>0</v>
      </c>
      <c r="I10" s="24" t="s">
        <v>354</v>
      </c>
      <c r="J10" s="24" t="s">
        <v>354</v>
      </c>
      <c r="K10" s="24" t="s">
        <v>354</v>
      </c>
      <c r="L10" s="24" t="s">
        <v>354</v>
      </c>
      <c r="M10" s="24" t="s">
        <v>354</v>
      </c>
      <c r="N10" s="24" t="s">
        <v>79</v>
      </c>
    </row>
    <row r="11" spans="1:14" ht="11.25" customHeight="1" x14ac:dyDescent="0.3">
      <c r="A11" s="13" t="s">
        <v>271</v>
      </c>
      <c r="B11" s="23" t="str">
        <f>S.Info!O11&amp;" "&amp;S.Info!P11&amp;"회"</f>
        <v>NEWSPLUS 63회</v>
      </c>
      <c r="C11" s="13"/>
      <c r="D11" s="13"/>
      <c r="E11" s="23" t="str">
        <f>TEXT(S.Info!K11,"YYYY-MM-DD HH:MM")</f>
        <v>2025-09-15 08:00</v>
      </c>
      <c r="F11" s="23" t="str">
        <f>TEXT(S.Info!N11,"[MM]")</f>
        <v>30</v>
      </c>
      <c r="G11" s="23">
        <v>0</v>
      </c>
      <c r="H11" s="23" t="str">
        <f>IF(TEXT(IF(S.Info!Q11="15세",3,0),"#,##")&lt;&gt;"",TEXT(IF(S.Info!Q11="15세",3,0),"#,##"),"0")</f>
        <v>0</v>
      </c>
      <c r="I11" s="24" t="s">
        <v>354</v>
      </c>
      <c r="J11" s="24" t="s">
        <v>354</v>
      </c>
      <c r="K11" s="24" t="s">
        <v>354</v>
      </c>
      <c r="L11" s="24" t="s">
        <v>354</v>
      </c>
      <c r="M11" s="24" t="s">
        <v>354</v>
      </c>
      <c r="N11" s="24" t="s">
        <v>117</v>
      </c>
    </row>
    <row r="12" spans="1:14" ht="11.25" customHeight="1" x14ac:dyDescent="0.3">
      <c r="A12" s="13" t="s">
        <v>271</v>
      </c>
      <c r="B12" s="23" t="str">
        <f>S.Info!O12&amp;" "&amp;S.Info!P12&amp;"회"</f>
        <v>남도스럽게 6회</v>
      </c>
      <c r="C12" s="13"/>
      <c r="D12" s="13"/>
      <c r="E12" s="23" t="str">
        <f>TEXT(S.Info!K12,"YYYY-MM-DD HH:MM")</f>
        <v>2025-09-15 08:30</v>
      </c>
      <c r="F12" s="23" t="str">
        <f>TEXT(S.Info!N12,"[MM]")</f>
        <v>50</v>
      </c>
      <c r="G12" s="23">
        <v>0</v>
      </c>
      <c r="H12" s="23" t="str">
        <f>IF(TEXT(IF(S.Info!Q12="15세",3,0),"#,##")&lt;&gt;"",TEXT(IF(S.Info!Q12="15세",3,0),"#,##"),"0")</f>
        <v>0</v>
      </c>
      <c r="I12" s="24" t="s">
        <v>354</v>
      </c>
      <c r="J12" s="24" t="s">
        <v>354</v>
      </c>
      <c r="K12" s="24" t="s">
        <v>354</v>
      </c>
      <c r="L12" s="24" t="s">
        <v>354</v>
      </c>
      <c r="M12" s="24" t="s">
        <v>354</v>
      </c>
      <c r="N12" s="24" t="s">
        <v>112</v>
      </c>
    </row>
    <row r="13" spans="1:14" ht="11.25" customHeight="1" x14ac:dyDescent="0.3">
      <c r="A13" s="13" t="s">
        <v>271</v>
      </c>
      <c r="B13" s="23" t="str">
        <f>S.Info!O13&amp;" "&amp;S.Info!P13&amp;"회"</f>
        <v>눈에 띄는 그녀들 시즌3 7회</v>
      </c>
      <c r="C13" s="13"/>
      <c r="D13" s="13"/>
      <c r="E13" s="23" t="str">
        <f>TEXT(S.Info!K13,"YYYY-MM-DD HH:MM")</f>
        <v>2025-09-15 09:20</v>
      </c>
      <c r="F13" s="23" t="str">
        <f>TEXT(S.Info!N13,"[MM]")</f>
        <v>40</v>
      </c>
      <c r="G13" s="23">
        <v>0</v>
      </c>
      <c r="H13" s="23" t="str">
        <f>IF(TEXT(IF(S.Info!Q13="15세",3,0),"#,##")&lt;&gt;"",TEXT(IF(S.Info!Q13="15세",3,0),"#,##"),"0")</f>
        <v>0</v>
      </c>
      <c r="I13" s="24" t="s">
        <v>354</v>
      </c>
      <c r="J13" s="24" t="s">
        <v>354</v>
      </c>
      <c r="K13" s="24" t="s">
        <v>354</v>
      </c>
      <c r="L13" s="24" t="s">
        <v>354</v>
      </c>
      <c r="M13" s="24" t="s">
        <v>354</v>
      </c>
      <c r="N13" s="24" t="s">
        <v>67</v>
      </c>
    </row>
    <row r="14" spans="1:14" ht="11.25" customHeight="1" x14ac:dyDescent="0.3">
      <c r="A14" s="13" t="s">
        <v>271</v>
      </c>
      <c r="B14" s="23" t="str">
        <f>S.Info!O14&amp;" "&amp;S.Info!P14&amp;"회"</f>
        <v>특집 2026 지방선거_서울특별시의회 생생중계_본회의 15회</v>
      </c>
      <c r="C14" s="13"/>
      <c r="D14" s="13"/>
      <c r="E14" s="23" t="str">
        <f>TEXT(S.Info!K14,"YYYY-MM-DD HH:MM")</f>
        <v>2025-09-15 10:00</v>
      </c>
      <c r="F14" s="23" t="str">
        <f>TEXT(S.Info!N14,"[MM]")</f>
        <v>60</v>
      </c>
      <c r="G14" s="23">
        <v>0</v>
      </c>
      <c r="H14" s="23" t="str">
        <f>IF(TEXT(IF(S.Info!Q14="15세",3,0),"#,##")&lt;&gt;"",TEXT(IF(S.Info!Q14="15세",3,0),"#,##"),"0")</f>
        <v>0</v>
      </c>
      <c r="I14" s="24" t="s">
        <v>354</v>
      </c>
      <c r="J14" s="24" t="s">
        <v>354</v>
      </c>
      <c r="K14" s="24" t="s">
        <v>354</v>
      </c>
      <c r="L14" s="24" t="s">
        <v>354</v>
      </c>
      <c r="M14" s="24" t="s">
        <v>354</v>
      </c>
      <c r="N14" s="24" t="s">
        <v>82</v>
      </c>
    </row>
    <row r="15" spans="1:14" ht="11.25" customHeight="1" x14ac:dyDescent="0.3">
      <c r="A15" s="13" t="s">
        <v>271</v>
      </c>
      <c r="B15" s="23" t="str">
        <f>S.Info!O15&amp;" "&amp;S.Info!P15&amp;"회"</f>
        <v>특집 2026 지방선거_경기도의회 생생중계_본회의 14회</v>
      </c>
      <c r="C15" s="13"/>
      <c r="D15" s="13"/>
      <c r="E15" s="23" t="str">
        <f>TEXT(S.Info!K15,"YYYY-MM-DD HH:MM")</f>
        <v>2025-09-15 11:00</v>
      </c>
      <c r="F15" s="23" t="str">
        <f>TEXT(S.Info!N15,"[MM]")</f>
        <v>60</v>
      </c>
      <c r="G15" s="23">
        <v>0</v>
      </c>
      <c r="H15" s="23" t="str">
        <f>IF(TEXT(IF(S.Info!Q15="15세",3,0),"#,##")&lt;&gt;"",TEXT(IF(S.Info!Q15="15세",3,0),"#,##"),"0")</f>
        <v>0</v>
      </c>
      <c r="I15" s="24" t="s">
        <v>354</v>
      </c>
      <c r="J15" s="24" t="s">
        <v>354</v>
      </c>
      <c r="K15" s="24" t="s">
        <v>354</v>
      </c>
      <c r="L15" s="24" t="s">
        <v>354</v>
      </c>
      <c r="M15" s="24" t="s">
        <v>354</v>
      </c>
      <c r="N15" s="24" t="s">
        <v>86</v>
      </c>
    </row>
    <row r="16" spans="1:14" ht="11.25" customHeight="1" x14ac:dyDescent="0.3">
      <c r="A16" s="13" t="s">
        <v>271</v>
      </c>
      <c r="B16" s="23" t="str">
        <f>S.Info!O16&amp;" "&amp;S.Info!P16&amp;"회"</f>
        <v>행복무지개 31회</v>
      </c>
      <c r="C16" s="13"/>
      <c r="D16" s="13"/>
      <c r="E16" s="23" t="str">
        <f>TEXT(S.Info!K16,"YYYY-MM-DD HH:MM")</f>
        <v>2025-09-15 12:00</v>
      </c>
      <c r="F16" s="23" t="str">
        <f>TEXT(S.Info!N16,"[MM]")</f>
        <v>60</v>
      </c>
      <c r="G16" s="23">
        <v>0</v>
      </c>
      <c r="H16" s="23" t="str">
        <f>IF(TEXT(IF(S.Info!Q16="15세",3,0),"#,##")&lt;&gt;"",TEXT(IF(S.Info!Q16="15세",3,0),"#,##"),"0")</f>
        <v>0</v>
      </c>
      <c r="I16" s="24" t="s">
        <v>354</v>
      </c>
      <c r="J16" s="24" t="s">
        <v>354</v>
      </c>
      <c r="K16" s="24" t="s">
        <v>354</v>
      </c>
      <c r="L16" s="24" t="s">
        <v>354</v>
      </c>
      <c r="M16" s="24" t="s">
        <v>354</v>
      </c>
      <c r="N16" s="24" t="s">
        <v>68</v>
      </c>
    </row>
    <row r="17" spans="1:14" ht="11.25" customHeight="1" x14ac:dyDescent="0.3">
      <c r="A17" s="13" t="s">
        <v>271</v>
      </c>
      <c r="B17" s="23" t="str">
        <f>S.Info!O17&amp;" "&amp;S.Info!P17&amp;"회"</f>
        <v>NEWSJ 66회</v>
      </c>
      <c r="C17" s="13"/>
      <c r="D17" s="13"/>
      <c r="E17" s="23" t="str">
        <f>TEXT(S.Info!K17,"YYYY-MM-DD HH:MM")</f>
        <v>2025-09-15 13:00</v>
      </c>
      <c r="F17" s="23" t="str">
        <f>TEXT(S.Info!N17,"[MM]")</f>
        <v>30</v>
      </c>
      <c r="G17" s="23">
        <v>0</v>
      </c>
      <c r="H17" s="23" t="str">
        <f>IF(TEXT(IF(S.Info!Q17="15세",3,0),"#,##")&lt;&gt;"",TEXT(IF(S.Info!Q17="15세",3,0),"#,##"),"0")</f>
        <v>0</v>
      </c>
      <c r="I17" s="24" t="s">
        <v>354</v>
      </c>
      <c r="J17" s="24" t="s">
        <v>354</v>
      </c>
      <c r="K17" s="24" t="s">
        <v>354</v>
      </c>
      <c r="L17" s="24" t="s">
        <v>354</v>
      </c>
      <c r="M17" s="24" t="s">
        <v>354</v>
      </c>
      <c r="N17" s="24" t="s">
        <v>93</v>
      </c>
    </row>
    <row r="18" spans="1:14" ht="11.25" customHeight="1" x14ac:dyDescent="0.3">
      <c r="A18" s="13" t="s">
        <v>271</v>
      </c>
      <c r="B18" s="23" t="str">
        <f>S.Info!O18&amp;" "&amp;S.Info!P18&amp;"회"</f>
        <v>더 人터뷰 51회</v>
      </c>
      <c r="C18" s="13"/>
      <c r="D18" s="13"/>
      <c r="E18" s="23" t="str">
        <f>TEXT(S.Info!K18,"YYYY-MM-DD HH:MM")</f>
        <v>2025-09-15 13:30</v>
      </c>
      <c r="F18" s="23" t="str">
        <f>TEXT(S.Info!N18,"[MM]")</f>
        <v>30</v>
      </c>
      <c r="G18" s="23">
        <v>0</v>
      </c>
      <c r="H18" s="23" t="str">
        <f>IF(TEXT(IF(S.Info!Q18="15세",3,0),"#,##")&lt;&gt;"",TEXT(IF(S.Info!Q18="15세",3,0),"#,##"),"0")</f>
        <v>0</v>
      </c>
      <c r="I18" s="24" t="s">
        <v>354</v>
      </c>
      <c r="J18" s="24" t="s">
        <v>354</v>
      </c>
      <c r="K18" s="24" t="s">
        <v>354</v>
      </c>
      <c r="L18" s="24" t="s">
        <v>354</v>
      </c>
      <c r="M18" s="24" t="s">
        <v>354</v>
      </c>
      <c r="N18" s="24" t="s">
        <v>408</v>
      </c>
    </row>
    <row r="19" spans="1:14" ht="11.25" customHeight="1" x14ac:dyDescent="0.3">
      <c r="A19" s="13" t="s">
        <v>271</v>
      </c>
      <c r="B19" s="23" t="str">
        <f>S.Info!O19&amp;" "&amp;S.Info!P19&amp;"회"</f>
        <v>특집 2026 지방선거_서울특별시의회 생생중계_상임위 15회</v>
      </c>
      <c r="C19" s="13"/>
      <c r="D19" s="13"/>
      <c r="E19" s="23" t="str">
        <f>TEXT(S.Info!K19,"YYYY-MM-DD HH:MM")</f>
        <v>2025-09-15 14:00</v>
      </c>
      <c r="F19" s="23" t="str">
        <f>TEXT(S.Info!N19,"[MM]")</f>
        <v>60</v>
      </c>
      <c r="G19" s="23">
        <v>0</v>
      </c>
      <c r="H19" s="23" t="str">
        <f>IF(TEXT(IF(S.Info!Q19="15세",3,0),"#,##")&lt;&gt;"",TEXT(IF(S.Info!Q19="15세",3,0),"#,##"),"0")</f>
        <v>0</v>
      </c>
      <c r="I19" s="24" t="s">
        <v>354</v>
      </c>
      <c r="J19" s="24" t="s">
        <v>354</v>
      </c>
      <c r="K19" s="24" t="s">
        <v>354</v>
      </c>
      <c r="L19" s="24" t="s">
        <v>354</v>
      </c>
      <c r="M19" s="24" t="s">
        <v>354</v>
      </c>
      <c r="N19" s="24" t="s">
        <v>103</v>
      </c>
    </row>
    <row r="20" spans="1:14" ht="11.25" customHeight="1" x14ac:dyDescent="0.3">
      <c r="A20" s="13" t="s">
        <v>271</v>
      </c>
      <c r="B20" s="23" t="str">
        <f>S.Info!O20&amp;" "&amp;S.Info!P20&amp;"회"</f>
        <v>행복무지개 32회</v>
      </c>
      <c r="C20" s="13"/>
      <c r="D20" s="13"/>
      <c r="E20" s="23" t="str">
        <f>TEXT(S.Info!K20,"YYYY-MM-DD HH:MM")</f>
        <v>2025-09-15 15:00</v>
      </c>
      <c r="F20" s="23" t="str">
        <f>TEXT(S.Info!N20,"[MM]")</f>
        <v>60</v>
      </c>
      <c r="G20" s="23">
        <v>0</v>
      </c>
      <c r="H20" s="23" t="str">
        <f>IF(TEXT(IF(S.Info!Q20="15세",3,0),"#,##")&lt;&gt;"",TEXT(IF(S.Info!Q20="15세",3,0),"#,##"),"0")</f>
        <v>0</v>
      </c>
      <c r="I20" s="24" t="s">
        <v>354</v>
      </c>
      <c r="J20" s="24" t="s">
        <v>354</v>
      </c>
      <c r="K20" s="24" t="s">
        <v>354</v>
      </c>
      <c r="L20" s="24" t="s">
        <v>354</v>
      </c>
      <c r="M20" s="24" t="s">
        <v>354</v>
      </c>
      <c r="N20" s="24" t="s">
        <v>116</v>
      </c>
    </row>
    <row r="21" spans="1:14" ht="11.25" customHeight="1" x14ac:dyDescent="0.3">
      <c r="A21" s="13" t="s">
        <v>271</v>
      </c>
      <c r="B21" s="23" t="str">
        <f>S.Info!O21&amp;" "&amp;S.Info!P21&amp;"회"</f>
        <v>NEWS4 63회</v>
      </c>
      <c r="C21" s="13"/>
      <c r="D21" s="13"/>
      <c r="E21" s="23" t="str">
        <f>TEXT(S.Info!K21,"YYYY-MM-DD HH:MM")</f>
        <v>2025-09-15 16:00</v>
      </c>
      <c r="F21" s="23" t="str">
        <f>TEXT(S.Info!N21,"[MM]")</f>
        <v>30</v>
      </c>
      <c r="G21" s="23">
        <v>0</v>
      </c>
      <c r="H21" s="23" t="str">
        <f>IF(TEXT(IF(S.Info!Q21="15세",3,0),"#,##")&lt;&gt;"",TEXT(IF(S.Info!Q21="15세",3,0),"#,##"),"0")</f>
        <v>0</v>
      </c>
      <c r="I21" s="24" t="s">
        <v>354</v>
      </c>
      <c r="J21" s="24" t="s">
        <v>354</v>
      </c>
      <c r="K21" s="24" t="s">
        <v>354</v>
      </c>
      <c r="L21" s="24" t="s">
        <v>354</v>
      </c>
      <c r="M21" s="24" t="s">
        <v>354</v>
      </c>
      <c r="N21" s="24" t="s">
        <v>404</v>
      </c>
    </row>
    <row r="22" spans="1:14" ht="11.25" customHeight="1" x14ac:dyDescent="0.3">
      <c r="A22" s="13" t="s">
        <v>271</v>
      </c>
      <c r="B22" s="23" t="str">
        <f>S.Info!O22&amp;" "&amp;S.Info!P22&amp;"회"</f>
        <v>호남, 호남人 130회</v>
      </c>
      <c r="C22" s="13"/>
      <c r="D22" s="13"/>
      <c r="E22" s="23" t="str">
        <f>TEXT(S.Info!K22,"YYYY-MM-DD HH:MM")</f>
        <v>2025-09-15 16:30</v>
      </c>
      <c r="F22" s="23" t="str">
        <f>TEXT(S.Info!N22,"[MM]")</f>
        <v>30</v>
      </c>
      <c r="G22" s="23">
        <v>0</v>
      </c>
      <c r="H22" s="23" t="str">
        <f>IF(TEXT(IF(S.Info!Q22="15세",3,0),"#,##")&lt;&gt;"",TEXT(IF(S.Info!Q22="15세",3,0),"#,##"),"0")</f>
        <v>0</v>
      </c>
      <c r="I22" s="24" t="s">
        <v>354</v>
      </c>
      <c r="J22" s="24" t="s">
        <v>354</v>
      </c>
      <c r="K22" s="24" t="s">
        <v>354</v>
      </c>
      <c r="L22" s="24" t="s">
        <v>354</v>
      </c>
      <c r="M22" s="24" t="s">
        <v>354</v>
      </c>
      <c r="N22" s="24" t="s">
        <v>409</v>
      </c>
    </row>
    <row r="23" spans="1:14" ht="11.25" customHeight="1" x14ac:dyDescent="0.3">
      <c r="A23" s="13" t="s">
        <v>271</v>
      </c>
      <c r="B23" s="23" t="str">
        <f>S.Info!O23&amp;" "&amp;S.Info!P23&amp;"회"</f>
        <v>특집 2026 지방선거_경기도의회 생생중계_상임위 14회</v>
      </c>
      <c r="C23" s="13"/>
      <c r="D23" s="13"/>
      <c r="E23" s="23" t="str">
        <f>TEXT(S.Info!K23,"YYYY-MM-DD HH:MM")</f>
        <v>2025-09-15 17:00</v>
      </c>
      <c r="F23" s="23" t="str">
        <f>TEXT(S.Info!N23,"[MM]")</f>
        <v>60</v>
      </c>
      <c r="G23" s="23">
        <v>0</v>
      </c>
      <c r="H23" s="23" t="str">
        <f>IF(TEXT(IF(S.Info!Q23="15세",3,0),"#,##")&lt;&gt;"",TEXT(IF(S.Info!Q23="15세",3,0),"#,##"),"0")</f>
        <v>0</v>
      </c>
      <c r="I23" s="24" t="s">
        <v>354</v>
      </c>
      <c r="J23" s="24" t="s">
        <v>354</v>
      </c>
      <c r="K23" s="24" t="s">
        <v>354</v>
      </c>
      <c r="L23" s="24" t="s">
        <v>354</v>
      </c>
      <c r="M23" s="24" t="s">
        <v>354</v>
      </c>
      <c r="N23" s="24" t="s">
        <v>108</v>
      </c>
    </row>
    <row r="24" spans="1:14" ht="11.25" customHeight="1" x14ac:dyDescent="0.3">
      <c r="A24" s="13" t="s">
        <v>271</v>
      </c>
      <c r="B24" s="23" t="str">
        <f>S.Info!O24&amp;" "&amp;S.Info!P24&amp;"회"</f>
        <v>눈에 띄는 그녀들 시즌5 5회</v>
      </c>
      <c r="C24" s="13"/>
      <c r="D24" s="13"/>
      <c r="E24" s="23" t="str">
        <f>TEXT(S.Info!K24,"YYYY-MM-DD HH:MM")</f>
        <v>2025-09-15 18:00</v>
      </c>
      <c r="F24" s="23" t="str">
        <f>TEXT(S.Info!N24,"[MM]")</f>
        <v>30</v>
      </c>
      <c r="G24" s="23">
        <v>0</v>
      </c>
      <c r="H24" s="23" t="str">
        <f>IF(TEXT(IF(S.Info!Q24="15세",3,0),"#,##")&lt;&gt;"",TEXT(IF(S.Info!Q24="15세",3,0),"#,##"),"0")</f>
        <v>0</v>
      </c>
      <c r="I24" s="24" t="s">
        <v>354</v>
      </c>
      <c r="J24" s="24" t="s">
        <v>354</v>
      </c>
      <c r="K24" s="24" t="s">
        <v>354</v>
      </c>
      <c r="L24" s="24" t="s">
        <v>354</v>
      </c>
      <c r="M24" s="24" t="s">
        <v>354</v>
      </c>
      <c r="N24" s="24" t="s">
        <v>104</v>
      </c>
    </row>
    <row r="25" spans="1:14" ht="11.25" customHeight="1" x14ac:dyDescent="0.3">
      <c r="A25" s="13" t="s">
        <v>271</v>
      </c>
      <c r="B25" s="23" t="str">
        <f>S.Info!O25&amp;" "&amp;S.Info!P25&amp;"회"</f>
        <v>낭만살롱 5회</v>
      </c>
      <c r="C25" s="13"/>
      <c r="D25" s="13"/>
      <c r="E25" s="23" t="str">
        <f>TEXT(S.Info!K25,"YYYY-MM-DD HH:MM")</f>
        <v>2025-09-15 18:30</v>
      </c>
      <c r="F25" s="23" t="str">
        <f>TEXT(S.Info!N25,"[MM]")</f>
        <v>30</v>
      </c>
      <c r="G25" s="23">
        <v>0</v>
      </c>
      <c r="H25" s="23" t="str">
        <f>IF(TEXT(IF(S.Info!Q25="15세",3,0),"#,##")&lt;&gt;"",TEXT(IF(S.Info!Q25="15세",3,0),"#,##"),"0")</f>
        <v>0</v>
      </c>
      <c r="I25" s="24" t="s">
        <v>354</v>
      </c>
      <c r="J25" s="24" t="s">
        <v>354</v>
      </c>
      <c r="K25" s="24" t="s">
        <v>354</v>
      </c>
      <c r="L25" s="24" t="s">
        <v>354</v>
      </c>
      <c r="M25" s="24" t="s">
        <v>354</v>
      </c>
      <c r="N25" s="24" t="s">
        <v>114</v>
      </c>
    </row>
    <row r="26" spans="1:14" ht="11.25" customHeight="1" x14ac:dyDescent="0.3">
      <c r="A26" s="13" t="s">
        <v>271</v>
      </c>
      <c r="B26" s="23" t="str">
        <f>S.Info!O26&amp;" "&amp;S.Info!P26&amp;"회"</f>
        <v>더 人터뷰 1회</v>
      </c>
      <c r="C26" s="13"/>
      <c r="D26" s="13"/>
      <c r="E26" s="23" t="str">
        <f>TEXT(S.Info!K26,"YYYY-MM-DD HH:MM")</f>
        <v>2025-09-15 19:00</v>
      </c>
      <c r="F26" s="23" t="str">
        <f>TEXT(S.Info!N26,"[MM]")</f>
        <v>60</v>
      </c>
      <c r="G26" s="23">
        <v>0</v>
      </c>
      <c r="H26" s="23" t="str">
        <f>IF(TEXT(IF(S.Info!Q26="15세",3,0),"#,##")&lt;&gt;"",TEXT(IF(S.Info!Q26="15세",3,0),"#,##"),"0")</f>
        <v>0</v>
      </c>
      <c r="I26" s="24" t="s">
        <v>354</v>
      </c>
      <c r="J26" s="24" t="s">
        <v>354</v>
      </c>
      <c r="K26" s="24" t="s">
        <v>354</v>
      </c>
      <c r="L26" s="24" t="s">
        <v>354</v>
      </c>
      <c r="M26" s="24" t="s">
        <v>354</v>
      </c>
      <c r="N26" s="24" t="s">
        <v>115</v>
      </c>
    </row>
    <row r="27" spans="1:14" ht="11.25" customHeight="1" x14ac:dyDescent="0.3">
      <c r="A27" s="13" t="s">
        <v>271</v>
      </c>
      <c r="B27" s="23" t="str">
        <f>S.Info!O27&amp;" "&amp;S.Info!P27&amp;"회"</f>
        <v>NEWSON 66회</v>
      </c>
      <c r="C27" s="13"/>
      <c r="D27" s="13"/>
      <c r="E27" s="23" t="str">
        <f>TEXT(S.Info!K27,"YYYY-MM-DD HH:MM")</f>
        <v>2025-09-15 20:00</v>
      </c>
      <c r="F27" s="23" t="str">
        <f>TEXT(S.Info!N27,"[MM]")</f>
        <v>30</v>
      </c>
      <c r="G27" s="23">
        <v>0</v>
      </c>
      <c r="H27" s="23" t="str">
        <f>IF(TEXT(IF(S.Info!Q27="15세",3,0),"#,##")&lt;&gt;"",TEXT(IF(S.Info!Q27="15세",3,0),"#,##"),"0")</f>
        <v>0</v>
      </c>
      <c r="I27" s="24" t="s">
        <v>354</v>
      </c>
      <c r="J27" s="24" t="s">
        <v>354</v>
      </c>
      <c r="K27" s="24" t="s">
        <v>354</v>
      </c>
      <c r="L27" s="24" t="s">
        <v>354</v>
      </c>
      <c r="M27" s="24" t="s">
        <v>354</v>
      </c>
      <c r="N27" s="24" t="s">
        <v>110</v>
      </c>
    </row>
    <row r="28" spans="1:14" ht="11.25" customHeight="1" x14ac:dyDescent="0.3">
      <c r="A28" s="13" t="s">
        <v>271</v>
      </c>
      <c r="B28" s="23" t="str">
        <f>S.Info!O28&amp;" "&amp;S.Info!P28&amp;"회"</f>
        <v>우리동네 너튜브 4회</v>
      </c>
      <c r="C28" s="13"/>
      <c r="D28" s="13"/>
      <c r="E28" s="23" t="str">
        <f>TEXT(S.Info!K28,"YYYY-MM-DD HH:MM")</f>
        <v>2025-09-15 20:30</v>
      </c>
      <c r="F28" s="23" t="str">
        <f>TEXT(S.Info!N28,"[MM]")</f>
        <v>50</v>
      </c>
      <c r="G28" s="23">
        <v>0</v>
      </c>
      <c r="H28" s="23" t="str">
        <f>IF(TEXT(IF(S.Info!Q28="15세",3,0),"#,##")&lt;&gt;"",TEXT(IF(S.Info!Q28="15세",3,0),"#,##"),"0")</f>
        <v>0</v>
      </c>
      <c r="I28" s="24" t="s">
        <v>354</v>
      </c>
      <c r="J28" s="24" t="s">
        <v>354</v>
      </c>
      <c r="K28" s="24" t="s">
        <v>354</v>
      </c>
      <c r="L28" s="24" t="s">
        <v>354</v>
      </c>
      <c r="M28" s="24" t="s">
        <v>354</v>
      </c>
      <c r="N28" s="24" t="s">
        <v>98</v>
      </c>
    </row>
    <row r="29" spans="1:14" ht="11.25" customHeight="1" x14ac:dyDescent="0.3">
      <c r="A29" s="13" t="s">
        <v>271</v>
      </c>
      <c r="B29" s="23" t="str">
        <f>S.Info!O29&amp;" "&amp;S.Info!P29&amp;"회"</f>
        <v>낭만살롱 1회</v>
      </c>
      <c r="C29" s="13"/>
      <c r="D29" s="13"/>
      <c r="E29" s="23" t="str">
        <f>TEXT(S.Info!K29,"YYYY-MM-DD HH:MM")</f>
        <v>2025-09-15 21:20</v>
      </c>
      <c r="F29" s="23" t="str">
        <f>TEXT(S.Info!N29,"[MM]")</f>
        <v>40</v>
      </c>
      <c r="G29" s="23">
        <v>0</v>
      </c>
      <c r="H29" s="23" t="str">
        <f>IF(TEXT(IF(S.Info!Q29="15세",3,0),"#,##")&lt;&gt;"",TEXT(IF(S.Info!Q29="15세",3,0),"#,##"),"0")</f>
        <v>0</v>
      </c>
      <c r="I29" s="24" t="s">
        <v>354</v>
      </c>
      <c r="J29" s="24" t="s">
        <v>354</v>
      </c>
      <c r="K29" s="24" t="s">
        <v>354</v>
      </c>
      <c r="L29" s="24" t="s">
        <v>354</v>
      </c>
      <c r="M29" s="24" t="s">
        <v>354</v>
      </c>
      <c r="N29" s="24" t="s">
        <v>106</v>
      </c>
    </row>
    <row r="30" spans="1:14" ht="11.25" customHeight="1" x14ac:dyDescent="0.3">
      <c r="A30" s="13" t="s">
        <v>271</v>
      </c>
      <c r="B30" s="23" t="str">
        <f>S.Info!O30&amp;" "&amp;S.Info!P30&amp;"회"</f>
        <v>특집 2026 지방선거_서울특별시의회 생생중계_본회의 15회</v>
      </c>
      <c r="C30" s="13"/>
      <c r="D30" s="13"/>
      <c r="E30" s="23" t="str">
        <f>TEXT(S.Info!K30,"YYYY-MM-DD HH:MM")</f>
        <v>2025-09-15 22:00</v>
      </c>
      <c r="F30" s="23" t="str">
        <f>TEXT(S.Info!N30,"[MM]")</f>
        <v>60</v>
      </c>
      <c r="G30" s="23">
        <v>0</v>
      </c>
      <c r="H30" s="23" t="str">
        <f>IF(TEXT(IF(S.Info!Q30="15세",3,0),"#,##")&lt;&gt;"",TEXT(IF(S.Info!Q30="15세",3,0),"#,##"),"0")</f>
        <v>0</v>
      </c>
      <c r="I30" s="24" t="s">
        <v>354</v>
      </c>
      <c r="J30" s="24" t="s">
        <v>354</v>
      </c>
      <c r="K30" s="24" t="s">
        <v>354</v>
      </c>
      <c r="L30" s="24" t="s">
        <v>354</v>
      </c>
      <c r="M30" s="24" t="s">
        <v>354</v>
      </c>
      <c r="N30" s="24" t="s">
        <v>109</v>
      </c>
    </row>
    <row r="31" spans="1:14" ht="11.25" customHeight="1" x14ac:dyDescent="0.3">
      <c r="A31" s="13" t="s">
        <v>271</v>
      </c>
      <c r="B31" s="23" t="str">
        <f>S.Info!O31&amp;" "&amp;S.Info!P31&amp;"회"</f>
        <v>특집 2026 지방선거_서울특별시의회 생생중계_상임위 15회</v>
      </c>
      <c r="C31" s="13"/>
      <c r="D31" s="13"/>
      <c r="E31" s="23" t="str">
        <f>TEXT(S.Info!K31,"YYYY-MM-DD HH:MM")</f>
        <v>2025-09-15 23:00</v>
      </c>
      <c r="F31" s="23" t="str">
        <f>TEXT(S.Info!N31,"[MM]")</f>
        <v>60</v>
      </c>
      <c r="G31" s="23">
        <v>0</v>
      </c>
      <c r="H31" s="23" t="str">
        <f>IF(TEXT(IF(S.Info!Q31="15세",3,0),"#,##")&lt;&gt;"",TEXT(IF(S.Info!Q31="15세",3,0),"#,##"),"0")</f>
        <v>0</v>
      </c>
      <c r="I31" s="24" t="s">
        <v>354</v>
      </c>
      <c r="J31" s="24" t="s">
        <v>354</v>
      </c>
      <c r="K31" s="24" t="s">
        <v>354</v>
      </c>
      <c r="L31" s="24" t="s">
        <v>354</v>
      </c>
      <c r="M31" s="24" t="s">
        <v>354</v>
      </c>
      <c r="N31" s="24" t="s">
        <v>99</v>
      </c>
    </row>
    <row r="32" spans="1:14" ht="11.25" customHeight="1" x14ac:dyDescent="0.3">
      <c r="A32" s="13" t="s">
        <v>271</v>
      </c>
      <c r="B32" s="23" t="str">
        <f>S.Info!O32&amp;" "&amp;S.Info!P32&amp;"회"</f>
        <v>특집 2026 지방선거_경기도의회 생생중계_본회의 14회</v>
      </c>
      <c r="C32" s="13"/>
      <c r="D32" s="13"/>
      <c r="E32" s="23" t="str">
        <f>TEXT(S.Info!K32,"YYYY-MM-DD HH:MM")</f>
        <v>2025-09-16 00:00</v>
      </c>
      <c r="F32" s="23" t="str">
        <f>TEXT(S.Info!N32,"[MM]")</f>
        <v>60</v>
      </c>
      <c r="G32" s="23">
        <v>0</v>
      </c>
      <c r="H32" s="23" t="str">
        <f>IF(TEXT(IF(S.Info!Q32="15세",3,0),"#,##")&lt;&gt;"",TEXT(IF(S.Info!Q32="15세",3,0),"#,##"),"0")</f>
        <v>0</v>
      </c>
      <c r="I32" s="24" t="s">
        <v>354</v>
      </c>
      <c r="J32" s="24" t="s">
        <v>354</v>
      </c>
      <c r="K32" s="24" t="s">
        <v>354</v>
      </c>
      <c r="L32" s="24" t="s">
        <v>354</v>
      </c>
      <c r="M32" s="24" t="s">
        <v>354</v>
      </c>
      <c r="N32" s="24" t="s">
        <v>102</v>
      </c>
    </row>
    <row r="33" spans="1:14" ht="11.25" customHeight="1" x14ac:dyDescent="0.3">
      <c r="A33" s="13" t="s">
        <v>271</v>
      </c>
      <c r="B33" s="23" t="str">
        <f>S.Info!O33&amp;" "&amp;S.Info!P33&amp;"회"</f>
        <v>특집 2026 지방선거_경기도의회 생생중계_상임위 14회</v>
      </c>
      <c r="C33" s="13"/>
      <c r="D33" s="13"/>
      <c r="E33" s="23" t="str">
        <f>TEXT(S.Info!K33,"YYYY-MM-DD HH:MM")</f>
        <v>2025-09-16 01:00</v>
      </c>
      <c r="F33" s="23" t="str">
        <f>TEXT(S.Info!N33,"[MM]")</f>
        <v>60</v>
      </c>
      <c r="G33" s="23">
        <v>0</v>
      </c>
      <c r="H33" s="23" t="str">
        <f>IF(TEXT(IF(S.Info!Q33="15세",3,0),"#,##")&lt;&gt;"",TEXT(IF(S.Info!Q33="15세",3,0),"#,##"),"0")</f>
        <v>0</v>
      </c>
      <c r="I33" s="24" t="s">
        <v>354</v>
      </c>
      <c r="J33" s="24" t="s">
        <v>354</v>
      </c>
      <c r="K33" s="24" t="s">
        <v>354</v>
      </c>
      <c r="L33" s="24" t="s">
        <v>354</v>
      </c>
      <c r="M33" s="24" t="s">
        <v>354</v>
      </c>
      <c r="N33" s="24" t="s">
        <v>405</v>
      </c>
    </row>
    <row r="34" spans="1:14" ht="11.25" customHeight="1" x14ac:dyDescent="0.3">
      <c r="A34" s="13" t="s">
        <v>271</v>
      </c>
      <c r="B34" s="23" t="str">
        <f>S.Info!O34&amp;" "&amp;S.Info!P34&amp;"회"</f>
        <v>휴먼다큐 시장사람들 16회</v>
      </c>
      <c r="C34" s="13"/>
      <c r="D34" s="13"/>
      <c r="E34" s="23" t="str">
        <f>TEXT(S.Info!K34,"YYYY-MM-DD HH:MM")</f>
        <v>2025-09-16 02:00</v>
      </c>
      <c r="F34" s="23" t="str">
        <f>TEXT(S.Info!N34,"[MM]")</f>
        <v>40</v>
      </c>
      <c r="G34" s="23">
        <v>0</v>
      </c>
      <c r="H34" s="23" t="str">
        <f>IF(TEXT(IF(S.Info!Q34="15세",3,0),"#,##")&lt;&gt;"",TEXT(IF(S.Info!Q34="15세",3,0),"#,##"),"0")</f>
        <v>0</v>
      </c>
      <c r="I34" s="24" t="s">
        <v>354</v>
      </c>
      <c r="J34" s="24" t="s">
        <v>354</v>
      </c>
      <c r="K34" s="24" t="s">
        <v>354</v>
      </c>
      <c r="L34" s="24" t="s">
        <v>354</v>
      </c>
      <c r="M34" s="24" t="s">
        <v>354</v>
      </c>
      <c r="N34" s="24" t="s">
        <v>111</v>
      </c>
    </row>
    <row r="35" spans="1:14" ht="11.25" customHeight="1" x14ac:dyDescent="0.3">
      <c r="A35" s="13" t="s">
        <v>271</v>
      </c>
      <c r="B35" s="23" t="str">
        <f>S.Info!O35&amp;" "&amp;S.Info!P35&amp;"회"</f>
        <v>최선규의 이제는 지방시대 시즌2 5회</v>
      </c>
      <c r="C35" s="13"/>
      <c r="D35" s="13"/>
      <c r="E35" s="23" t="str">
        <f>TEXT(S.Info!K35,"YYYY-MM-DD HH:MM")</f>
        <v>2025-09-16 02:40</v>
      </c>
      <c r="F35" s="23" t="str">
        <f>TEXT(S.Info!N35,"[MM]")</f>
        <v>60</v>
      </c>
      <c r="G35" s="23">
        <v>0</v>
      </c>
      <c r="H35" s="23" t="str">
        <f>IF(TEXT(IF(S.Info!Q35="15세",3,0),"#,##")&lt;&gt;"",TEXT(IF(S.Info!Q35="15세",3,0),"#,##"),"0")</f>
        <v>0</v>
      </c>
      <c r="I35" s="24" t="s">
        <v>354</v>
      </c>
      <c r="J35" s="24" t="s">
        <v>354</v>
      </c>
      <c r="K35" s="24" t="s">
        <v>354</v>
      </c>
      <c r="L35" s="24" t="s">
        <v>354</v>
      </c>
      <c r="M35" s="24" t="s">
        <v>354</v>
      </c>
      <c r="N35" s="24" t="s">
        <v>113</v>
      </c>
    </row>
    <row r="36" spans="1:14" ht="11.25" customHeight="1" x14ac:dyDescent="0.3">
      <c r="A36" s="13" t="s">
        <v>271</v>
      </c>
      <c r="B36" s="23" t="str">
        <f>S.Info!O36&amp;" "&amp;S.Info!P36&amp;"회"</f>
        <v>태군노래자랑 9회</v>
      </c>
      <c r="C36" s="13"/>
      <c r="D36" s="13"/>
      <c r="E36" s="23" t="str">
        <f>TEXT(S.Info!K36,"YYYY-MM-DD HH:MM")</f>
        <v>2025-09-16 03:40</v>
      </c>
      <c r="F36" s="23" t="str">
        <f>TEXT(S.Info!N36,"[MM]")</f>
        <v>60</v>
      </c>
      <c r="G36" s="23">
        <v>0</v>
      </c>
      <c r="H36" s="23" t="str">
        <f>IF(TEXT(IF(S.Info!Q36="15세",3,0),"#,##")&lt;&gt;"",TEXT(IF(S.Info!Q36="15세",3,0),"#,##"),"0")</f>
        <v>0</v>
      </c>
      <c r="I36" s="24" t="s">
        <v>354</v>
      </c>
      <c r="J36" s="24" t="s">
        <v>354</v>
      </c>
      <c r="K36" s="24" t="s">
        <v>354</v>
      </c>
      <c r="L36" s="24" t="s">
        <v>354</v>
      </c>
      <c r="M36" s="24" t="s">
        <v>354</v>
      </c>
      <c r="N36" s="24" t="s">
        <v>177</v>
      </c>
    </row>
    <row r="37" spans="1:14" ht="11.25" customHeight="1" x14ac:dyDescent="0.3">
      <c r="A37" s="13" t="s">
        <v>271</v>
      </c>
      <c r="B37" s="23" t="str">
        <f>S.Info!O37&amp;" "&amp;S.Info!P37&amp;"회"</f>
        <v>NEWS4 63회</v>
      </c>
      <c r="C37" s="13"/>
      <c r="D37" s="13"/>
      <c r="E37" s="23" t="str">
        <f>TEXT(S.Info!K37,"YYYY-MM-DD HH:MM")</f>
        <v>2025-09-16 04:40</v>
      </c>
      <c r="F37" s="23" t="str">
        <f>TEXT(S.Info!N37,"[MM]")</f>
        <v>30</v>
      </c>
      <c r="G37" s="23">
        <v>0</v>
      </c>
      <c r="H37" s="23" t="str">
        <f>IF(TEXT(IF(S.Info!Q37="15세",3,0),"#,##")&lt;&gt;"",TEXT(IF(S.Info!Q37="15세",3,0),"#,##"),"0")</f>
        <v>0</v>
      </c>
      <c r="I37" s="24" t="s">
        <v>354</v>
      </c>
      <c r="J37" s="24" t="s">
        <v>354</v>
      </c>
      <c r="K37" s="24" t="s">
        <v>354</v>
      </c>
      <c r="L37" s="24" t="s">
        <v>354</v>
      </c>
      <c r="M37" s="24" t="s">
        <v>354</v>
      </c>
      <c r="N37" s="24" t="s">
        <v>101</v>
      </c>
    </row>
    <row r="38" spans="1:14" ht="11.25" customHeight="1" x14ac:dyDescent="0.3">
      <c r="A38" s="13" t="s">
        <v>271</v>
      </c>
      <c r="B38" s="23" t="str">
        <f>S.Info!O38&amp;" "&amp;S.Info!P38&amp;"회"</f>
        <v>내삶을바꾸는정책 2190회</v>
      </c>
      <c r="C38" s="13"/>
      <c r="D38" s="13"/>
      <c r="E38" s="23" t="str">
        <f>TEXT(S.Info!K38,"YYYY-MM-DD HH:MM")</f>
        <v>2025-09-16 05:10</v>
      </c>
      <c r="F38" s="23" t="str">
        <f>TEXT(S.Info!N38,"[MM]")</f>
        <v>60</v>
      </c>
      <c r="G38" s="23">
        <v>0</v>
      </c>
      <c r="H38" s="23" t="str">
        <f>IF(TEXT(IF(S.Info!Q38="15세",3,0),"#,##")&lt;&gt;"",TEXT(IF(S.Info!Q38="15세",3,0),"#,##"),"0")</f>
        <v>0</v>
      </c>
      <c r="I38" s="24" t="s">
        <v>354</v>
      </c>
      <c r="J38" s="24" t="s">
        <v>354</v>
      </c>
      <c r="K38" s="24" t="s">
        <v>354</v>
      </c>
      <c r="L38" s="24" t="s">
        <v>354</v>
      </c>
      <c r="M38" s="24" t="s">
        <v>354</v>
      </c>
      <c r="N38" s="24" t="s">
        <v>107</v>
      </c>
    </row>
    <row r="39" spans="1:14" ht="11.25" customHeight="1" x14ac:dyDescent="0.3">
      <c r="A39" s="13" t="s">
        <v>271</v>
      </c>
      <c r="B39" s="23" t="str">
        <f>S.Info!O39&amp;" "&amp;S.Info!P39&amp;"회"</f>
        <v>도시락 59회</v>
      </c>
      <c r="C39" s="13"/>
      <c r="D39" s="13"/>
      <c r="E39" s="23" t="str">
        <f>TEXT(S.Info!K39,"YYYY-MM-DD HH:MM")</f>
        <v>2025-09-16 06:10</v>
      </c>
      <c r="F39" s="23" t="str">
        <f>TEXT(S.Info!N39,"[MM]")</f>
        <v>50</v>
      </c>
      <c r="G39" s="23">
        <v>0</v>
      </c>
      <c r="H39" s="23" t="str">
        <f>IF(TEXT(IF(S.Info!Q39="15세",3,0),"#,##")&lt;&gt;"",TEXT(IF(S.Info!Q39="15세",3,0),"#,##"),"0")</f>
        <v>0</v>
      </c>
      <c r="I39" s="24" t="s">
        <v>354</v>
      </c>
      <c r="J39" s="24" t="s">
        <v>354</v>
      </c>
      <c r="K39" s="24" t="s">
        <v>354</v>
      </c>
      <c r="L39" s="24" t="s">
        <v>354</v>
      </c>
      <c r="M39" s="24" t="s">
        <v>354</v>
      </c>
      <c r="N39" s="24" t="s">
        <v>406</v>
      </c>
    </row>
    <row r="40" spans="1:14" ht="11.25" customHeight="1" x14ac:dyDescent="0.3">
      <c r="A40" s="13" t="s">
        <v>271</v>
      </c>
      <c r="B40" s="23" t="str">
        <f>S.Info!O40&amp;" "&amp;S.Info!P40&amp;"회"</f>
        <v>최선규의 이제는 지방시대 시즌2 23회</v>
      </c>
      <c r="C40" s="13"/>
      <c r="D40" s="13"/>
      <c r="E40" s="23" t="str">
        <f>TEXT(S.Info!K40,"YYYY-MM-DD HH:MM")</f>
        <v>2025-09-16 07:00</v>
      </c>
      <c r="F40" s="23" t="str">
        <f>TEXT(S.Info!N40,"[MM]")</f>
        <v>60</v>
      </c>
      <c r="G40" s="23">
        <v>0</v>
      </c>
      <c r="H40" s="23" t="str">
        <f>IF(TEXT(IF(S.Info!Q40="15세",3,0),"#,##")&lt;&gt;"",TEXT(IF(S.Info!Q40="15세",3,0),"#,##"),"0")</f>
        <v>0</v>
      </c>
      <c r="I40" s="24" t="s">
        <v>354</v>
      </c>
      <c r="J40" s="24" t="s">
        <v>354</v>
      </c>
      <c r="K40" s="24" t="s">
        <v>354</v>
      </c>
      <c r="L40" s="24" t="s">
        <v>354</v>
      </c>
      <c r="M40" s="24" t="s">
        <v>354</v>
      </c>
      <c r="N40" s="24" t="s">
        <v>411</v>
      </c>
    </row>
    <row r="41" spans="1:14" ht="11.25" customHeight="1" x14ac:dyDescent="0.3">
      <c r="A41" s="13" t="s">
        <v>271</v>
      </c>
      <c r="B41" s="23" t="str">
        <f>S.Info!O41&amp;" "&amp;S.Info!P41&amp;"회"</f>
        <v>NEWSPLUS 63회</v>
      </c>
      <c r="C41" s="13"/>
      <c r="D41" s="13"/>
      <c r="E41" s="23" t="str">
        <f>TEXT(S.Info!K41,"YYYY-MM-DD HH:MM")</f>
        <v>2025-09-16 08:00</v>
      </c>
      <c r="F41" s="23" t="str">
        <f>TEXT(S.Info!N41,"[MM]")</f>
        <v>30</v>
      </c>
      <c r="G41" s="23">
        <v>0</v>
      </c>
      <c r="H41" s="23" t="str">
        <f>IF(TEXT(IF(S.Info!Q41="15세",3,0),"#,##")&lt;&gt;"",TEXT(IF(S.Info!Q41="15세",3,0),"#,##"),"0")</f>
        <v>0</v>
      </c>
      <c r="I41" s="24" t="s">
        <v>354</v>
      </c>
      <c r="J41" s="24" t="s">
        <v>354</v>
      </c>
      <c r="K41" s="24" t="s">
        <v>354</v>
      </c>
      <c r="L41" s="24" t="s">
        <v>354</v>
      </c>
      <c r="M41" s="24" t="s">
        <v>354</v>
      </c>
      <c r="N41" s="24" t="s">
        <v>412</v>
      </c>
    </row>
    <row r="42" spans="1:14" ht="11.25" customHeight="1" x14ac:dyDescent="0.3">
      <c r="A42" s="13" t="s">
        <v>271</v>
      </c>
      <c r="B42" s="23" t="str">
        <f>S.Info!O42&amp;" "&amp;S.Info!P42&amp;"회"</f>
        <v>남도스럽게 4회</v>
      </c>
      <c r="C42" s="13"/>
      <c r="D42" s="13"/>
      <c r="E42" s="23" t="str">
        <f>TEXT(S.Info!K42,"YYYY-MM-DD HH:MM")</f>
        <v>2025-09-16 08:30</v>
      </c>
      <c r="F42" s="23" t="str">
        <f>TEXT(S.Info!N42,"[MM]")</f>
        <v>50</v>
      </c>
      <c r="G42" s="23">
        <v>0</v>
      </c>
      <c r="H42" s="23" t="str">
        <f>IF(TEXT(IF(S.Info!Q42="15세",3,0),"#,##")&lt;&gt;"",TEXT(IF(S.Info!Q42="15세",3,0),"#,##"),"0")</f>
        <v>0</v>
      </c>
      <c r="I42" s="24" t="s">
        <v>354</v>
      </c>
      <c r="J42" s="24" t="s">
        <v>354</v>
      </c>
      <c r="K42" s="24" t="s">
        <v>354</v>
      </c>
      <c r="L42" s="24" t="s">
        <v>354</v>
      </c>
      <c r="M42" s="24" t="s">
        <v>354</v>
      </c>
      <c r="N42" s="24" t="s">
        <v>407</v>
      </c>
    </row>
    <row r="43" spans="1:14" ht="11.25" customHeight="1" x14ac:dyDescent="0.3">
      <c r="A43" s="13" t="s">
        <v>271</v>
      </c>
      <c r="B43" s="23" t="str">
        <f>S.Info!O43&amp;" "&amp;S.Info!P43&amp;"회"</f>
        <v>눈에 띄는 그녀들 시즌3 8회</v>
      </c>
      <c r="C43" s="13"/>
      <c r="D43" s="13"/>
      <c r="E43" s="23" t="str">
        <f>TEXT(S.Info!K43,"YYYY-MM-DD HH:MM")</f>
        <v>2025-09-16 09:20</v>
      </c>
      <c r="F43" s="23" t="str">
        <f>TEXT(S.Info!N43,"[MM]")</f>
        <v>40</v>
      </c>
      <c r="G43" s="23">
        <v>0</v>
      </c>
      <c r="H43" s="23" t="str">
        <f>IF(TEXT(IF(S.Info!Q43="15세",3,0),"#,##")&lt;&gt;"",TEXT(IF(S.Info!Q43="15세",3,0),"#,##"),"0")</f>
        <v>0</v>
      </c>
      <c r="I43" s="24" t="s">
        <v>354</v>
      </c>
      <c r="J43" s="24" t="s">
        <v>354</v>
      </c>
      <c r="K43" s="24" t="s">
        <v>354</v>
      </c>
      <c r="L43" s="24" t="s">
        <v>354</v>
      </c>
      <c r="M43" s="24" t="s">
        <v>354</v>
      </c>
      <c r="N43" s="24" t="s">
        <v>416</v>
      </c>
    </row>
    <row r="44" spans="1:14" ht="11.25" customHeight="1" x14ac:dyDescent="0.3">
      <c r="A44" s="13" t="s">
        <v>271</v>
      </c>
      <c r="B44" s="23" t="str">
        <f>S.Info!O44&amp;" "&amp;S.Info!P44&amp;"회"</f>
        <v>특집 2026 지방선거_서울특별시의회 생생중계_본회의 16회</v>
      </c>
      <c r="C44" s="13"/>
      <c r="D44" s="13"/>
      <c r="E44" s="23" t="str">
        <f>TEXT(S.Info!K44,"YYYY-MM-DD HH:MM")</f>
        <v>2025-09-16 10:00</v>
      </c>
      <c r="F44" s="23" t="str">
        <f>TEXT(S.Info!N44,"[MM]")</f>
        <v>60</v>
      </c>
      <c r="G44" s="23">
        <v>0</v>
      </c>
      <c r="H44" s="23" t="str">
        <f>IF(TEXT(IF(S.Info!Q44="15세",3,0),"#,##")&lt;&gt;"",TEXT(IF(S.Info!Q44="15세",3,0),"#,##"),"0")</f>
        <v>0</v>
      </c>
      <c r="I44" s="24" t="s">
        <v>354</v>
      </c>
      <c r="J44" s="24" t="s">
        <v>354</v>
      </c>
      <c r="K44" s="24" t="s">
        <v>354</v>
      </c>
      <c r="L44" s="24" t="s">
        <v>354</v>
      </c>
      <c r="M44" s="24" t="s">
        <v>354</v>
      </c>
      <c r="N44" s="24" t="s">
        <v>410</v>
      </c>
    </row>
    <row r="45" spans="1:14" ht="11.25" customHeight="1" x14ac:dyDescent="0.3">
      <c r="A45" s="13" t="s">
        <v>271</v>
      </c>
      <c r="B45" s="23" t="str">
        <f>S.Info!O45&amp;" "&amp;S.Info!P45&amp;"회"</f>
        <v>특집 2026 지방선거_경기도의회 생생중계_본회의 15회</v>
      </c>
      <c r="C45" s="13"/>
      <c r="D45" s="13"/>
      <c r="E45" s="23" t="str">
        <f>TEXT(S.Info!K45,"YYYY-MM-DD HH:MM")</f>
        <v>2025-09-16 11:00</v>
      </c>
      <c r="F45" s="23" t="str">
        <f>TEXT(S.Info!N45,"[MM]")</f>
        <v>60</v>
      </c>
      <c r="G45" s="23">
        <v>0</v>
      </c>
      <c r="H45" s="23" t="str">
        <f>IF(TEXT(IF(S.Info!Q45="15세",3,0),"#,##")&lt;&gt;"",TEXT(IF(S.Info!Q45="15세",3,0),"#,##"),"0")</f>
        <v>0</v>
      </c>
      <c r="I45" s="24" t="s">
        <v>354</v>
      </c>
      <c r="J45" s="24" t="s">
        <v>354</v>
      </c>
      <c r="K45" s="24" t="s">
        <v>354</v>
      </c>
      <c r="L45" s="24" t="s">
        <v>354</v>
      </c>
      <c r="M45" s="24" t="s">
        <v>354</v>
      </c>
      <c r="N45" s="24" t="s">
        <v>413</v>
      </c>
    </row>
    <row r="46" spans="1:14" ht="11.25" customHeight="1" x14ac:dyDescent="0.3">
      <c r="A46" s="13" t="s">
        <v>271</v>
      </c>
      <c r="B46" s="23" t="str">
        <f>S.Info!O46&amp;" "&amp;S.Info!P46&amp;"회"</f>
        <v>행복무지개 32회</v>
      </c>
      <c r="C46" s="13"/>
      <c r="D46" s="13"/>
      <c r="E46" s="23" t="str">
        <f>TEXT(S.Info!K46,"YYYY-MM-DD HH:MM")</f>
        <v>2025-09-16 12:00</v>
      </c>
      <c r="F46" s="23" t="str">
        <f>TEXT(S.Info!N46,"[MM]")</f>
        <v>60</v>
      </c>
      <c r="G46" s="23">
        <v>0</v>
      </c>
      <c r="H46" s="23" t="str">
        <f>IF(TEXT(IF(S.Info!Q46="15세",3,0),"#,##")&lt;&gt;"",TEXT(IF(S.Info!Q46="15세",3,0),"#,##"),"0")</f>
        <v>0</v>
      </c>
      <c r="I46" s="24" t="s">
        <v>354</v>
      </c>
      <c r="J46" s="24" t="s">
        <v>354</v>
      </c>
      <c r="K46" s="24" t="s">
        <v>354</v>
      </c>
      <c r="L46" s="24" t="s">
        <v>354</v>
      </c>
      <c r="M46" s="24" t="s">
        <v>354</v>
      </c>
      <c r="N46" s="24" t="s">
        <v>414</v>
      </c>
    </row>
    <row r="47" spans="1:14" ht="11.25" customHeight="1" x14ac:dyDescent="0.3">
      <c r="A47" s="13" t="s">
        <v>271</v>
      </c>
      <c r="B47" s="23" t="str">
        <f>S.Info!O47&amp;" "&amp;S.Info!P47&amp;"회"</f>
        <v>NEWSJ 66회</v>
      </c>
      <c r="C47" s="13"/>
      <c r="D47" s="13"/>
      <c r="E47" s="23" t="str">
        <f>TEXT(S.Info!K47,"YYYY-MM-DD HH:MM")</f>
        <v>2025-09-16 13:00</v>
      </c>
      <c r="F47" s="23" t="str">
        <f>TEXT(S.Info!N47,"[MM]")</f>
        <v>30</v>
      </c>
      <c r="G47" s="23">
        <v>0</v>
      </c>
      <c r="H47" s="23" t="str">
        <f>IF(TEXT(IF(S.Info!Q47="15세",3,0),"#,##")&lt;&gt;"",TEXT(IF(S.Info!Q47="15세",3,0),"#,##"),"0")</f>
        <v>0</v>
      </c>
      <c r="I47" s="24" t="s">
        <v>354</v>
      </c>
      <c r="J47" s="24" t="s">
        <v>354</v>
      </c>
      <c r="K47" s="24" t="s">
        <v>354</v>
      </c>
      <c r="L47" s="24" t="s">
        <v>354</v>
      </c>
      <c r="M47" s="24" t="s">
        <v>354</v>
      </c>
      <c r="N47" s="24" t="s">
        <v>415</v>
      </c>
    </row>
    <row r="48" spans="1:14" ht="11.25" customHeight="1" x14ac:dyDescent="0.3">
      <c r="A48" s="13" t="s">
        <v>271</v>
      </c>
      <c r="B48" s="23" t="str">
        <f>S.Info!O48&amp;" "&amp;S.Info!P48&amp;"회"</f>
        <v>더 人터뷰 52회</v>
      </c>
      <c r="C48" s="13"/>
      <c r="D48" s="13"/>
      <c r="E48" s="23" t="str">
        <f>TEXT(S.Info!K48,"YYYY-MM-DD HH:MM")</f>
        <v>2025-09-16 13:30</v>
      </c>
      <c r="F48" s="23" t="str">
        <f>TEXT(S.Info!N48,"[MM]")</f>
        <v>30</v>
      </c>
      <c r="G48" s="23">
        <v>0</v>
      </c>
      <c r="H48" s="23" t="str">
        <f>IF(TEXT(IF(S.Info!Q48="15세",3,0),"#,##")&lt;&gt;"",TEXT(IF(S.Info!Q48="15세",3,0),"#,##"),"0")</f>
        <v>0</v>
      </c>
      <c r="I48" s="24" t="s">
        <v>354</v>
      </c>
      <c r="J48" s="24" t="s">
        <v>354</v>
      </c>
      <c r="K48" s="24" t="s">
        <v>354</v>
      </c>
      <c r="L48" s="24" t="s">
        <v>354</v>
      </c>
      <c r="M48" s="24" t="s">
        <v>354</v>
      </c>
      <c r="N48" s="24" t="s">
        <v>105</v>
      </c>
    </row>
    <row r="49" spans="1:14" ht="11.25" customHeight="1" x14ac:dyDescent="0.3">
      <c r="A49" s="13" t="s">
        <v>271</v>
      </c>
      <c r="B49" s="23" t="str">
        <f>S.Info!O49&amp;" "&amp;S.Info!P49&amp;"회"</f>
        <v>특집 2026 지방선거_서울특별시의회 생생중계_상임위 16회</v>
      </c>
      <c r="C49" s="13"/>
      <c r="D49" s="13"/>
      <c r="E49" s="23" t="str">
        <f>TEXT(S.Info!K49,"YYYY-MM-DD HH:MM")</f>
        <v>2025-09-16 14:00</v>
      </c>
      <c r="F49" s="23" t="str">
        <f>TEXT(S.Info!N49,"[MM]")</f>
        <v>60</v>
      </c>
      <c r="G49" s="23">
        <v>0</v>
      </c>
      <c r="H49" s="23" t="str">
        <f>IF(TEXT(IF(S.Info!Q49="15세",3,0),"#,##")&lt;&gt;"",TEXT(IF(S.Info!Q49="15세",3,0),"#,##"),"0")</f>
        <v>0</v>
      </c>
      <c r="I49" s="24" t="s">
        <v>354</v>
      </c>
      <c r="J49" s="24" t="s">
        <v>354</v>
      </c>
      <c r="K49" s="24" t="s">
        <v>354</v>
      </c>
      <c r="L49" s="24" t="s">
        <v>354</v>
      </c>
      <c r="M49" s="24" t="s">
        <v>354</v>
      </c>
      <c r="N49" s="24" t="s">
        <v>100</v>
      </c>
    </row>
    <row r="50" spans="1:14" ht="11.25" customHeight="1" x14ac:dyDescent="0.3">
      <c r="A50" s="13" t="s">
        <v>271</v>
      </c>
      <c r="B50" s="23" t="str">
        <f>S.Info!O50&amp;" "&amp;S.Info!P50&amp;"회"</f>
        <v>행복무지개 31회</v>
      </c>
      <c r="C50" s="13"/>
      <c r="D50" s="13"/>
      <c r="E50" s="23" t="str">
        <f>TEXT(S.Info!K50,"YYYY-MM-DD HH:MM")</f>
        <v>2025-09-16 15:00</v>
      </c>
      <c r="F50" s="23" t="str">
        <f>TEXT(S.Info!N50,"[MM]")</f>
        <v>60</v>
      </c>
      <c r="G50" s="23">
        <v>0</v>
      </c>
      <c r="H50" s="23" t="str">
        <f>IF(TEXT(IF(S.Info!Q50="15세",3,0),"#,##")&lt;&gt;"",TEXT(IF(S.Info!Q50="15세",3,0),"#,##"),"0")</f>
        <v>0</v>
      </c>
      <c r="I50" s="24" t="s">
        <v>354</v>
      </c>
      <c r="J50" s="24" t="s">
        <v>354</v>
      </c>
      <c r="K50" s="24" t="s">
        <v>354</v>
      </c>
      <c r="L50" s="24" t="s">
        <v>354</v>
      </c>
      <c r="M50" s="24" t="s">
        <v>354</v>
      </c>
      <c r="N50" s="24" t="s">
        <v>176</v>
      </c>
    </row>
    <row r="51" spans="1:14" ht="11.25" customHeight="1" x14ac:dyDescent="0.3">
      <c r="A51" s="13" t="s">
        <v>271</v>
      </c>
      <c r="B51" s="23" t="str">
        <f>S.Info!O51&amp;" "&amp;S.Info!P51&amp;"회"</f>
        <v>NEWS4 63회</v>
      </c>
      <c r="C51" s="13"/>
      <c r="D51" s="13"/>
      <c r="E51" s="23" t="str">
        <f>TEXT(S.Info!K51,"YYYY-MM-DD HH:MM")</f>
        <v>2025-09-16 16:00</v>
      </c>
      <c r="F51" s="23" t="str">
        <f>TEXT(S.Info!N51,"[MM]")</f>
        <v>30</v>
      </c>
      <c r="G51" s="23">
        <v>0</v>
      </c>
      <c r="H51" s="23" t="str">
        <f>IF(TEXT(IF(S.Info!Q51="15세",3,0),"#,##")&lt;&gt;"",TEXT(IF(S.Info!Q51="15세",3,0),"#,##"),"0")</f>
        <v>0</v>
      </c>
      <c r="I51" s="24" t="s">
        <v>354</v>
      </c>
      <c r="J51" s="24" t="s">
        <v>354</v>
      </c>
      <c r="K51" s="24" t="s">
        <v>354</v>
      </c>
      <c r="L51" s="24" t="s">
        <v>354</v>
      </c>
      <c r="M51" s="24" t="s">
        <v>354</v>
      </c>
      <c r="N51" s="24" t="s">
        <v>7</v>
      </c>
    </row>
    <row r="52" spans="1:14" ht="11.25" customHeight="1" x14ac:dyDescent="0.3">
      <c r="A52" s="13" t="s">
        <v>271</v>
      </c>
      <c r="B52" s="23" t="str">
        <f>S.Info!O52&amp;" "&amp;S.Info!P52&amp;"회"</f>
        <v>호남, 호남人 131회</v>
      </c>
      <c r="C52" s="13"/>
      <c r="D52" s="13"/>
      <c r="E52" s="23" t="str">
        <f>TEXT(S.Info!K52,"YYYY-MM-DD HH:MM")</f>
        <v>2025-09-16 16:30</v>
      </c>
      <c r="F52" s="23" t="str">
        <f>TEXT(S.Info!N52,"[MM]")</f>
        <v>30</v>
      </c>
      <c r="G52" s="23">
        <v>0</v>
      </c>
      <c r="H52" s="23" t="str">
        <f>IF(TEXT(IF(S.Info!Q52="15세",3,0),"#,##")&lt;&gt;"",TEXT(IF(S.Info!Q52="15세",3,0),"#,##"),"0")</f>
        <v>0</v>
      </c>
      <c r="I52" s="24" t="s">
        <v>354</v>
      </c>
      <c r="J52" s="24" t="s">
        <v>354</v>
      </c>
      <c r="K52" s="24" t="s">
        <v>354</v>
      </c>
      <c r="L52" s="24" t="s">
        <v>354</v>
      </c>
      <c r="M52" s="24" t="s">
        <v>354</v>
      </c>
      <c r="N52" s="24" t="s">
        <v>6</v>
      </c>
    </row>
    <row r="53" spans="1:14" ht="11.25" customHeight="1" x14ac:dyDescent="0.3">
      <c r="A53" s="13" t="s">
        <v>271</v>
      </c>
      <c r="B53" s="23" t="str">
        <f>S.Info!O53&amp;" "&amp;S.Info!P53&amp;"회"</f>
        <v>특집 2026 지방선거_경기도의회 생생중계_상임위 15회</v>
      </c>
      <c r="C53" s="13"/>
      <c r="D53" s="13"/>
      <c r="E53" s="23" t="str">
        <f>TEXT(S.Info!K53,"YYYY-MM-DD HH:MM")</f>
        <v>2025-09-16 17:00</v>
      </c>
      <c r="F53" s="23" t="str">
        <f>TEXT(S.Info!N53,"[MM]")</f>
        <v>60</v>
      </c>
      <c r="G53" s="23">
        <v>0</v>
      </c>
      <c r="H53" s="23" t="str">
        <f>IF(TEXT(IF(S.Info!Q53="15세",3,0),"#,##")&lt;&gt;"",TEXT(IF(S.Info!Q53="15세",3,0),"#,##"),"0")</f>
        <v>0</v>
      </c>
      <c r="I53" s="24" t="s">
        <v>354</v>
      </c>
      <c r="J53" s="24" t="s">
        <v>354</v>
      </c>
      <c r="K53" s="24" t="s">
        <v>354</v>
      </c>
      <c r="L53" s="24" t="s">
        <v>354</v>
      </c>
      <c r="M53" s="24" t="s">
        <v>354</v>
      </c>
      <c r="N53" s="24" t="s">
        <v>11</v>
      </c>
    </row>
    <row r="54" spans="1:14" ht="11.25" customHeight="1" x14ac:dyDescent="0.3">
      <c r="A54" s="13" t="s">
        <v>271</v>
      </c>
      <c r="B54" s="23" t="str">
        <f>S.Info!O54&amp;" "&amp;S.Info!P54&amp;"회"</f>
        <v>눈에 띄는 그녀들 시즌5 6회</v>
      </c>
      <c r="C54" s="13"/>
      <c r="D54" s="13"/>
      <c r="E54" s="23" t="str">
        <f>TEXT(S.Info!K54,"YYYY-MM-DD HH:MM")</f>
        <v>2025-09-16 18:00</v>
      </c>
      <c r="F54" s="23" t="str">
        <f>TEXT(S.Info!N54,"[MM]")</f>
        <v>30</v>
      </c>
      <c r="G54" s="23">
        <v>0</v>
      </c>
      <c r="H54" s="23" t="str">
        <f>IF(TEXT(IF(S.Info!Q54="15세",3,0),"#,##")&lt;&gt;"",TEXT(IF(S.Info!Q54="15세",3,0),"#,##"),"0")</f>
        <v>0</v>
      </c>
      <c r="I54" s="24" t="s">
        <v>354</v>
      </c>
      <c r="J54" s="24" t="s">
        <v>354</v>
      </c>
      <c r="K54" s="24" t="s">
        <v>354</v>
      </c>
      <c r="L54" s="24" t="s">
        <v>354</v>
      </c>
      <c r="M54" s="24" t="s">
        <v>354</v>
      </c>
      <c r="N54" s="24" t="s">
        <v>181</v>
      </c>
    </row>
    <row r="55" spans="1:14" ht="11.25" customHeight="1" x14ac:dyDescent="0.3">
      <c r="A55" s="13" t="s">
        <v>271</v>
      </c>
      <c r="B55" s="23" t="str">
        <f>S.Info!O55&amp;" "&amp;S.Info!P55&amp;"회"</f>
        <v>낭만살롱 6회</v>
      </c>
      <c r="C55" s="13"/>
      <c r="D55" s="13"/>
      <c r="E55" s="23" t="str">
        <f>TEXT(S.Info!K55,"YYYY-MM-DD HH:MM")</f>
        <v>2025-09-16 18:30</v>
      </c>
      <c r="F55" s="23" t="str">
        <f>TEXT(S.Info!N55,"[MM]")</f>
        <v>30</v>
      </c>
      <c r="G55" s="23">
        <v>0</v>
      </c>
      <c r="H55" s="23" t="str">
        <f>IF(TEXT(IF(S.Info!Q55="15세",3,0),"#,##")&lt;&gt;"",TEXT(IF(S.Info!Q55="15세",3,0),"#,##"),"0")</f>
        <v>0</v>
      </c>
      <c r="I55" s="24" t="s">
        <v>354</v>
      </c>
      <c r="J55" s="24" t="s">
        <v>354</v>
      </c>
      <c r="K55" s="24" t="s">
        <v>354</v>
      </c>
      <c r="L55" s="24" t="s">
        <v>354</v>
      </c>
      <c r="M55" s="24" t="s">
        <v>354</v>
      </c>
      <c r="N55" s="24" t="s">
        <v>179</v>
      </c>
    </row>
    <row r="56" spans="1:14" ht="11.25" customHeight="1" x14ac:dyDescent="0.3">
      <c r="A56" s="13" t="s">
        <v>271</v>
      </c>
      <c r="B56" s="23" t="str">
        <f>S.Info!O56&amp;" "&amp;S.Info!P56&amp;"회"</f>
        <v>더 人터뷰 2회</v>
      </c>
      <c r="C56" s="13"/>
      <c r="D56" s="13"/>
      <c r="E56" s="23" t="str">
        <f>TEXT(S.Info!K56,"YYYY-MM-DD HH:MM")</f>
        <v>2025-09-16 19:00</v>
      </c>
      <c r="F56" s="23" t="str">
        <f>TEXT(S.Info!N56,"[MM]")</f>
        <v>60</v>
      </c>
      <c r="G56" s="23">
        <v>0</v>
      </c>
      <c r="H56" s="23" t="str">
        <f>IF(TEXT(IF(S.Info!Q56="15세",3,0),"#,##")&lt;&gt;"",TEXT(IF(S.Info!Q56="15세",3,0),"#,##"),"0")</f>
        <v>0</v>
      </c>
      <c r="I56" s="24" t="s">
        <v>354</v>
      </c>
      <c r="J56" s="24" t="s">
        <v>354</v>
      </c>
      <c r="K56" s="24" t="s">
        <v>354</v>
      </c>
      <c r="L56" s="24" t="s">
        <v>354</v>
      </c>
      <c r="M56" s="24" t="s">
        <v>354</v>
      </c>
      <c r="N56" s="24" t="s">
        <v>1</v>
      </c>
    </row>
    <row r="57" spans="1:14" ht="11.25" customHeight="1" x14ac:dyDescent="0.3">
      <c r="A57" s="13" t="s">
        <v>271</v>
      </c>
      <c r="B57" s="23" t="str">
        <f>S.Info!O57&amp;" "&amp;S.Info!P57&amp;"회"</f>
        <v>NEWSON 66회</v>
      </c>
      <c r="C57" s="13"/>
      <c r="D57" s="13"/>
      <c r="E57" s="23" t="str">
        <f>TEXT(S.Info!K57,"YYYY-MM-DD HH:MM")</f>
        <v>2025-09-16 20:00</v>
      </c>
      <c r="F57" s="23" t="str">
        <f>TEXT(S.Info!N57,"[MM]")</f>
        <v>30</v>
      </c>
      <c r="G57" s="23">
        <v>0</v>
      </c>
      <c r="H57" s="23" t="str">
        <f>IF(TEXT(IF(S.Info!Q57="15세",3,0),"#,##")&lt;&gt;"",TEXT(IF(S.Info!Q57="15세",3,0),"#,##"),"0")</f>
        <v>0</v>
      </c>
      <c r="I57" s="24" t="s">
        <v>354</v>
      </c>
      <c r="J57" s="24" t="s">
        <v>354</v>
      </c>
      <c r="K57" s="24" t="s">
        <v>354</v>
      </c>
      <c r="L57" s="24" t="s">
        <v>354</v>
      </c>
      <c r="M57" s="24" t="s">
        <v>354</v>
      </c>
      <c r="N57" s="24" t="s">
        <v>5</v>
      </c>
    </row>
    <row r="58" spans="1:14" ht="11.25" customHeight="1" x14ac:dyDescent="0.3">
      <c r="A58" s="13" t="s">
        <v>271</v>
      </c>
      <c r="B58" s="23" t="str">
        <f>S.Info!O58&amp;" "&amp;S.Info!P58&amp;"회"</f>
        <v>우리동네 너튜브 5회</v>
      </c>
      <c r="C58" s="13"/>
      <c r="D58" s="13"/>
      <c r="E58" s="23" t="str">
        <f>TEXT(S.Info!K58,"YYYY-MM-DD HH:MM")</f>
        <v>2025-09-16 20:30</v>
      </c>
      <c r="F58" s="23" t="str">
        <f>TEXT(S.Info!N58,"[MM]")</f>
        <v>50</v>
      </c>
      <c r="G58" s="23">
        <v>0</v>
      </c>
      <c r="H58" s="23" t="str">
        <f>IF(TEXT(IF(S.Info!Q58="15세",3,0),"#,##")&lt;&gt;"",TEXT(IF(S.Info!Q58="15세",3,0),"#,##"),"0")</f>
        <v>0</v>
      </c>
      <c r="I58" s="24" t="s">
        <v>354</v>
      </c>
      <c r="J58" s="24" t="s">
        <v>354</v>
      </c>
      <c r="K58" s="24" t="s">
        <v>354</v>
      </c>
      <c r="L58" s="24" t="s">
        <v>354</v>
      </c>
      <c r="M58" s="24" t="s">
        <v>354</v>
      </c>
      <c r="N58" s="24" t="s">
        <v>178</v>
      </c>
    </row>
    <row r="59" spans="1:14" ht="11.25" customHeight="1" x14ac:dyDescent="0.3">
      <c r="A59" s="13" t="s">
        <v>271</v>
      </c>
      <c r="B59" s="23" t="str">
        <f>S.Info!O59&amp;" "&amp;S.Info!P59&amp;"회"</f>
        <v>낭만살롱 2회</v>
      </c>
      <c r="C59" s="13"/>
      <c r="D59" s="13"/>
      <c r="E59" s="23" t="str">
        <f>TEXT(S.Info!K59,"YYYY-MM-DD HH:MM")</f>
        <v>2025-09-16 21:20</v>
      </c>
      <c r="F59" s="23" t="str">
        <f>TEXT(S.Info!N59,"[MM]")</f>
        <v>40</v>
      </c>
      <c r="G59" s="23">
        <v>0</v>
      </c>
      <c r="H59" s="23" t="str">
        <f>IF(TEXT(IF(S.Info!Q59="15세",3,0),"#,##")&lt;&gt;"",TEXT(IF(S.Info!Q59="15세",3,0),"#,##"),"0")</f>
        <v>0</v>
      </c>
      <c r="I59" s="24" t="s">
        <v>354</v>
      </c>
      <c r="J59" s="24" t="s">
        <v>354</v>
      </c>
      <c r="K59" s="24" t="s">
        <v>354</v>
      </c>
      <c r="L59" s="24" t="s">
        <v>354</v>
      </c>
      <c r="M59" s="24" t="s">
        <v>354</v>
      </c>
      <c r="N59" s="24" t="s">
        <v>12</v>
      </c>
    </row>
    <row r="60" spans="1:14" ht="11.25" customHeight="1" x14ac:dyDescent="0.3">
      <c r="A60" s="13" t="s">
        <v>271</v>
      </c>
      <c r="B60" s="23" t="str">
        <f>S.Info!O60&amp;" "&amp;S.Info!P60&amp;"회"</f>
        <v>특집 2026 지방선거_서울특별시의회 생생중계_본회의 16회</v>
      </c>
      <c r="C60" s="13"/>
      <c r="D60" s="13"/>
      <c r="E60" s="23" t="str">
        <f>TEXT(S.Info!K60,"YYYY-MM-DD HH:MM")</f>
        <v>2025-09-16 22:00</v>
      </c>
      <c r="F60" s="23" t="str">
        <f>TEXT(S.Info!N60,"[MM]")</f>
        <v>60</v>
      </c>
      <c r="G60" s="23">
        <v>0</v>
      </c>
      <c r="H60" s="23" t="str">
        <f>IF(TEXT(IF(S.Info!Q60="15세",3,0),"#,##")&lt;&gt;"",TEXT(IF(S.Info!Q60="15세",3,0),"#,##"),"0")</f>
        <v>0</v>
      </c>
      <c r="I60" s="24" t="s">
        <v>354</v>
      </c>
      <c r="J60" s="24" t="s">
        <v>354</v>
      </c>
      <c r="K60" s="24" t="s">
        <v>354</v>
      </c>
      <c r="L60" s="24" t="s">
        <v>354</v>
      </c>
      <c r="M60" s="24" t="s">
        <v>354</v>
      </c>
      <c r="N60" s="24" t="s">
        <v>4</v>
      </c>
    </row>
    <row r="61" spans="1:14" ht="11.25" customHeight="1" x14ac:dyDescent="0.3">
      <c r="A61" s="13" t="s">
        <v>271</v>
      </c>
      <c r="B61" s="23" t="str">
        <f>S.Info!O61&amp;" "&amp;S.Info!P61&amp;"회"</f>
        <v>특집 2026 지방선거_서울특별시의회 생생중계_상임위 16회</v>
      </c>
      <c r="C61" s="13"/>
      <c r="D61" s="13"/>
      <c r="E61" s="23" t="str">
        <f>TEXT(S.Info!K61,"YYYY-MM-DD HH:MM")</f>
        <v>2025-09-16 23:00</v>
      </c>
      <c r="F61" s="23" t="str">
        <f>TEXT(S.Info!N61,"[MM]")</f>
        <v>60</v>
      </c>
      <c r="G61" s="23">
        <v>0</v>
      </c>
      <c r="H61" s="23" t="str">
        <f>IF(TEXT(IF(S.Info!Q61="15세",3,0),"#,##")&lt;&gt;"",TEXT(IF(S.Info!Q61="15세",3,0),"#,##"),"0")</f>
        <v>0</v>
      </c>
      <c r="I61" s="24" t="s">
        <v>354</v>
      </c>
      <c r="J61" s="24" t="s">
        <v>354</v>
      </c>
      <c r="K61" s="24" t="s">
        <v>354</v>
      </c>
      <c r="L61" s="24" t="s">
        <v>354</v>
      </c>
      <c r="M61" s="24" t="s">
        <v>354</v>
      </c>
      <c r="N61" s="24" t="s">
        <v>180</v>
      </c>
    </row>
    <row r="62" spans="1:14" ht="11.25" customHeight="1" x14ac:dyDescent="0.3">
      <c r="A62" s="13" t="s">
        <v>271</v>
      </c>
      <c r="B62" s="23" t="str">
        <f>S.Info!O62&amp;" "&amp;S.Info!P62&amp;"회"</f>
        <v>특집 2026 지방선거_경기도의회 생생중계_본회의 15회</v>
      </c>
      <c r="C62" s="13"/>
      <c r="D62" s="13"/>
      <c r="E62" s="23" t="str">
        <f>TEXT(S.Info!K62,"YYYY-MM-DD HH:MM")</f>
        <v>2025-09-17 00:00</v>
      </c>
      <c r="F62" s="23" t="str">
        <f>TEXT(S.Info!N62,"[MM]")</f>
        <v>60</v>
      </c>
      <c r="G62" s="23">
        <v>0</v>
      </c>
      <c r="H62" s="23" t="str">
        <f>IF(TEXT(IF(S.Info!Q62="15세",3,0),"#,##")&lt;&gt;"",TEXT(IF(S.Info!Q62="15세",3,0),"#,##"),"0")</f>
        <v>0</v>
      </c>
      <c r="I62" s="24" t="s">
        <v>354</v>
      </c>
      <c r="J62" s="24" t="s">
        <v>354</v>
      </c>
      <c r="K62" s="24" t="s">
        <v>354</v>
      </c>
      <c r="L62" s="24" t="s">
        <v>354</v>
      </c>
      <c r="M62" s="24" t="s">
        <v>354</v>
      </c>
      <c r="N62" s="24" t="s">
        <v>174</v>
      </c>
    </row>
    <row r="63" spans="1:14" ht="11.25" customHeight="1" x14ac:dyDescent="0.3">
      <c r="A63" s="13" t="s">
        <v>271</v>
      </c>
      <c r="B63" s="23" t="str">
        <f>S.Info!O63&amp;" "&amp;S.Info!P63&amp;"회"</f>
        <v>특집 2026 지방선거_경기도의회 생생중계_상임위 15회</v>
      </c>
      <c r="C63" s="13"/>
      <c r="D63" s="13"/>
      <c r="E63" s="23" t="str">
        <f>TEXT(S.Info!K63,"YYYY-MM-DD HH:MM")</f>
        <v>2025-09-17 01:00</v>
      </c>
      <c r="F63" s="23" t="str">
        <f>TEXT(S.Info!N63,"[MM]")</f>
        <v>60</v>
      </c>
      <c r="G63" s="23">
        <v>0</v>
      </c>
      <c r="H63" s="23" t="str">
        <f>IF(TEXT(IF(S.Info!Q63="15세",3,0),"#,##")&lt;&gt;"",TEXT(IF(S.Info!Q63="15세",3,0),"#,##"),"0")</f>
        <v>0</v>
      </c>
      <c r="I63" s="24" t="s">
        <v>354</v>
      </c>
      <c r="J63" s="24" t="s">
        <v>354</v>
      </c>
      <c r="K63" s="24" t="s">
        <v>354</v>
      </c>
      <c r="L63" s="24" t="s">
        <v>354</v>
      </c>
      <c r="M63" s="24" t="s">
        <v>354</v>
      </c>
      <c r="N63" s="24" t="s">
        <v>2</v>
      </c>
    </row>
    <row r="64" spans="1:14" ht="11.25" customHeight="1" x14ac:dyDescent="0.3">
      <c r="A64" s="13" t="s">
        <v>271</v>
      </c>
      <c r="B64" s="23" t="str">
        <f>S.Info!O64&amp;" "&amp;S.Info!P64&amp;"회"</f>
        <v>휴먼다큐 시장사람들 17회</v>
      </c>
      <c r="C64" s="13"/>
      <c r="D64" s="13"/>
      <c r="E64" s="23" t="str">
        <f>TEXT(S.Info!K64,"YYYY-MM-DD HH:MM")</f>
        <v>2025-09-17 02:00</v>
      </c>
      <c r="F64" s="23" t="str">
        <f>TEXT(S.Info!N64,"[MM]")</f>
        <v>40</v>
      </c>
      <c r="G64" s="23">
        <v>0</v>
      </c>
      <c r="H64" s="23" t="str">
        <f>IF(TEXT(IF(S.Info!Q64="15세",3,0),"#,##")&lt;&gt;"",TEXT(IF(S.Info!Q64="15세",3,0),"#,##"),"0")</f>
        <v>0</v>
      </c>
      <c r="I64" s="24" t="s">
        <v>354</v>
      </c>
      <c r="J64" s="24" t="s">
        <v>354</v>
      </c>
      <c r="K64" s="24" t="s">
        <v>354</v>
      </c>
      <c r="L64" s="24" t="s">
        <v>354</v>
      </c>
      <c r="M64" s="24" t="s">
        <v>354</v>
      </c>
      <c r="N64" s="24" t="s">
        <v>9</v>
      </c>
    </row>
    <row r="65" spans="1:14" ht="11.25" customHeight="1" x14ac:dyDescent="0.3">
      <c r="A65" s="13" t="s">
        <v>271</v>
      </c>
      <c r="B65" s="23" t="str">
        <f>S.Info!O65&amp;" "&amp;S.Info!P65&amp;"회"</f>
        <v>최선규의 이제는 지방시대 시즌2 6회</v>
      </c>
      <c r="C65" s="13"/>
      <c r="D65" s="13"/>
      <c r="E65" s="23" t="str">
        <f>TEXT(S.Info!K65,"YYYY-MM-DD HH:MM")</f>
        <v>2025-09-17 02:40</v>
      </c>
      <c r="F65" s="23" t="str">
        <f>TEXT(S.Info!N65,"[MM]")</f>
        <v>60</v>
      </c>
      <c r="G65" s="23">
        <v>0</v>
      </c>
      <c r="H65" s="23" t="str">
        <f>IF(TEXT(IF(S.Info!Q65="15세",3,0),"#,##")&lt;&gt;"",TEXT(IF(S.Info!Q65="15세",3,0),"#,##"),"0")</f>
        <v>0</v>
      </c>
      <c r="I65" s="24" t="s">
        <v>354</v>
      </c>
      <c r="J65" s="24" t="s">
        <v>354</v>
      </c>
      <c r="K65" s="24" t="s">
        <v>354</v>
      </c>
      <c r="L65" s="24" t="s">
        <v>354</v>
      </c>
      <c r="M65" s="24" t="s">
        <v>354</v>
      </c>
      <c r="N65" s="24" t="s">
        <v>10</v>
      </c>
    </row>
    <row r="66" spans="1:14" ht="11.25" customHeight="1" x14ac:dyDescent="0.3">
      <c r="A66" s="13" t="s">
        <v>271</v>
      </c>
      <c r="B66" s="23" t="str">
        <f>S.Info!O66&amp;" "&amp;S.Info!P66&amp;"회"</f>
        <v>태군노래자랑 10회</v>
      </c>
      <c r="C66" s="13"/>
      <c r="D66" s="13"/>
      <c r="E66" s="23" t="str">
        <f>TEXT(S.Info!K66,"YYYY-MM-DD HH:MM")</f>
        <v>2025-09-17 03:40</v>
      </c>
      <c r="F66" s="23" t="str">
        <f>TEXT(S.Info!N66,"[MM]")</f>
        <v>60</v>
      </c>
      <c r="G66" s="23">
        <v>0</v>
      </c>
      <c r="H66" s="23" t="str">
        <f>IF(TEXT(IF(S.Info!Q66="15세",3,0),"#,##")&lt;&gt;"",TEXT(IF(S.Info!Q66="15세",3,0),"#,##"),"0")</f>
        <v>0</v>
      </c>
      <c r="I66" s="24" t="s">
        <v>354</v>
      </c>
      <c r="J66" s="24" t="s">
        <v>354</v>
      </c>
      <c r="K66" s="24" t="s">
        <v>354</v>
      </c>
      <c r="L66" s="24" t="s">
        <v>354</v>
      </c>
      <c r="M66" s="24" t="s">
        <v>354</v>
      </c>
      <c r="N66" s="24" t="s">
        <v>8</v>
      </c>
    </row>
    <row r="67" spans="1:14" ht="11.25" customHeight="1" x14ac:dyDescent="0.3">
      <c r="A67" s="13" t="s">
        <v>271</v>
      </c>
      <c r="B67" s="23" t="str">
        <f>S.Info!O67&amp;" "&amp;S.Info!P67&amp;"회"</f>
        <v>NEWS4 63회</v>
      </c>
      <c r="C67" s="13"/>
      <c r="D67" s="13"/>
      <c r="E67" s="23" t="str">
        <f>TEXT(S.Info!K67,"YYYY-MM-DD HH:MM")</f>
        <v>2025-09-17 04:40</v>
      </c>
      <c r="F67" s="23" t="str">
        <f>TEXT(S.Info!N67,"[MM]")</f>
        <v>30</v>
      </c>
      <c r="G67" s="23">
        <v>0</v>
      </c>
      <c r="H67" s="23" t="str">
        <f>IF(TEXT(IF(S.Info!Q67="15세",3,0),"#,##")&lt;&gt;"",TEXT(IF(S.Info!Q67="15세",3,0),"#,##"),"0")</f>
        <v>0</v>
      </c>
      <c r="I67" s="24" t="s">
        <v>354</v>
      </c>
      <c r="J67" s="24" t="s">
        <v>354</v>
      </c>
      <c r="K67" s="24" t="s">
        <v>354</v>
      </c>
      <c r="L67" s="24" t="s">
        <v>354</v>
      </c>
      <c r="M67" s="24" t="s">
        <v>354</v>
      </c>
      <c r="N67" s="24" t="s">
        <v>3</v>
      </c>
    </row>
    <row r="68" spans="1:14" ht="11.25" customHeight="1" x14ac:dyDescent="0.3">
      <c r="A68" s="13" t="s">
        <v>271</v>
      </c>
      <c r="B68" s="23" t="str">
        <f>S.Info!O68&amp;" "&amp;S.Info!P68&amp;"회"</f>
        <v>내삶을바꾸는정책 2191회</v>
      </c>
      <c r="C68" s="13"/>
      <c r="D68" s="13"/>
      <c r="E68" s="23" t="str">
        <f>TEXT(S.Info!K68,"YYYY-MM-DD HH:MM")</f>
        <v>2025-09-17 05:10</v>
      </c>
      <c r="F68" s="23" t="str">
        <f>TEXT(S.Info!N68,"[MM]")</f>
        <v>60</v>
      </c>
      <c r="G68" s="23">
        <v>0</v>
      </c>
      <c r="H68" s="23" t="str">
        <f>IF(TEXT(IF(S.Info!Q68="15세",3,0),"#,##")&lt;&gt;"",TEXT(IF(S.Info!Q68="15세",3,0),"#,##"),"0")</f>
        <v>0</v>
      </c>
      <c r="I68" s="24" t="s">
        <v>354</v>
      </c>
      <c r="J68" s="24" t="s">
        <v>354</v>
      </c>
      <c r="K68" s="24" t="s">
        <v>354</v>
      </c>
      <c r="L68" s="24" t="s">
        <v>354</v>
      </c>
      <c r="M68" s="24" t="s">
        <v>354</v>
      </c>
      <c r="N68" s="24" t="s">
        <v>175</v>
      </c>
    </row>
    <row r="69" spans="1:14" ht="11.25" customHeight="1" x14ac:dyDescent="0.3">
      <c r="A69" s="13" t="s">
        <v>271</v>
      </c>
      <c r="B69" s="23" t="str">
        <f>S.Info!O69&amp;" "&amp;S.Info!P69&amp;"회"</f>
        <v>도시락 59회</v>
      </c>
      <c r="C69" s="13"/>
      <c r="D69" s="13"/>
      <c r="E69" s="23" t="str">
        <f>TEXT(S.Info!K69,"YYYY-MM-DD HH:MM")</f>
        <v>2025-09-17 06:10</v>
      </c>
      <c r="F69" s="23" t="str">
        <f>TEXT(S.Info!N69,"[MM]")</f>
        <v>50</v>
      </c>
      <c r="G69" s="23">
        <v>0</v>
      </c>
      <c r="H69" s="23" t="str">
        <f>IF(TEXT(IF(S.Info!Q69="15세",3,0),"#,##")&lt;&gt;"",TEXT(IF(S.Info!Q69="15세",3,0),"#,##"),"0")</f>
        <v>0</v>
      </c>
      <c r="I69" s="24" t="s">
        <v>354</v>
      </c>
      <c r="J69" s="24" t="s">
        <v>354</v>
      </c>
      <c r="K69" s="24" t="s">
        <v>354</v>
      </c>
      <c r="L69" s="24" t="s">
        <v>354</v>
      </c>
      <c r="M69" s="24" t="s">
        <v>354</v>
      </c>
      <c r="N69" s="24" t="s">
        <v>173</v>
      </c>
    </row>
    <row r="70" spans="1:14" ht="11.25" customHeight="1" x14ac:dyDescent="0.3">
      <c r="A70" s="13" t="s">
        <v>271</v>
      </c>
      <c r="B70" s="23" t="str">
        <f>S.Info!O70&amp;" "&amp;S.Info!P70&amp;"회"</f>
        <v>최선규의 이제는 지방시대 시즌2 24회</v>
      </c>
      <c r="C70" s="13"/>
      <c r="D70" s="13"/>
      <c r="E70" s="23" t="str">
        <f>TEXT(S.Info!K70,"YYYY-MM-DD HH:MM")</f>
        <v>2025-09-17 07:00</v>
      </c>
      <c r="F70" s="23" t="str">
        <f>TEXT(S.Info!N70,"[MM]")</f>
        <v>60</v>
      </c>
      <c r="G70" s="23">
        <v>0</v>
      </c>
      <c r="H70" s="23" t="str">
        <f>IF(TEXT(IF(S.Info!Q70="15세",3,0),"#,##")&lt;&gt;"",TEXT(IF(S.Info!Q70="15세",3,0),"#,##"),"0")</f>
        <v>0</v>
      </c>
      <c r="I70" s="24" t="s">
        <v>354</v>
      </c>
      <c r="J70" s="24" t="s">
        <v>354</v>
      </c>
      <c r="K70" s="24" t="s">
        <v>354</v>
      </c>
      <c r="L70" s="24" t="s">
        <v>354</v>
      </c>
      <c r="M70" s="24" t="s">
        <v>354</v>
      </c>
      <c r="N70" s="24" t="s">
        <v>61</v>
      </c>
    </row>
    <row r="71" spans="1:14" ht="11.25" customHeight="1" x14ac:dyDescent="0.3">
      <c r="A71" s="13" t="s">
        <v>271</v>
      </c>
      <c r="B71" s="23" t="str">
        <f>S.Info!O71&amp;" "&amp;S.Info!P71&amp;"회"</f>
        <v>NEWSPLUS 64회</v>
      </c>
      <c r="C71" s="13"/>
      <c r="D71" s="13"/>
      <c r="E71" s="23" t="str">
        <f>TEXT(S.Info!K71,"YYYY-MM-DD HH:MM")</f>
        <v>2025-09-17 08:00</v>
      </c>
      <c r="F71" s="23" t="str">
        <f>TEXT(S.Info!N71,"[MM]")</f>
        <v>30</v>
      </c>
      <c r="G71" s="23">
        <v>0</v>
      </c>
      <c r="H71" s="23" t="str">
        <f>IF(TEXT(IF(S.Info!Q71="15세",3,0),"#,##")&lt;&gt;"",TEXT(IF(S.Info!Q71="15세",3,0),"#,##"),"0")</f>
        <v>0</v>
      </c>
      <c r="I71" s="24" t="s">
        <v>354</v>
      </c>
      <c r="J71" s="24" t="s">
        <v>354</v>
      </c>
      <c r="K71" s="24" t="s">
        <v>354</v>
      </c>
      <c r="L71" s="24" t="s">
        <v>354</v>
      </c>
      <c r="M71" s="24" t="s">
        <v>354</v>
      </c>
      <c r="N71" s="24" t="s">
        <v>56</v>
      </c>
    </row>
    <row r="72" spans="1:14" ht="11.25" customHeight="1" x14ac:dyDescent="0.3">
      <c r="A72" s="13" t="s">
        <v>271</v>
      </c>
      <c r="B72" s="23" t="str">
        <f>S.Info!O72&amp;" "&amp;S.Info!P72&amp;"회"</f>
        <v>남도스럽게 5회</v>
      </c>
      <c r="C72" s="13"/>
      <c r="D72" s="13"/>
      <c r="E72" s="23" t="str">
        <f>TEXT(S.Info!K72,"YYYY-MM-DD HH:MM")</f>
        <v>2025-09-17 08:30</v>
      </c>
      <c r="F72" s="23" t="str">
        <f>TEXT(S.Info!N72,"[MM]")</f>
        <v>50</v>
      </c>
      <c r="G72" s="23">
        <v>0</v>
      </c>
      <c r="H72" s="23" t="str">
        <f>IF(TEXT(IF(S.Info!Q72="15세",3,0),"#,##")&lt;&gt;"",TEXT(IF(S.Info!Q72="15세",3,0),"#,##"),"0")</f>
        <v>0</v>
      </c>
      <c r="I72" s="24" t="s">
        <v>354</v>
      </c>
      <c r="J72" s="24" t="s">
        <v>354</v>
      </c>
      <c r="K72" s="24" t="s">
        <v>354</v>
      </c>
      <c r="L72" s="24" t="s">
        <v>354</v>
      </c>
      <c r="M72" s="24" t="s">
        <v>354</v>
      </c>
      <c r="N72" s="24" t="s">
        <v>44</v>
      </c>
    </row>
    <row r="73" spans="1:14" ht="11.25" customHeight="1" x14ac:dyDescent="0.3">
      <c r="A73" s="13" t="s">
        <v>271</v>
      </c>
      <c r="B73" s="23" t="str">
        <f>S.Info!O73&amp;" "&amp;S.Info!P73&amp;"회"</f>
        <v>눈에 띄는 그녀들 시즌3 9회</v>
      </c>
      <c r="C73" s="13"/>
      <c r="D73" s="13"/>
      <c r="E73" s="23" t="str">
        <f>TEXT(S.Info!K73,"YYYY-MM-DD HH:MM")</f>
        <v>2025-09-17 09:20</v>
      </c>
      <c r="F73" s="23" t="str">
        <f>TEXT(S.Info!N73,"[MM]")</f>
        <v>40</v>
      </c>
      <c r="G73" s="23">
        <v>0</v>
      </c>
      <c r="H73" s="23" t="str">
        <f>IF(TEXT(IF(S.Info!Q73="15세",3,0),"#,##")&lt;&gt;"",TEXT(IF(S.Info!Q73="15세",3,0),"#,##"),"0")</f>
        <v>0</v>
      </c>
      <c r="I73" s="24" t="s">
        <v>354</v>
      </c>
      <c r="J73" s="24" t="s">
        <v>354</v>
      </c>
      <c r="K73" s="24" t="s">
        <v>354</v>
      </c>
      <c r="L73" s="24" t="s">
        <v>354</v>
      </c>
      <c r="M73" s="24" t="s">
        <v>354</v>
      </c>
      <c r="N73" s="24" t="s">
        <v>64</v>
      </c>
    </row>
    <row r="74" spans="1:14" ht="11.25" customHeight="1" x14ac:dyDescent="0.3">
      <c r="A74" s="13" t="s">
        <v>271</v>
      </c>
      <c r="B74" s="23" t="str">
        <f>S.Info!O74&amp;" "&amp;S.Info!P74&amp;"회"</f>
        <v>특집 2026 지방선거_서울특별시의회 생생중계_본회의 17회</v>
      </c>
      <c r="C74" s="13"/>
      <c r="D74" s="13"/>
      <c r="E74" s="23" t="str">
        <f>TEXT(S.Info!K74,"YYYY-MM-DD HH:MM")</f>
        <v>2025-09-17 10:00</v>
      </c>
      <c r="F74" s="23" t="str">
        <f>TEXT(S.Info!N74,"[MM]")</f>
        <v>60</v>
      </c>
      <c r="G74" s="23">
        <v>0</v>
      </c>
      <c r="H74" s="23" t="str">
        <f>IF(TEXT(IF(S.Info!Q74="15세",3,0),"#,##")&lt;&gt;"",TEXT(IF(S.Info!Q74="15세",3,0),"#,##"),"0")</f>
        <v>0</v>
      </c>
      <c r="I74" s="24" t="s">
        <v>354</v>
      </c>
      <c r="J74" s="24" t="s">
        <v>354</v>
      </c>
      <c r="K74" s="24" t="s">
        <v>354</v>
      </c>
      <c r="L74" s="24" t="s">
        <v>354</v>
      </c>
      <c r="M74" s="24" t="s">
        <v>354</v>
      </c>
      <c r="N74" s="24" t="s">
        <v>51</v>
      </c>
    </row>
    <row r="75" spans="1:14" ht="11.25" customHeight="1" x14ac:dyDescent="0.3">
      <c r="A75" s="13" t="s">
        <v>271</v>
      </c>
      <c r="B75" s="23" t="str">
        <f>S.Info!O75&amp;" "&amp;S.Info!P75&amp;"회"</f>
        <v>특집 2026 지방선거_경기도의회 생생중계_본회의 16회</v>
      </c>
      <c r="C75" s="13"/>
      <c r="D75" s="13"/>
      <c r="E75" s="23" t="str">
        <f>TEXT(S.Info!K75,"YYYY-MM-DD HH:MM")</f>
        <v>2025-09-17 11:00</v>
      </c>
      <c r="F75" s="23" t="str">
        <f>TEXT(S.Info!N75,"[MM]")</f>
        <v>60</v>
      </c>
      <c r="G75" s="23">
        <v>0</v>
      </c>
      <c r="H75" s="23" t="str">
        <f>IF(TEXT(IF(S.Info!Q75="15세",3,0),"#,##")&lt;&gt;"",TEXT(IF(S.Info!Q75="15세",3,0),"#,##"),"0")</f>
        <v>0</v>
      </c>
      <c r="I75" s="24" t="s">
        <v>354</v>
      </c>
      <c r="J75" s="24" t="s">
        <v>354</v>
      </c>
      <c r="K75" s="24" t="s">
        <v>354</v>
      </c>
      <c r="L75" s="24" t="s">
        <v>354</v>
      </c>
      <c r="M75" s="24" t="s">
        <v>354</v>
      </c>
      <c r="N75" s="24" t="s">
        <v>40</v>
      </c>
    </row>
    <row r="76" spans="1:14" ht="11.25" customHeight="1" x14ac:dyDescent="0.3">
      <c r="A76" s="13" t="s">
        <v>271</v>
      </c>
      <c r="B76" s="23" t="str">
        <f>S.Info!O76&amp;" "&amp;S.Info!P76&amp;"회"</f>
        <v>행복무지개 31회</v>
      </c>
      <c r="C76" s="13"/>
      <c r="D76" s="13"/>
      <c r="E76" s="23" t="str">
        <f>TEXT(S.Info!K76,"YYYY-MM-DD HH:MM")</f>
        <v>2025-09-17 12:00</v>
      </c>
      <c r="F76" s="23" t="str">
        <f>TEXT(S.Info!N76,"[MM]")</f>
        <v>60</v>
      </c>
      <c r="G76" s="23">
        <v>0</v>
      </c>
      <c r="H76" s="23" t="str">
        <f>IF(TEXT(IF(S.Info!Q76="15세",3,0),"#,##")&lt;&gt;"",TEXT(IF(S.Info!Q76="15세",3,0),"#,##"),"0")</f>
        <v>0</v>
      </c>
      <c r="I76" s="24" t="s">
        <v>354</v>
      </c>
      <c r="J76" s="24" t="s">
        <v>354</v>
      </c>
      <c r="K76" s="24" t="s">
        <v>354</v>
      </c>
      <c r="L76" s="24" t="s">
        <v>354</v>
      </c>
      <c r="M76" s="24" t="s">
        <v>354</v>
      </c>
      <c r="N76" s="24" t="s">
        <v>60</v>
      </c>
    </row>
    <row r="77" spans="1:14" ht="11.25" customHeight="1" x14ac:dyDescent="0.3">
      <c r="A77" s="13" t="s">
        <v>271</v>
      </c>
      <c r="B77" s="23" t="str">
        <f>S.Info!O77&amp;" "&amp;S.Info!P77&amp;"회"</f>
        <v>NEWSJ 66회</v>
      </c>
      <c r="C77" s="13"/>
      <c r="D77" s="13"/>
      <c r="E77" s="23" t="str">
        <f>TEXT(S.Info!K77,"YYYY-MM-DD HH:MM")</f>
        <v>2025-09-17 13:00</v>
      </c>
      <c r="F77" s="23" t="str">
        <f>TEXT(S.Info!N77,"[MM]")</f>
        <v>30</v>
      </c>
      <c r="G77" s="23">
        <v>0</v>
      </c>
      <c r="H77" s="23" t="str">
        <f>IF(TEXT(IF(S.Info!Q77="15세",3,0),"#,##")&lt;&gt;"",TEXT(IF(S.Info!Q77="15세",3,0),"#,##"),"0")</f>
        <v>0</v>
      </c>
      <c r="I77" s="24" t="s">
        <v>354</v>
      </c>
      <c r="J77" s="24" t="s">
        <v>354</v>
      </c>
      <c r="K77" s="24" t="s">
        <v>354</v>
      </c>
      <c r="L77" s="24" t="s">
        <v>354</v>
      </c>
      <c r="M77" s="24" t="s">
        <v>354</v>
      </c>
      <c r="N77" s="24" t="s">
        <v>49</v>
      </c>
    </row>
    <row r="78" spans="1:14" ht="11.25" customHeight="1" x14ac:dyDescent="0.3">
      <c r="A78" s="13" t="s">
        <v>271</v>
      </c>
      <c r="B78" s="23" t="str">
        <f>S.Info!O78&amp;" "&amp;S.Info!P78&amp;"회"</f>
        <v>더 人터뷰 53회</v>
      </c>
      <c r="C78" s="13"/>
      <c r="D78" s="13"/>
      <c r="E78" s="23" t="str">
        <f>TEXT(S.Info!K78,"YYYY-MM-DD HH:MM")</f>
        <v>2025-09-17 13:30</v>
      </c>
      <c r="F78" s="23" t="str">
        <f>TEXT(S.Info!N78,"[MM]")</f>
        <v>30</v>
      </c>
      <c r="G78" s="23">
        <v>0</v>
      </c>
      <c r="H78" s="23" t="str">
        <f>IF(TEXT(IF(S.Info!Q78="15세",3,0),"#,##")&lt;&gt;"",TEXT(IF(S.Info!Q78="15세",3,0),"#,##"),"0")</f>
        <v>0</v>
      </c>
      <c r="I78" s="24" t="s">
        <v>354</v>
      </c>
      <c r="J78" s="24" t="s">
        <v>354</v>
      </c>
      <c r="K78" s="24" t="s">
        <v>354</v>
      </c>
      <c r="L78" s="24" t="s">
        <v>354</v>
      </c>
      <c r="M78" s="24" t="s">
        <v>354</v>
      </c>
      <c r="N78" s="24" t="s">
        <v>54</v>
      </c>
    </row>
    <row r="79" spans="1:14" ht="11.25" customHeight="1" x14ac:dyDescent="0.3">
      <c r="A79" s="13" t="s">
        <v>271</v>
      </c>
      <c r="B79" s="23" t="str">
        <f>S.Info!O79&amp;" "&amp;S.Info!P79&amp;"회"</f>
        <v>특집 2026 지방선거_서울특별시의회 생생중계_상임위 17회</v>
      </c>
      <c r="C79" s="13"/>
      <c r="D79" s="13"/>
      <c r="E79" s="23" t="str">
        <f>TEXT(S.Info!K79,"YYYY-MM-DD HH:MM")</f>
        <v>2025-09-17 14:00</v>
      </c>
      <c r="F79" s="23" t="str">
        <f>TEXT(S.Info!N79,"[MM]")</f>
        <v>60</v>
      </c>
      <c r="G79" s="23">
        <v>0</v>
      </c>
      <c r="H79" s="23" t="str">
        <f>IF(TEXT(IF(S.Info!Q79="15세",3,0),"#,##")&lt;&gt;"",TEXT(IF(S.Info!Q79="15세",3,0),"#,##"),"0")</f>
        <v>0</v>
      </c>
      <c r="I79" s="24" t="s">
        <v>354</v>
      </c>
      <c r="J79" s="24" t="s">
        <v>354</v>
      </c>
      <c r="K79" s="24" t="s">
        <v>354</v>
      </c>
      <c r="L79" s="24" t="s">
        <v>354</v>
      </c>
      <c r="M79" s="24" t="s">
        <v>354</v>
      </c>
      <c r="N79" s="24" t="s">
        <v>65</v>
      </c>
    </row>
    <row r="80" spans="1:14" ht="11.25" customHeight="1" x14ac:dyDescent="0.3">
      <c r="A80" s="13" t="s">
        <v>271</v>
      </c>
      <c r="B80" s="23" t="str">
        <f>S.Info!O80&amp;" "&amp;S.Info!P80&amp;"회"</f>
        <v>행복무지개 32회</v>
      </c>
      <c r="C80" s="13"/>
      <c r="D80" s="13"/>
      <c r="E80" s="23" t="str">
        <f>TEXT(S.Info!K80,"YYYY-MM-DD HH:MM")</f>
        <v>2025-09-17 15:00</v>
      </c>
      <c r="F80" s="23" t="str">
        <f>TEXT(S.Info!N80,"[MM]")</f>
        <v>60</v>
      </c>
      <c r="G80" s="23">
        <v>0</v>
      </c>
      <c r="H80" s="23" t="str">
        <f>IF(TEXT(IF(S.Info!Q80="15세",3,0),"#,##")&lt;&gt;"",TEXT(IF(S.Info!Q80="15세",3,0),"#,##"),"0")</f>
        <v>0</v>
      </c>
      <c r="I80" s="24" t="s">
        <v>354</v>
      </c>
      <c r="J80" s="24" t="s">
        <v>354</v>
      </c>
      <c r="K80" s="24" t="s">
        <v>354</v>
      </c>
      <c r="L80" s="24" t="s">
        <v>354</v>
      </c>
      <c r="M80" s="24" t="s">
        <v>354</v>
      </c>
      <c r="N80" s="24" t="s">
        <v>53</v>
      </c>
    </row>
    <row r="81" spans="1:14" ht="11.25" customHeight="1" x14ac:dyDescent="0.3">
      <c r="A81" s="13" t="s">
        <v>271</v>
      </c>
      <c r="B81" s="23" t="str">
        <f>S.Info!O81&amp;" "&amp;S.Info!P81&amp;"회"</f>
        <v>NEWS4 64회</v>
      </c>
      <c r="C81" s="13"/>
      <c r="D81" s="13"/>
      <c r="E81" s="23" t="str">
        <f>TEXT(S.Info!K81,"YYYY-MM-DD HH:MM")</f>
        <v>2025-09-17 16:00</v>
      </c>
      <c r="F81" s="23" t="str">
        <f>TEXT(S.Info!N81,"[MM]")</f>
        <v>30</v>
      </c>
      <c r="G81" s="23">
        <v>0</v>
      </c>
      <c r="H81" s="23" t="str">
        <f>IF(TEXT(IF(S.Info!Q81="15세",3,0),"#,##")&lt;&gt;"",TEXT(IF(S.Info!Q81="15세",3,0),"#,##"),"0")</f>
        <v>0</v>
      </c>
      <c r="I81" s="24" t="s">
        <v>354</v>
      </c>
      <c r="J81" s="24" t="s">
        <v>354</v>
      </c>
      <c r="K81" s="24" t="s">
        <v>354</v>
      </c>
      <c r="L81" s="24" t="s">
        <v>354</v>
      </c>
      <c r="M81" s="24" t="s">
        <v>354</v>
      </c>
      <c r="N81" s="24" t="s">
        <v>48</v>
      </c>
    </row>
    <row r="82" spans="1:14" ht="11.25" customHeight="1" x14ac:dyDescent="0.3">
      <c r="A82" s="13" t="s">
        <v>271</v>
      </c>
      <c r="B82" s="23" t="str">
        <f>S.Info!O82&amp;" "&amp;S.Info!P82&amp;"회"</f>
        <v>호남, 호남人 133회</v>
      </c>
      <c r="C82" s="13"/>
      <c r="D82" s="13"/>
      <c r="E82" s="23" t="str">
        <f>TEXT(S.Info!K82,"YYYY-MM-DD HH:MM")</f>
        <v>2025-09-17 16:30</v>
      </c>
      <c r="F82" s="23" t="str">
        <f>TEXT(S.Info!N82,"[MM]")</f>
        <v>30</v>
      </c>
      <c r="G82" s="23">
        <v>0</v>
      </c>
      <c r="H82" s="23" t="str">
        <f>IF(TEXT(IF(S.Info!Q82="15세",3,0),"#,##")&lt;&gt;"",TEXT(IF(S.Info!Q82="15세",3,0),"#,##"),"0")</f>
        <v>0</v>
      </c>
      <c r="I82" s="24" t="s">
        <v>354</v>
      </c>
      <c r="J82" s="24" t="s">
        <v>354</v>
      </c>
      <c r="K82" s="24" t="s">
        <v>354</v>
      </c>
      <c r="L82" s="24" t="s">
        <v>354</v>
      </c>
      <c r="M82" s="24" t="s">
        <v>354</v>
      </c>
      <c r="N82" s="24" t="s">
        <v>59</v>
      </c>
    </row>
    <row r="83" spans="1:14" ht="11.25" customHeight="1" x14ac:dyDescent="0.3">
      <c r="A83" s="13" t="s">
        <v>271</v>
      </c>
      <c r="B83" s="23" t="str">
        <f>S.Info!O83&amp;" "&amp;S.Info!P83&amp;"회"</f>
        <v>특집 2026 지방선거_경기도의회 생생중계_상임위 16회</v>
      </c>
      <c r="C83" s="13"/>
      <c r="D83" s="13"/>
      <c r="E83" s="23" t="str">
        <f>TEXT(S.Info!K83,"YYYY-MM-DD HH:MM")</f>
        <v>2025-09-17 17:00</v>
      </c>
      <c r="F83" s="23" t="str">
        <f>TEXT(S.Info!N83,"[MM]")</f>
        <v>60</v>
      </c>
      <c r="G83" s="23">
        <v>0</v>
      </c>
      <c r="H83" s="23" t="str">
        <f>IF(TEXT(IF(S.Info!Q83="15세",3,0),"#,##")&lt;&gt;"",TEXT(IF(S.Info!Q83="15세",3,0),"#,##"),"0")</f>
        <v>0</v>
      </c>
      <c r="I83" s="24" t="s">
        <v>354</v>
      </c>
      <c r="J83" s="24" t="s">
        <v>354</v>
      </c>
      <c r="K83" s="24" t="s">
        <v>354</v>
      </c>
      <c r="L83" s="24" t="s">
        <v>354</v>
      </c>
      <c r="M83" s="24" t="s">
        <v>354</v>
      </c>
      <c r="N83" s="24" t="s">
        <v>47</v>
      </c>
    </row>
    <row r="84" spans="1:14" ht="11.25" customHeight="1" x14ac:dyDescent="0.3">
      <c r="A84" s="13" t="s">
        <v>271</v>
      </c>
      <c r="B84" s="23" t="str">
        <f>S.Info!O84&amp;" "&amp;S.Info!P84&amp;"회"</f>
        <v>눈에 띄는 그녀들 시즌5 7회</v>
      </c>
      <c r="C84" s="13"/>
      <c r="D84" s="13"/>
      <c r="E84" s="23" t="str">
        <f>TEXT(S.Info!K84,"YYYY-MM-DD HH:MM")</f>
        <v>2025-09-17 18:00</v>
      </c>
      <c r="F84" s="23" t="str">
        <f>TEXT(S.Info!N84,"[MM]")</f>
        <v>30</v>
      </c>
      <c r="G84" s="23">
        <v>0</v>
      </c>
      <c r="H84" s="23" t="str">
        <f>IF(TEXT(IF(S.Info!Q84="15세",3,0),"#,##")&lt;&gt;"",TEXT(IF(S.Info!Q84="15세",3,0),"#,##"),"0")</f>
        <v>0</v>
      </c>
      <c r="I84" s="24" t="s">
        <v>354</v>
      </c>
      <c r="J84" s="24" t="s">
        <v>354</v>
      </c>
      <c r="K84" s="24" t="s">
        <v>354</v>
      </c>
      <c r="L84" s="24" t="s">
        <v>354</v>
      </c>
      <c r="M84" s="24" t="s">
        <v>354</v>
      </c>
      <c r="N84" s="24" t="s">
        <v>84</v>
      </c>
    </row>
    <row r="85" spans="1:14" ht="11.25" customHeight="1" x14ac:dyDescent="0.3">
      <c r="A85" s="13" t="s">
        <v>271</v>
      </c>
      <c r="B85" s="23" t="str">
        <f>S.Info!O85&amp;" "&amp;S.Info!P85&amp;"회"</f>
        <v>낭만살롱 7회</v>
      </c>
      <c r="C85" s="13"/>
      <c r="D85" s="13"/>
      <c r="E85" s="23" t="str">
        <f>TEXT(S.Info!K85,"YYYY-MM-DD HH:MM")</f>
        <v>2025-09-17 18:30</v>
      </c>
      <c r="F85" s="23" t="str">
        <f>TEXT(S.Info!N85,"[MM]")</f>
        <v>30</v>
      </c>
      <c r="G85" s="23">
        <v>0</v>
      </c>
      <c r="H85" s="23" t="str">
        <f>IF(TEXT(IF(S.Info!Q85="15세",3,0),"#,##")&lt;&gt;"",TEXT(IF(S.Info!Q85="15세",3,0),"#,##"),"0")</f>
        <v>0</v>
      </c>
      <c r="I85" s="24" t="s">
        <v>354</v>
      </c>
      <c r="J85" s="24" t="s">
        <v>354</v>
      </c>
      <c r="K85" s="24" t="s">
        <v>354</v>
      </c>
      <c r="L85" s="24" t="s">
        <v>354</v>
      </c>
      <c r="M85" s="24" t="s">
        <v>354</v>
      </c>
      <c r="N85" s="24" t="s">
        <v>62</v>
      </c>
    </row>
    <row r="86" spans="1:14" ht="11.25" customHeight="1" x14ac:dyDescent="0.3">
      <c r="A86" s="13" t="s">
        <v>271</v>
      </c>
      <c r="B86" s="23" t="str">
        <f>S.Info!O86&amp;" "&amp;S.Info!P86&amp;"회"</f>
        <v>뉴스와이드 434회</v>
      </c>
      <c r="C86" s="13"/>
      <c r="D86" s="13"/>
      <c r="E86" s="23" t="str">
        <f>TEXT(S.Info!K86,"YYYY-MM-DD HH:MM")</f>
        <v>2025-09-17 19:00</v>
      </c>
      <c r="F86" s="23" t="str">
        <f>TEXT(S.Info!N86,"[MM]")</f>
        <v>60</v>
      </c>
      <c r="G86" s="23">
        <v>0</v>
      </c>
      <c r="H86" s="23" t="str">
        <f>IF(TEXT(IF(S.Info!Q86="15세",3,0),"#,##")&lt;&gt;"",TEXT(IF(S.Info!Q86="15세",3,0),"#,##"),"0")</f>
        <v>0</v>
      </c>
      <c r="I86" s="24" t="s">
        <v>354</v>
      </c>
      <c r="J86" s="24" t="s">
        <v>354</v>
      </c>
      <c r="K86" s="24" t="s">
        <v>354</v>
      </c>
      <c r="L86" s="24" t="s">
        <v>354</v>
      </c>
      <c r="M86" s="24" t="s">
        <v>354</v>
      </c>
      <c r="N86" s="24" t="s">
        <v>55</v>
      </c>
    </row>
    <row r="87" spans="1:14" ht="11.25" customHeight="1" x14ac:dyDescent="0.3">
      <c r="A87" s="13" t="s">
        <v>271</v>
      </c>
      <c r="B87" s="23" t="str">
        <f>S.Info!O87&amp;" "&amp;S.Info!P87&amp;"회"</f>
        <v>NEWSON 66회</v>
      </c>
      <c r="C87" s="13"/>
      <c r="D87" s="13"/>
      <c r="E87" s="23" t="str">
        <f>TEXT(S.Info!K87,"YYYY-MM-DD HH:MM")</f>
        <v>2025-09-17 20:00</v>
      </c>
      <c r="F87" s="23" t="str">
        <f>TEXT(S.Info!N87,"[MM]")</f>
        <v>30</v>
      </c>
      <c r="G87" s="23">
        <v>0</v>
      </c>
      <c r="H87" s="23" t="str">
        <f>IF(TEXT(IF(S.Info!Q87="15세",3,0),"#,##")&lt;&gt;"",TEXT(IF(S.Info!Q87="15세",3,0),"#,##"),"0")</f>
        <v>0</v>
      </c>
      <c r="I87" s="24" t="s">
        <v>354</v>
      </c>
      <c r="J87" s="24" t="s">
        <v>354</v>
      </c>
      <c r="K87" s="24" t="s">
        <v>354</v>
      </c>
      <c r="L87" s="24" t="s">
        <v>354</v>
      </c>
      <c r="M87" s="24" t="s">
        <v>354</v>
      </c>
      <c r="N87" s="24" t="s">
        <v>39</v>
      </c>
    </row>
    <row r="88" spans="1:14" ht="11.25" customHeight="1" x14ac:dyDescent="0.3">
      <c r="A88" s="13" t="s">
        <v>271</v>
      </c>
      <c r="B88" s="23" t="str">
        <f>S.Info!O88&amp;" "&amp;S.Info!P88&amp;"회"</f>
        <v>우리동네 너튜브 6회</v>
      </c>
      <c r="C88" s="13"/>
      <c r="D88" s="13"/>
      <c r="E88" s="23" t="str">
        <f>TEXT(S.Info!K88,"YYYY-MM-DD HH:MM")</f>
        <v>2025-09-17 20:30</v>
      </c>
      <c r="F88" s="23" t="str">
        <f>TEXT(S.Info!N88,"[MM]")</f>
        <v>50</v>
      </c>
      <c r="G88" s="23">
        <v>0</v>
      </c>
      <c r="H88" s="23" t="str">
        <f>IF(TEXT(IF(S.Info!Q88="15세",3,0),"#,##")&lt;&gt;"",TEXT(IF(S.Info!Q88="15세",3,0),"#,##"),"0")</f>
        <v>0</v>
      </c>
      <c r="I88" s="24" t="s">
        <v>354</v>
      </c>
      <c r="J88" s="24" t="s">
        <v>354</v>
      </c>
      <c r="K88" s="24" t="s">
        <v>354</v>
      </c>
      <c r="L88" s="24" t="s">
        <v>354</v>
      </c>
      <c r="M88" s="24" t="s">
        <v>354</v>
      </c>
      <c r="N88" s="24" t="s">
        <v>45</v>
      </c>
    </row>
    <row r="89" spans="1:14" ht="11.25" customHeight="1" x14ac:dyDescent="0.3">
      <c r="A89" s="13" t="s">
        <v>271</v>
      </c>
      <c r="B89" s="23" t="str">
        <f>S.Info!O89&amp;" "&amp;S.Info!P89&amp;"회"</f>
        <v>낭만살롱 3회</v>
      </c>
      <c r="C89" s="13"/>
      <c r="D89" s="13"/>
      <c r="E89" s="23" t="str">
        <f>TEXT(S.Info!K89,"YYYY-MM-DD HH:MM")</f>
        <v>2025-09-17 21:20</v>
      </c>
      <c r="F89" s="23" t="str">
        <f>TEXT(S.Info!N89,"[MM]")</f>
        <v>40</v>
      </c>
      <c r="G89" s="23">
        <v>0</v>
      </c>
      <c r="H89" s="23" t="str">
        <f>IF(TEXT(IF(S.Info!Q89="15세",3,0),"#,##")&lt;&gt;"",TEXT(IF(S.Info!Q89="15세",3,0),"#,##"),"0")</f>
        <v>0</v>
      </c>
      <c r="I89" s="24" t="s">
        <v>354</v>
      </c>
      <c r="J89" s="24" t="s">
        <v>354</v>
      </c>
      <c r="K89" s="24" t="s">
        <v>354</v>
      </c>
      <c r="L89" s="24" t="s">
        <v>354</v>
      </c>
      <c r="M89" s="24" t="s">
        <v>354</v>
      </c>
      <c r="N89" s="24" t="s">
        <v>74</v>
      </c>
    </row>
    <row r="90" spans="1:14" ht="11.25" customHeight="1" x14ac:dyDescent="0.3">
      <c r="A90" s="13" t="s">
        <v>271</v>
      </c>
      <c r="B90" s="23" t="str">
        <f>S.Info!O90&amp;" "&amp;S.Info!P90&amp;"회"</f>
        <v>특집 2026 지방선거_서울특별시의회 생생중계_본회의 17회</v>
      </c>
      <c r="C90" s="13"/>
      <c r="D90" s="13"/>
      <c r="E90" s="23" t="str">
        <f>TEXT(S.Info!K90,"YYYY-MM-DD HH:MM")</f>
        <v>2025-09-17 22:00</v>
      </c>
      <c r="F90" s="23" t="str">
        <f>TEXT(S.Info!N90,"[MM]")</f>
        <v>60</v>
      </c>
      <c r="G90" s="23">
        <v>0</v>
      </c>
      <c r="H90" s="23" t="str">
        <f>IF(TEXT(IF(S.Info!Q90="15세",3,0),"#,##")&lt;&gt;"",TEXT(IF(S.Info!Q90="15세",3,0),"#,##"),"0")</f>
        <v>0</v>
      </c>
      <c r="I90" s="24" t="s">
        <v>354</v>
      </c>
      <c r="J90" s="24" t="s">
        <v>354</v>
      </c>
      <c r="K90" s="24" t="s">
        <v>354</v>
      </c>
      <c r="L90" s="24" t="s">
        <v>354</v>
      </c>
      <c r="M90" s="24" t="s">
        <v>354</v>
      </c>
      <c r="N90" s="24" t="s">
        <v>42</v>
      </c>
    </row>
    <row r="91" spans="1:14" ht="11.25" customHeight="1" x14ac:dyDescent="0.3">
      <c r="A91" s="13" t="s">
        <v>271</v>
      </c>
      <c r="B91" s="23" t="str">
        <f>S.Info!O91&amp;" "&amp;S.Info!P91&amp;"회"</f>
        <v>특집 2026 지방선거_서울특별시의회 생생중계_상임위 17회</v>
      </c>
      <c r="C91" s="13"/>
      <c r="D91" s="13"/>
      <c r="E91" s="23" t="str">
        <f>TEXT(S.Info!K91,"YYYY-MM-DD HH:MM")</f>
        <v>2025-09-17 23:00</v>
      </c>
      <c r="F91" s="23" t="str">
        <f>TEXT(S.Info!N91,"[MM]")</f>
        <v>60</v>
      </c>
      <c r="G91" s="23">
        <v>0</v>
      </c>
      <c r="H91" s="23" t="str">
        <f>IF(TEXT(IF(S.Info!Q91="15세",3,0),"#,##")&lt;&gt;"",TEXT(IF(S.Info!Q91="15세",3,0),"#,##"),"0")</f>
        <v>0</v>
      </c>
      <c r="I91" s="24" t="s">
        <v>354</v>
      </c>
      <c r="J91" s="24" t="s">
        <v>354</v>
      </c>
      <c r="K91" s="24" t="s">
        <v>354</v>
      </c>
      <c r="L91" s="24" t="s">
        <v>354</v>
      </c>
      <c r="M91" s="24" t="s">
        <v>354</v>
      </c>
      <c r="N91" s="24" t="s">
        <v>77</v>
      </c>
    </row>
    <row r="92" spans="1:14" ht="11.25" customHeight="1" x14ac:dyDescent="0.3">
      <c r="A92" s="13" t="s">
        <v>271</v>
      </c>
      <c r="B92" s="23" t="str">
        <f>S.Info!O92&amp;" "&amp;S.Info!P92&amp;"회"</f>
        <v>특집 2026 지방선거_경기도의회 생생중계_본회의 16회</v>
      </c>
      <c r="C92" s="13"/>
      <c r="D92" s="13"/>
      <c r="E92" s="23" t="str">
        <f>TEXT(S.Info!K92,"YYYY-MM-DD HH:MM")</f>
        <v>2025-09-18 00:00</v>
      </c>
      <c r="F92" s="23" t="str">
        <f>TEXT(S.Info!N92,"[MM]")</f>
        <v>60</v>
      </c>
      <c r="G92" s="23">
        <v>0</v>
      </c>
      <c r="H92" s="23" t="str">
        <f>IF(TEXT(IF(S.Info!Q92="15세",3,0),"#,##")&lt;&gt;"",TEXT(IF(S.Info!Q92="15세",3,0),"#,##"),"0")</f>
        <v>0</v>
      </c>
      <c r="I92" s="24" t="s">
        <v>354</v>
      </c>
      <c r="J92" s="24" t="s">
        <v>354</v>
      </c>
      <c r="K92" s="24" t="s">
        <v>354</v>
      </c>
      <c r="L92" s="24" t="s">
        <v>354</v>
      </c>
      <c r="M92" s="24" t="s">
        <v>354</v>
      </c>
      <c r="N92" s="24" t="s">
        <v>97</v>
      </c>
    </row>
    <row r="93" spans="1:14" ht="11.25" customHeight="1" x14ac:dyDescent="0.3">
      <c r="A93" s="13" t="s">
        <v>271</v>
      </c>
      <c r="B93" s="23" t="str">
        <f>S.Info!O93&amp;" "&amp;S.Info!P93&amp;"회"</f>
        <v>특집 2026 지방선거_경기도의회 생생중계_상임위 16회</v>
      </c>
      <c r="C93" s="13"/>
      <c r="D93" s="13"/>
      <c r="E93" s="23" t="str">
        <f>TEXT(S.Info!K93,"YYYY-MM-DD HH:MM")</f>
        <v>2025-09-18 01:00</v>
      </c>
      <c r="F93" s="23" t="str">
        <f>TEXT(S.Info!N93,"[MM]")</f>
        <v>60</v>
      </c>
      <c r="G93" s="23">
        <v>0</v>
      </c>
      <c r="H93" s="23" t="str">
        <f>IF(TEXT(IF(S.Info!Q93="15세",3,0),"#,##")&lt;&gt;"",TEXT(IF(S.Info!Q93="15세",3,0),"#,##"),"0")</f>
        <v>0</v>
      </c>
      <c r="I93" s="24" t="s">
        <v>354</v>
      </c>
      <c r="J93" s="24" t="s">
        <v>354</v>
      </c>
      <c r="K93" s="24" t="s">
        <v>354</v>
      </c>
      <c r="L93" s="24" t="s">
        <v>354</v>
      </c>
      <c r="M93" s="24" t="s">
        <v>354</v>
      </c>
      <c r="N93" s="24" t="s">
        <v>46</v>
      </c>
    </row>
    <row r="94" spans="1:14" ht="11.25" customHeight="1" x14ac:dyDescent="0.3">
      <c r="A94" s="13" t="s">
        <v>271</v>
      </c>
      <c r="B94" s="23" t="str">
        <f>S.Info!O94&amp;" "&amp;S.Info!P94&amp;"회"</f>
        <v>휴먼다큐 시장사람들 18회</v>
      </c>
      <c r="C94" s="13"/>
      <c r="D94" s="13"/>
      <c r="E94" s="23" t="str">
        <f>TEXT(S.Info!K94,"YYYY-MM-DD HH:MM")</f>
        <v>2025-09-18 02:00</v>
      </c>
      <c r="F94" s="23" t="str">
        <f>TEXT(S.Info!N94,"[MM]")</f>
        <v>40</v>
      </c>
      <c r="G94" s="23">
        <v>0</v>
      </c>
      <c r="H94" s="23" t="str">
        <f>IF(TEXT(IF(S.Info!Q94="15세",3,0),"#,##")&lt;&gt;"",TEXT(IF(S.Info!Q94="15세",3,0),"#,##"),"0")</f>
        <v>0</v>
      </c>
      <c r="I94" s="24" t="s">
        <v>354</v>
      </c>
      <c r="J94" s="24" t="s">
        <v>354</v>
      </c>
      <c r="K94" s="24" t="s">
        <v>354</v>
      </c>
      <c r="L94" s="24" t="s">
        <v>354</v>
      </c>
      <c r="M94" s="24" t="s">
        <v>354</v>
      </c>
      <c r="N94" s="24" t="s">
        <v>66</v>
      </c>
    </row>
    <row r="95" spans="1:14" ht="11.25" customHeight="1" x14ac:dyDescent="0.3">
      <c r="A95" s="13" t="s">
        <v>271</v>
      </c>
      <c r="B95" s="23" t="str">
        <f>S.Info!O95&amp;" "&amp;S.Info!P95&amp;"회"</f>
        <v>최선규의 이제는 지방시대 시즌2 7회</v>
      </c>
      <c r="C95" s="13"/>
      <c r="D95" s="13"/>
      <c r="E95" s="23" t="str">
        <f>TEXT(S.Info!K95,"YYYY-MM-DD HH:MM")</f>
        <v>2025-09-18 02:40</v>
      </c>
      <c r="F95" s="23" t="str">
        <f>TEXT(S.Info!N95,"[MM]")</f>
        <v>60</v>
      </c>
      <c r="G95" s="23">
        <v>0</v>
      </c>
      <c r="H95" s="23" t="str">
        <f>IF(TEXT(IF(S.Info!Q95="15세",3,0),"#,##")&lt;&gt;"",TEXT(IF(S.Info!Q95="15세",3,0),"#,##"),"0")</f>
        <v>0</v>
      </c>
      <c r="I95" s="24" t="s">
        <v>354</v>
      </c>
      <c r="J95" s="24" t="s">
        <v>354</v>
      </c>
      <c r="K95" s="24" t="s">
        <v>354</v>
      </c>
      <c r="L95" s="24" t="s">
        <v>354</v>
      </c>
      <c r="M95" s="24" t="s">
        <v>354</v>
      </c>
      <c r="N95" s="24" t="s">
        <v>58</v>
      </c>
    </row>
    <row r="96" spans="1:14" ht="11.25" customHeight="1" x14ac:dyDescent="0.3">
      <c r="A96" s="13" t="s">
        <v>271</v>
      </c>
      <c r="B96" s="23" t="str">
        <f>S.Info!O96&amp;" "&amp;S.Info!P96&amp;"회"</f>
        <v>태군노래자랑 11회</v>
      </c>
      <c r="C96" s="13"/>
      <c r="D96" s="13"/>
      <c r="E96" s="23" t="str">
        <f>TEXT(S.Info!K96,"YYYY-MM-DD HH:MM")</f>
        <v>2025-09-18 03:40</v>
      </c>
      <c r="F96" s="23" t="str">
        <f>TEXT(S.Info!N96,"[MM]")</f>
        <v>60</v>
      </c>
      <c r="G96" s="23">
        <v>0</v>
      </c>
      <c r="H96" s="23" t="str">
        <f>IF(TEXT(IF(S.Info!Q96="15세",3,0),"#,##")&lt;&gt;"",TEXT(IF(S.Info!Q96="15세",3,0),"#,##"),"0")</f>
        <v>0</v>
      </c>
      <c r="I96" s="24" t="s">
        <v>354</v>
      </c>
      <c r="J96" s="24" t="s">
        <v>354</v>
      </c>
      <c r="K96" s="24" t="s">
        <v>354</v>
      </c>
      <c r="L96" s="24" t="s">
        <v>354</v>
      </c>
      <c r="M96" s="24" t="s">
        <v>354</v>
      </c>
      <c r="N96" s="24" t="s">
        <v>63</v>
      </c>
    </row>
    <row r="97" spans="1:14" ht="11.25" customHeight="1" x14ac:dyDescent="0.3">
      <c r="A97" s="13" t="s">
        <v>271</v>
      </c>
      <c r="B97" s="23" t="str">
        <f>S.Info!O97&amp;" "&amp;S.Info!P97&amp;"회"</f>
        <v>NEWS4 64회</v>
      </c>
      <c r="C97" s="13"/>
      <c r="D97" s="13"/>
      <c r="E97" s="23" t="str">
        <f>TEXT(S.Info!K97,"YYYY-MM-DD HH:MM")</f>
        <v>2025-09-18 04:40</v>
      </c>
      <c r="F97" s="23" t="str">
        <f>TEXT(S.Info!N97,"[MM]")</f>
        <v>30</v>
      </c>
      <c r="G97" s="23">
        <v>0</v>
      </c>
      <c r="H97" s="23" t="str">
        <f>IF(TEXT(IF(S.Info!Q97="15세",3,0),"#,##")&lt;&gt;"",TEXT(IF(S.Info!Q97="15세",3,0),"#,##"),"0")</f>
        <v>0</v>
      </c>
      <c r="I97" s="24" t="s">
        <v>354</v>
      </c>
      <c r="J97" s="24" t="s">
        <v>354</v>
      </c>
      <c r="K97" s="24" t="s">
        <v>354</v>
      </c>
      <c r="L97" s="24" t="s">
        <v>354</v>
      </c>
      <c r="M97" s="24" t="s">
        <v>354</v>
      </c>
      <c r="N97" s="24" t="s">
        <v>52</v>
      </c>
    </row>
    <row r="98" spans="1:14" ht="11.25" customHeight="1" x14ac:dyDescent="0.3">
      <c r="A98" s="13" t="s">
        <v>271</v>
      </c>
      <c r="B98" s="23" t="str">
        <f>S.Info!O98&amp;" "&amp;S.Info!P98&amp;"회"</f>
        <v>내삶을바꾸는정책 2192회</v>
      </c>
      <c r="C98" s="13"/>
      <c r="D98" s="13"/>
      <c r="E98" s="23" t="str">
        <f>TEXT(S.Info!K98,"YYYY-MM-DD HH:MM")</f>
        <v>2025-09-18 05:10</v>
      </c>
      <c r="F98" s="23" t="str">
        <f>TEXT(S.Info!N98,"[MM]")</f>
        <v>60</v>
      </c>
      <c r="G98" s="23">
        <v>0</v>
      </c>
      <c r="H98" s="23" t="str">
        <f>IF(TEXT(IF(S.Info!Q98="15세",3,0),"#,##")&lt;&gt;"",TEXT(IF(S.Info!Q98="15세",3,0),"#,##"),"0")</f>
        <v>0</v>
      </c>
      <c r="I98" s="24" t="s">
        <v>354</v>
      </c>
      <c r="J98" s="24" t="s">
        <v>354</v>
      </c>
      <c r="K98" s="24" t="s">
        <v>354</v>
      </c>
      <c r="L98" s="24" t="s">
        <v>354</v>
      </c>
      <c r="M98" s="24" t="s">
        <v>354</v>
      </c>
      <c r="N98" s="24" t="s">
        <v>41</v>
      </c>
    </row>
    <row r="99" spans="1:14" ht="11.25" customHeight="1" x14ac:dyDescent="0.3">
      <c r="A99" s="13" t="s">
        <v>271</v>
      </c>
      <c r="B99" s="23" t="str">
        <f>S.Info!O99&amp;" "&amp;S.Info!P99&amp;"회"</f>
        <v>내고향 전파 6회</v>
      </c>
      <c r="C99" s="13"/>
      <c r="D99" s="13"/>
      <c r="E99" s="23" t="str">
        <f>TEXT(S.Info!K99,"YYYY-MM-DD HH:MM")</f>
        <v>2025-09-18 06:10</v>
      </c>
      <c r="F99" s="23" t="str">
        <f>TEXT(S.Info!N99,"[MM]")</f>
        <v>50</v>
      </c>
      <c r="G99" s="23">
        <v>0</v>
      </c>
      <c r="H99" s="23" t="str">
        <f>IF(TEXT(IF(S.Info!Q99="15세",3,0),"#,##")&lt;&gt;"",TEXT(IF(S.Info!Q99="15세",3,0),"#,##"),"0")</f>
        <v>0</v>
      </c>
      <c r="I99" s="24" t="s">
        <v>354</v>
      </c>
      <c r="J99" s="24" t="s">
        <v>354</v>
      </c>
      <c r="K99" s="24" t="s">
        <v>354</v>
      </c>
      <c r="L99" s="24" t="s">
        <v>354</v>
      </c>
      <c r="M99" s="24" t="s">
        <v>354</v>
      </c>
      <c r="N99" s="24" t="s">
        <v>57</v>
      </c>
    </row>
    <row r="100" spans="1:14" ht="11.25" customHeight="1" x14ac:dyDescent="0.3">
      <c r="A100" s="13" t="s">
        <v>271</v>
      </c>
      <c r="B100" s="23" t="str">
        <f>S.Info!O100&amp;" "&amp;S.Info!P100&amp;"회"</f>
        <v>최선규의 이제는 지방시대 1회</v>
      </c>
      <c r="C100" s="13"/>
      <c r="D100" s="13"/>
      <c r="E100" s="23" t="str">
        <f>TEXT(S.Info!K100,"YYYY-MM-DD HH:MM")</f>
        <v>2025-09-18 07:00</v>
      </c>
      <c r="F100" s="23" t="str">
        <f>TEXT(S.Info!N100,"[MM]")</f>
        <v>60</v>
      </c>
      <c r="G100" s="23">
        <v>0</v>
      </c>
      <c r="H100" s="23" t="str">
        <f>IF(TEXT(IF(S.Info!Q100="15세",3,0),"#,##")&lt;&gt;"",TEXT(IF(S.Info!Q100="15세",3,0),"#,##"),"0")</f>
        <v>0</v>
      </c>
      <c r="I100" s="24" t="s">
        <v>354</v>
      </c>
      <c r="J100" s="24" t="s">
        <v>354</v>
      </c>
      <c r="K100" s="24" t="s">
        <v>354</v>
      </c>
      <c r="L100" s="24" t="s">
        <v>354</v>
      </c>
      <c r="M100" s="24" t="s">
        <v>354</v>
      </c>
      <c r="N100" s="24" t="s">
        <v>50</v>
      </c>
    </row>
    <row r="101" spans="1:14" ht="11.25" customHeight="1" x14ac:dyDescent="0.3">
      <c r="A101" s="13" t="s">
        <v>271</v>
      </c>
      <c r="B101" s="23" t="str">
        <f>S.Info!O101&amp;" "&amp;S.Info!P101&amp;"회"</f>
        <v>NEWSPLUS 64회</v>
      </c>
      <c r="C101" s="13"/>
      <c r="D101" s="13"/>
      <c r="E101" s="23" t="str">
        <f>TEXT(S.Info!K101,"YYYY-MM-DD HH:MM")</f>
        <v>2025-09-18 08:00</v>
      </c>
      <c r="F101" s="23" t="str">
        <f>TEXT(S.Info!N101,"[MM]")</f>
        <v>30</v>
      </c>
      <c r="G101" s="23">
        <v>0</v>
      </c>
      <c r="H101" s="23" t="str">
        <f>IF(TEXT(IF(S.Info!Q101="15세",3,0),"#,##")&lt;&gt;"",TEXT(IF(S.Info!Q101="15세",3,0),"#,##"),"0")</f>
        <v>0</v>
      </c>
      <c r="I101" s="24" t="s">
        <v>354</v>
      </c>
      <c r="J101" s="24" t="s">
        <v>354</v>
      </c>
      <c r="K101" s="24" t="s">
        <v>354</v>
      </c>
      <c r="L101" s="24" t="s">
        <v>354</v>
      </c>
      <c r="M101" s="24" t="s">
        <v>354</v>
      </c>
      <c r="N101" s="24" t="s">
        <v>43</v>
      </c>
    </row>
    <row r="102" spans="1:14" ht="11.25" customHeight="1" x14ac:dyDescent="0.3">
      <c r="A102" s="13" t="s">
        <v>271</v>
      </c>
      <c r="B102" s="23" t="str">
        <f>S.Info!O102&amp;" "&amp;S.Info!P102&amp;"회"</f>
        <v>남도스럽게 3회</v>
      </c>
      <c r="C102" s="13"/>
      <c r="D102" s="13"/>
      <c r="E102" s="23" t="str">
        <f>TEXT(S.Info!K102,"YYYY-MM-DD HH:MM")</f>
        <v>2025-09-18 08:30</v>
      </c>
      <c r="F102" s="23" t="str">
        <f>TEXT(S.Info!N102,"[MM]")</f>
        <v>50</v>
      </c>
      <c r="G102" s="23">
        <v>0</v>
      </c>
      <c r="H102" s="23" t="str">
        <f>IF(TEXT(IF(S.Info!Q102="15세",3,0),"#,##")&lt;&gt;"",TEXT(IF(S.Info!Q102="15세",3,0),"#,##"),"0")</f>
        <v>0</v>
      </c>
      <c r="I102" s="24" t="s">
        <v>354</v>
      </c>
      <c r="J102" s="24" t="s">
        <v>354</v>
      </c>
      <c r="K102" s="24" t="s">
        <v>354</v>
      </c>
      <c r="L102" s="24" t="s">
        <v>354</v>
      </c>
      <c r="M102" s="24" t="s">
        <v>354</v>
      </c>
      <c r="N102" s="24" t="s">
        <v>673</v>
      </c>
    </row>
    <row r="103" spans="1:14" ht="11.25" customHeight="1" x14ac:dyDescent="0.3">
      <c r="A103" s="13" t="s">
        <v>271</v>
      </c>
      <c r="B103" s="23" t="str">
        <f>S.Info!O103&amp;" "&amp;S.Info!P103&amp;"회"</f>
        <v>눈에 띄는 그녀들 시즌3 10회</v>
      </c>
      <c r="C103" s="13"/>
      <c r="D103" s="13"/>
      <c r="E103" s="23" t="str">
        <f>TEXT(S.Info!K103,"YYYY-MM-DD HH:MM")</f>
        <v>2025-09-18 09:20</v>
      </c>
      <c r="F103" s="23" t="str">
        <f>TEXT(S.Info!N103,"[MM]")</f>
        <v>40</v>
      </c>
      <c r="G103" s="23">
        <v>0</v>
      </c>
      <c r="H103" s="23" t="str">
        <f>IF(TEXT(IF(S.Info!Q103="15세",3,0),"#,##")&lt;&gt;"",TEXT(IF(S.Info!Q103="15세",3,0),"#,##"),"0")</f>
        <v>0</v>
      </c>
      <c r="I103" s="24" t="s">
        <v>354</v>
      </c>
      <c r="J103" s="24" t="s">
        <v>354</v>
      </c>
      <c r="K103" s="24" t="s">
        <v>354</v>
      </c>
      <c r="L103" s="24" t="s">
        <v>354</v>
      </c>
      <c r="M103" s="24" t="s">
        <v>354</v>
      </c>
      <c r="N103" s="24" t="s">
        <v>665</v>
      </c>
    </row>
    <row r="104" spans="1:14" ht="11.25" customHeight="1" x14ac:dyDescent="0.3">
      <c r="A104" s="13" t="s">
        <v>271</v>
      </c>
      <c r="B104" s="23" t="str">
        <f>S.Info!O104&amp;" "&amp;S.Info!P104&amp;"회"</f>
        <v>특집 2026 지방선거_서울특별시의회 생생중계_본회의 5회</v>
      </c>
      <c r="C104" s="13"/>
      <c r="D104" s="13"/>
      <c r="E104" s="23" t="str">
        <f>TEXT(S.Info!K104,"YYYY-MM-DD HH:MM")</f>
        <v>2025-09-18 10:00</v>
      </c>
      <c r="F104" s="23" t="str">
        <f>TEXT(S.Info!N104,"[MM]")</f>
        <v>60</v>
      </c>
      <c r="G104" s="23">
        <v>0</v>
      </c>
      <c r="H104" s="23" t="str">
        <f>IF(TEXT(IF(S.Info!Q104="15세",3,0),"#,##")&lt;&gt;"",TEXT(IF(S.Info!Q104="15세",3,0),"#,##"),"0")</f>
        <v>0</v>
      </c>
      <c r="I104" s="24" t="s">
        <v>354</v>
      </c>
      <c r="J104" s="24" t="s">
        <v>354</v>
      </c>
      <c r="K104" s="24" t="s">
        <v>354</v>
      </c>
      <c r="L104" s="24" t="s">
        <v>354</v>
      </c>
      <c r="M104" s="24" t="s">
        <v>354</v>
      </c>
      <c r="N104" s="24" t="s">
        <v>683</v>
      </c>
    </row>
    <row r="105" spans="1:14" ht="11.25" customHeight="1" x14ac:dyDescent="0.3">
      <c r="A105" s="13" t="s">
        <v>271</v>
      </c>
      <c r="B105" s="23" t="str">
        <f>S.Info!O105&amp;" "&amp;S.Info!P105&amp;"회"</f>
        <v>특집 2026 지방선거_경기도의회 생생중계_본회의 17회</v>
      </c>
      <c r="C105" s="13"/>
      <c r="D105" s="13"/>
      <c r="E105" s="23" t="str">
        <f>TEXT(S.Info!K105,"YYYY-MM-DD HH:MM")</f>
        <v>2025-09-18 11:00</v>
      </c>
      <c r="F105" s="23" t="str">
        <f>TEXT(S.Info!N105,"[MM]")</f>
        <v>60</v>
      </c>
      <c r="G105" s="23">
        <v>0</v>
      </c>
      <c r="H105" s="23" t="str">
        <f>IF(TEXT(IF(S.Info!Q105="15세",3,0),"#,##")&lt;&gt;"",TEXT(IF(S.Info!Q105="15세",3,0),"#,##"),"0")</f>
        <v>0</v>
      </c>
      <c r="I105" s="24" t="s">
        <v>354</v>
      </c>
      <c r="J105" s="24" t="s">
        <v>354</v>
      </c>
      <c r="K105" s="24" t="s">
        <v>354</v>
      </c>
      <c r="L105" s="24" t="s">
        <v>354</v>
      </c>
      <c r="M105" s="24" t="s">
        <v>354</v>
      </c>
      <c r="N105" s="24" t="s">
        <v>674</v>
      </c>
    </row>
    <row r="106" spans="1:14" ht="11.25" customHeight="1" x14ac:dyDescent="0.3">
      <c r="A106" s="13" t="s">
        <v>271</v>
      </c>
      <c r="B106" s="23" t="str">
        <f>S.Info!O106&amp;" "&amp;S.Info!P106&amp;"회"</f>
        <v>행복무지개 32회</v>
      </c>
      <c r="C106" s="13"/>
      <c r="D106" s="13"/>
      <c r="E106" s="23" t="str">
        <f>TEXT(S.Info!K106,"YYYY-MM-DD HH:MM")</f>
        <v>2025-09-18 12:00</v>
      </c>
      <c r="F106" s="23" t="str">
        <f>TEXT(S.Info!N106,"[MM]")</f>
        <v>60</v>
      </c>
      <c r="G106" s="23">
        <v>0</v>
      </c>
      <c r="H106" s="23" t="str">
        <f>IF(TEXT(IF(S.Info!Q106="15세",3,0),"#,##")&lt;&gt;"",TEXT(IF(S.Info!Q106="15세",3,0),"#,##"),"0")</f>
        <v>0</v>
      </c>
      <c r="I106" s="24" t="s">
        <v>354</v>
      </c>
      <c r="J106" s="24" t="s">
        <v>354</v>
      </c>
      <c r="K106" s="24" t="s">
        <v>354</v>
      </c>
      <c r="L106" s="24" t="s">
        <v>354</v>
      </c>
      <c r="M106" s="24" t="s">
        <v>354</v>
      </c>
      <c r="N106" s="24" t="s">
        <v>664</v>
      </c>
    </row>
    <row r="107" spans="1:14" ht="11.25" customHeight="1" x14ac:dyDescent="0.3">
      <c r="A107" s="13" t="s">
        <v>271</v>
      </c>
      <c r="B107" s="23" t="str">
        <f>S.Info!O107&amp;" "&amp;S.Info!P107&amp;"회"</f>
        <v>NEWSJ 66회</v>
      </c>
      <c r="C107" s="13"/>
      <c r="D107" s="13"/>
      <c r="E107" s="23" t="str">
        <f>TEXT(S.Info!K107,"YYYY-MM-DD HH:MM")</f>
        <v>2025-09-18 13:00</v>
      </c>
      <c r="F107" s="23" t="str">
        <f>TEXT(S.Info!N107,"[MM]")</f>
        <v>30</v>
      </c>
      <c r="G107" s="23">
        <v>0</v>
      </c>
      <c r="H107" s="23" t="str">
        <f>IF(TEXT(IF(S.Info!Q107="15세",3,0),"#,##")&lt;&gt;"",TEXT(IF(S.Info!Q107="15세",3,0),"#,##"),"0")</f>
        <v>0</v>
      </c>
      <c r="I107" s="24" t="s">
        <v>354</v>
      </c>
      <c r="J107" s="24" t="s">
        <v>354</v>
      </c>
      <c r="K107" s="24" t="s">
        <v>354</v>
      </c>
      <c r="L107" s="24" t="s">
        <v>354</v>
      </c>
      <c r="M107" s="24" t="s">
        <v>354</v>
      </c>
      <c r="N107" s="24" t="s">
        <v>689</v>
      </c>
    </row>
    <row r="108" spans="1:14" ht="11.25" customHeight="1" x14ac:dyDescent="0.3">
      <c r="A108" s="13" t="s">
        <v>271</v>
      </c>
      <c r="B108" s="23" t="str">
        <f>S.Info!O108&amp;" "&amp;S.Info!P108&amp;"회"</f>
        <v>더 人터뷰 52회</v>
      </c>
      <c r="C108" s="13"/>
      <c r="D108" s="13"/>
      <c r="E108" s="23" t="str">
        <f>TEXT(S.Info!K108,"YYYY-MM-DD HH:MM")</f>
        <v>2025-09-18 13:30</v>
      </c>
      <c r="F108" s="23" t="str">
        <f>TEXT(S.Info!N108,"[MM]")</f>
        <v>30</v>
      </c>
      <c r="G108" s="23">
        <v>0</v>
      </c>
      <c r="H108" s="23" t="str">
        <f>IF(TEXT(IF(S.Info!Q108="15세",3,0),"#,##")&lt;&gt;"",TEXT(IF(S.Info!Q108="15세",3,0),"#,##"),"0")</f>
        <v>0</v>
      </c>
      <c r="I108" s="24" t="s">
        <v>354</v>
      </c>
      <c r="J108" s="24" t="s">
        <v>354</v>
      </c>
      <c r="K108" s="24" t="s">
        <v>354</v>
      </c>
      <c r="L108" s="24" t="s">
        <v>354</v>
      </c>
      <c r="M108" s="24" t="s">
        <v>354</v>
      </c>
      <c r="N108" s="24" t="s">
        <v>691</v>
      </c>
    </row>
    <row r="109" spans="1:14" ht="11.25" customHeight="1" x14ac:dyDescent="0.3">
      <c r="A109" s="13" t="s">
        <v>271</v>
      </c>
      <c r="B109" s="23" t="str">
        <f>S.Info!O109&amp;" "&amp;S.Info!P109&amp;"회"</f>
        <v>특집 2026 지방선거_서울특별시의회 생생중계_상임위 18회</v>
      </c>
      <c r="C109" s="13"/>
      <c r="D109" s="13"/>
      <c r="E109" s="23" t="str">
        <f>TEXT(S.Info!K109,"YYYY-MM-DD HH:MM")</f>
        <v>2025-09-18 14:00</v>
      </c>
      <c r="F109" s="23" t="str">
        <f>TEXT(S.Info!N109,"[MM]")</f>
        <v>60</v>
      </c>
      <c r="G109" s="23">
        <v>0</v>
      </c>
      <c r="H109" s="23" t="str">
        <f>IF(TEXT(IF(S.Info!Q109="15세",3,0),"#,##")&lt;&gt;"",TEXT(IF(S.Info!Q109="15세",3,0),"#,##"),"0")</f>
        <v>0</v>
      </c>
      <c r="I109" s="24" t="s">
        <v>354</v>
      </c>
      <c r="J109" s="24" t="s">
        <v>354</v>
      </c>
      <c r="K109" s="24" t="s">
        <v>354</v>
      </c>
      <c r="L109" s="24" t="s">
        <v>354</v>
      </c>
      <c r="M109" s="24" t="s">
        <v>354</v>
      </c>
      <c r="N109" s="24" t="s">
        <v>676</v>
      </c>
    </row>
    <row r="110" spans="1:14" ht="11.25" customHeight="1" x14ac:dyDescent="0.3">
      <c r="A110" s="13" t="s">
        <v>271</v>
      </c>
      <c r="B110" s="23" t="str">
        <f>S.Info!O110&amp;" "&amp;S.Info!P110&amp;"회"</f>
        <v>행복무지개 31회</v>
      </c>
      <c r="C110" s="13"/>
      <c r="D110" s="13"/>
      <c r="E110" s="23" t="str">
        <f>TEXT(S.Info!K110,"YYYY-MM-DD HH:MM")</f>
        <v>2025-09-18 15:00</v>
      </c>
      <c r="F110" s="23" t="str">
        <f>TEXT(S.Info!N110,"[MM]")</f>
        <v>60</v>
      </c>
      <c r="G110" s="23">
        <v>0</v>
      </c>
      <c r="H110" s="23" t="str">
        <f>IF(TEXT(IF(S.Info!Q110="15세",3,0),"#,##")&lt;&gt;"",TEXT(IF(S.Info!Q110="15세",3,0),"#,##"),"0")</f>
        <v>0</v>
      </c>
      <c r="I110" s="24" t="s">
        <v>354</v>
      </c>
      <c r="J110" s="24" t="s">
        <v>354</v>
      </c>
      <c r="K110" s="24" t="s">
        <v>354</v>
      </c>
      <c r="L110" s="24" t="s">
        <v>354</v>
      </c>
      <c r="M110" s="24" t="s">
        <v>354</v>
      </c>
      <c r="N110" s="24" t="s">
        <v>671</v>
      </c>
    </row>
    <row r="111" spans="1:14" ht="11.25" customHeight="1" x14ac:dyDescent="0.3">
      <c r="A111" s="13" t="s">
        <v>271</v>
      </c>
      <c r="B111" s="23" t="str">
        <f>S.Info!O111&amp;" "&amp;S.Info!P111&amp;"회"</f>
        <v>NEWS4 64회</v>
      </c>
      <c r="C111" s="13"/>
      <c r="D111" s="13"/>
      <c r="E111" s="23" t="str">
        <f>TEXT(S.Info!K111,"YYYY-MM-DD HH:MM")</f>
        <v>2025-09-18 16:00</v>
      </c>
      <c r="F111" s="23" t="str">
        <f>TEXT(S.Info!N111,"[MM]")</f>
        <v>30</v>
      </c>
      <c r="G111" s="23">
        <v>0</v>
      </c>
      <c r="H111" s="23" t="str">
        <f>IF(TEXT(IF(S.Info!Q111="15세",3,0),"#,##")&lt;&gt;"",TEXT(IF(S.Info!Q111="15세",3,0),"#,##"),"0")</f>
        <v>0</v>
      </c>
      <c r="I111" s="24" t="s">
        <v>354</v>
      </c>
      <c r="J111" s="24" t="s">
        <v>354</v>
      </c>
      <c r="K111" s="24" t="s">
        <v>354</v>
      </c>
      <c r="L111" s="24" t="s">
        <v>354</v>
      </c>
      <c r="M111" s="24" t="s">
        <v>354</v>
      </c>
      <c r="N111" s="24" t="s">
        <v>675</v>
      </c>
    </row>
    <row r="112" spans="1:14" ht="11.25" customHeight="1" x14ac:dyDescent="0.3">
      <c r="A112" s="13" t="s">
        <v>271</v>
      </c>
      <c r="B112" s="23" t="str">
        <f>S.Info!O112&amp;" "&amp;S.Info!P112&amp;"회"</f>
        <v>호남, 호남人 133회</v>
      </c>
      <c r="C112" s="13"/>
      <c r="D112" s="13"/>
      <c r="E112" s="23" t="str">
        <f>TEXT(S.Info!K112,"YYYY-MM-DD HH:MM")</f>
        <v>2025-09-18 16:30</v>
      </c>
      <c r="F112" s="23" t="str">
        <f>TEXT(S.Info!N112,"[MM]")</f>
        <v>30</v>
      </c>
      <c r="G112" s="23">
        <v>0</v>
      </c>
      <c r="H112" s="23" t="str">
        <f>IF(TEXT(IF(S.Info!Q112="15세",3,0),"#,##")&lt;&gt;"",TEXT(IF(S.Info!Q112="15세",3,0),"#,##"),"0")</f>
        <v>0</v>
      </c>
      <c r="I112" s="24" t="s">
        <v>354</v>
      </c>
      <c r="J112" s="24" t="s">
        <v>354</v>
      </c>
      <c r="K112" s="24" t="s">
        <v>354</v>
      </c>
      <c r="L112" s="24" t="s">
        <v>354</v>
      </c>
      <c r="M112" s="24" t="s">
        <v>354</v>
      </c>
      <c r="N112" s="24" t="s">
        <v>677</v>
      </c>
    </row>
    <row r="113" spans="1:14" ht="11.25" customHeight="1" x14ac:dyDescent="0.3">
      <c r="A113" s="13" t="s">
        <v>271</v>
      </c>
      <c r="B113" s="23" t="str">
        <f>S.Info!O113&amp;" "&amp;S.Info!P113&amp;"회"</f>
        <v>특집 2026 지방선거_경기도의회 생생중계_상임위 17회</v>
      </c>
      <c r="C113" s="13"/>
      <c r="D113" s="13"/>
      <c r="E113" s="23" t="str">
        <f>TEXT(S.Info!K113,"YYYY-MM-DD HH:MM")</f>
        <v>2025-09-18 17:00</v>
      </c>
      <c r="F113" s="23" t="str">
        <f>TEXT(S.Info!N113,"[MM]")</f>
        <v>60</v>
      </c>
      <c r="G113" s="23">
        <v>0</v>
      </c>
      <c r="H113" s="23" t="str">
        <f>IF(TEXT(IF(S.Info!Q113="15세",3,0),"#,##")&lt;&gt;"",TEXT(IF(S.Info!Q113="15세",3,0),"#,##"),"0")</f>
        <v>0</v>
      </c>
      <c r="I113" s="24" t="s">
        <v>354</v>
      </c>
      <c r="J113" s="24" t="s">
        <v>354</v>
      </c>
      <c r="K113" s="24" t="s">
        <v>354</v>
      </c>
      <c r="L113" s="24" t="s">
        <v>354</v>
      </c>
      <c r="M113" s="24" t="s">
        <v>354</v>
      </c>
      <c r="N113" s="24" t="s">
        <v>682</v>
      </c>
    </row>
    <row r="114" spans="1:14" ht="11.25" customHeight="1" x14ac:dyDescent="0.3">
      <c r="A114" s="13" t="s">
        <v>271</v>
      </c>
      <c r="B114" s="23" t="str">
        <f>S.Info!O114&amp;" "&amp;S.Info!P114&amp;"회"</f>
        <v>눈에 띄는 그녀들 시즌5 8회</v>
      </c>
      <c r="C114" s="13"/>
      <c r="D114" s="13"/>
      <c r="E114" s="23" t="str">
        <f>TEXT(S.Info!K114,"YYYY-MM-DD HH:MM")</f>
        <v>2025-09-18 18:00</v>
      </c>
      <c r="F114" s="23" t="str">
        <f>TEXT(S.Info!N114,"[MM]")</f>
        <v>30</v>
      </c>
      <c r="G114" s="23">
        <v>0</v>
      </c>
      <c r="H114" s="23" t="str">
        <f>IF(TEXT(IF(S.Info!Q114="15세",3,0),"#,##")&lt;&gt;"",TEXT(IF(S.Info!Q114="15세",3,0),"#,##"),"0")</f>
        <v>0</v>
      </c>
      <c r="I114" s="24" t="s">
        <v>354</v>
      </c>
      <c r="J114" s="24" t="s">
        <v>354</v>
      </c>
      <c r="K114" s="24" t="s">
        <v>354</v>
      </c>
      <c r="L114" s="24" t="s">
        <v>354</v>
      </c>
      <c r="M114" s="24" t="s">
        <v>354</v>
      </c>
      <c r="N114" s="24" t="s">
        <v>666</v>
      </c>
    </row>
    <row r="115" spans="1:14" ht="11.25" customHeight="1" x14ac:dyDescent="0.3">
      <c r="A115" s="13" t="s">
        <v>271</v>
      </c>
      <c r="B115" s="23" t="str">
        <f>S.Info!O115&amp;" "&amp;S.Info!P115&amp;"회"</f>
        <v>낭만살롱 8회</v>
      </c>
      <c r="C115" s="13"/>
      <c r="D115" s="13"/>
      <c r="E115" s="23" t="str">
        <f>TEXT(S.Info!K115,"YYYY-MM-DD HH:MM")</f>
        <v>2025-09-18 18:30</v>
      </c>
      <c r="F115" s="23" t="str">
        <f>TEXT(S.Info!N115,"[MM]")</f>
        <v>30</v>
      </c>
      <c r="G115" s="23">
        <v>0</v>
      </c>
      <c r="H115" s="23" t="str">
        <f>IF(TEXT(IF(S.Info!Q115="15세",3,0),"#,##")&lt;&gt;"",TEXT(IF(S.Info!Q115="15세",3,0),"#,##"),"0")</f>
        <v>0</v>
      </c>
      <c r="I115" s="24" t="s">
        <v>354</v>
      </c>
      <c r="J115" s="24" t="s">
        <v>354</v>
      </c>
      <c r="K115" s="24" t="s">
        <v>354</v>
      </c>
      <c r="L115" s="24" t="s">
        <v>354</v>
      </c>
      <c r="M115" s="24" t="s">
        <v>354</v>
      </c>
      <c r="N115" s="24" t="s">
        <v>690</v>
      </c>
    </row>
    <row r="116" spans="1:14" ht="11.25" customHeight="1" x14ac:dyDescent="0.3">
      <c r="A116" s="13" t="s">
        <v>271</v>
      </c>
      <c r="B116" s="23" t="str">
        <f>S.Info!O116&amp;" "&amp;S.Info!P116&amp;"회"</f>
        <v>뉴스와이드 435회</v>
      </c>
      <c r="C116" s="13"/>
      <c r="D116" s="13"/>
      <c r="E116" s="23" t="str">
        <f>TEXT(S.Info!K116,"YYYY-MM-DD HH:MM")</f>
        <v>2025-09-18 19:00</v>
      </c>
      <c r="F116" s="23" t="str">
        <f>TEXT(S.Info!N116,"[MM]")</f>
        <v>60</v>
      </c>
      <c r="G116" s="23">
        <v>0</v>
      </c>
      <c r="H116" s="23" t="str">
        <f>IF(TEXT(IF(S.Info!Q116="15세",3,0),"#,##")&lt;&gt;"",TEXT(IF(S.Info!Q116="15세",3,0),"#,##"),"0")</f>
        <v>0</v>
      </c>
      <c r="I116" s="24" t="s">
        <v>354</v>
      </c>
      <c r="J116" s="24" t="s">
        <v>354</v>
      </c>
      <c r="K116" s="24" t="s">
        <v>354</v>
      </c>
      <c r="L116" s="24" t="s">
        <v>354</v>
      </c>
      <c r="M116" s="24" t="s">
        <v>354</v>
      </c>
      <c r="N116" s="24" t="s">
        <v>684</v>
      </c>
    </row>
    <row r="117" spans="1:14" ht="11.25" customHeight="1" x14ac:dyDescent="0.3">
      <c r="A117" s="13" t="s">
        <v>271</v>
      </c>
      <c r="B117" s="23" t="str">
        <f>S.Info!O117&amp;" "&amp;S.Info!P117&amp;"회"</f>
        <v>NEWSON 66회</v>
      </c>
      <c r="C117" s="13"/>
      <c r="D117" s="13"/>
      <c r="E117" s="23" t="str">
        <f>TEXT(S.Info!K117,"YYYY-MM-DD HH:MM")</f>
        <v>2025-09-18 20:00</v>
      </c>
      <c r="F117" s="23" t="str">
        <f>TEXT(S.Info!N117,"[MM]")</f>
        <v>30</v>
      </c>
      <c r="G117" s="23">
        <v>0</v>
      </c>
      <c r="H117" s="23" t="str">
        <f>IF(TEXT(IF(S.Info!Q117="15세",3,0),"#,##")&lt;&gt;"",TEXT(IF(S.Info!Q117="15세",3,0),"#,##"),"0")</f>
        <v>0</v>
      </c>
      <c r="I117" s="24" t="s">
        <v>354</v>
      </c>
      <c r="J117" s="24" t="s">
        <v>354</v>
      </c>
      <c r="K117" s="24" t="s">
        <v>354</v>
      </c>
      <c r="L117" s="24" t="s">
        <v>354</v>
      </c>
      <c r="M117" s="24" t="s">
        <v>354</v>
      </c>
      <c r="N117" s="24" t="s">
        <v>667</v>
      </c>
    </row>
    <row r="118" spans="1:14" ht="11.25" customHeight="1" x14ac:dyDescent="0.3">
      <c r="A118" s="13" t="s">
        <v>271</v>
      </c>
      <c r="B118" s="23" t="str">
        <f>S.Info!O118&amp;" "&amp;S.Info!P118&amp;"회"</f>
        <v>우리동네 너튜브 7회</v>
      </c>
      <c r="C118" s="13"/>
      <c r="D118" s="13"/>
      <c r="E118" s="23" t="str">
        <f>TEXT(S.Info!K118,"YYYY-MM-DD HH:MM")</f>
        <v>2025-09-18 20:30</v>
      </c>
      <c r="F118" s="23" t="str">
        <f>TEXT(S.Info!N118,"[MM]")</f>
        <v>50</v>
      </c>
      <c r="G118" s="23">
        <v>0</v>
      </c>
      <c r="H118" s="23" t="str">
        <f>IF(TEXT(IF(S.Info!Q118="15세",3,0),"#,##")&lt;&gt;"",TEXT(IF(S.Info!Q118="15세",3,0),"#,##"),"0")</f>
        <v>0</v>
      </c>
      <c r="I118" s="24" t="s">
        <v>354</v>
      </c>
      <c r="J118" s="24" t="s">
        <v>354</v>
      </c>
      <c r="K118" s="24" t="s">
        <v>354</v>
      </c>
      <c r="L118" s="24" t="s">
        <v>354</v>
      </c>
      <c r="M118" s="24" t="s">
        <v>354</v>
      </c>
      <c r="N118" s="24" t="s">
        <v>680</v>
      </c>
    </row>
    <row r="119" spans="1:14" ht="11.25" customHeight="1" x14ac:dyDescent="0.3">
      <c r="A119" s="13" t="s">
        <v>271</v>
      </c>
      <c r="B119" s="23" t="str">
        <f>S.Info!O119&amp;" "&amp;S.Info!P119&amp;"회"</f>
        <v>낭만살롱 4회</v>
      </c>
      <c r="C119" s="13"/>
      <c r="D119" s="13"/>
      <c r="E119" s="23" t="str">
        <f>TEXT(S.Info!K119,"YYYY-MM-DD HH:MM")</f>
        <v>2025-09-18 21:20</v>
      </c>
      <c r="F119" s="23" t="str">
        <f>TEXT(S.Info!N119,"[MM]")</f>
        <v>40</v>
      </c>
      <c r="G119" s="23">
        <v>0</v>
      </c>
      <c r="H119" s="23" t="str">
        <f>IF(TEXT(IF(S.Info!Q119="15세",3,0),"#,##")&lt;&gt;"",TEXT(IF(S.Info!Q119="15세",3,0),"#,##"),"0")</f>
        <v>0</v>
      </c>
      <c r="I119" s="24" t="s">
        <v>354</v>
      </c>
      <c r="J119" s="24" t="s">
        <v>354</v>
      </c>
      <c r="K119" s="24" t="s">
        <v>354</v>
      </c>
      <c r="L119" s="24" t="s">
        <v>354</v>
      </c>
      <c r="M119" s="24" t="s">
        <v>354</v>
      </c>
      <c r="N119" s="24" t="s">
        <v>670</v>
      </c>
    </row>
    <row r="120" spans="1:14" ht="11.25" customHeight="1" x14ac:dyDescent="0.3">
      <c r="A120" s="13" t="s">
        <v>271</v>
      </c>
      <c r="B120" s="23" t="str">
        <f>S.Info!O120&amp;" "&amp;S.Info!P120&amp;"회"</f>
        <v>특집 2026 지방선거_서울특별시의회 생생중계_본회의 5회</v>
      </c>
      <c r="C120" s="13"/>
      <c r="D120" s="13"/>
      <c r="E120" s="23" t="str">
        <f>TEXT(S.Info!K120,"YYYY-MM-DD HH:MM")</f>
        <v>2025-09-18 22:00</v>
      </c>
      <c r="F120" s="23" t="str">
        <f>TEXT(S.Info!N120,"[MM]")</f>
        <v>60</v>
      </c>
      <c r="G120" s="23">
        <v>0</v>
      </c>
      <c r="H120" s="23" t="str">
        <f>IF(TEXT(IF(S.Info!Q120="15세",3,0),"#,##")&lt;&gt;"",TEXT(IF(S.Info!Q120="15세",3,0),"#,##"),"0")</f>
        <v>0</v>
      </c>
      <c r="I120" s="24" t="s">
        <v>354</v>
      </c>
      <c r="J120" s="24" t="s">
        <v>354</v>
      </c>
      <c r="K120" s="24" t="s">
        <v>354</v>
      </c>
      <c r="L120" s="24" t="s">
        <v>354</v>
      </c>
      <c r="M120" s="24" t="s">
        <v>354</v>
      </c>
      <c r="N120" s="24" t="s">
        <v>688</v>
      </c>
    </row>
    <row r="121" spans="1:14" ht="11.25" customHeight="1" x14ac:dyDescent="0.3">
      <c r="A121" s="13" t="s">
        <v>271</v>
      </c>
      <c r="B121" s="23" t="str">
        <f>S.Info!O121&amp;" "&amp;S.Info!P121&amp;"회"</f>
        <v>특집 2026 지방선거_서울특별시의회 생생중계_상임위 18회</v>
      </c>
      <c r="C121" s="13"/>
      <c r="D121" s="13"/>
      <c r="E121" s="23" t="str">
        <f>TEXT(S.Info!K121,"YYYY-MM-DD HH:MM")</f>
        <v>2025-09-18 23:00</v>
      </c>
      <c r="F121" s="23" t="str">
        <f>TEXT(S.Info!N121,"[MM]")</f>
        <v>60</v>
      </c>
      <c r="G121" s="23">
        <v>0</v>
      </c>
      <c r="H121" s="23" t="str">
        <f>IF(TEXT(IF(S.Info!Q121="15세",3,0),"#,##")&lt;&gt;"",TEXT(IF(S.Info!Q121="15세",3,0),"#,##"),"0")</f>
        <v>0</v>
      </c>
      <c r="I121" s="24" t="s">
        <v>354</v>
      </c>
      <c r="J121" s="24" t="s">
        <v>354</v>
      </c>
      <c r="K121" s="24" t="s">
        <v>354</v>
      </c>
      <c r="L121" s="24" t="s">
        <v>354</v>
      </c>
      <c r="M121" s="24" t="s">
        <v>354</v>
      </c>
      <c r="N121" s="24" t="s">
        <v>669</v>
      </c>
    </row>
    <row r="122" spans="1:14" ht="11.25" customHeight="1" x14ac:dyDescent="0.3">
      <c r="A122" s="13" t="s">
        <v>271</v>
      </c>
      <c r="B122" s="23" t="str">
        <f>S.Info!O122&amp;" "&amp;S.Info!P122&amp;"회"</f>
        <v>특집 2026 지방선거_경기도의회 생생중계_본회의 17회</v>
      </c>
      <c r="C122" s="13"/>
      <c r="D122" s="13"/>
      <c r="E122" s="23" t="str">
        <f>TEXT(S.Info!K122,"YYYY-MM-DD HH:MM")</f>
        <v>2025-09-19 00:00</v>
      </c>
      <c r="F122" s="23" t="str">
        <f>TEXT(S.Info!N122,"[MM]")</f>
        <v>60</v>
      </c>
      <c r="G122" s="23">
        <v>0</v>
      </c>
      <c r="H122" s="23" t="str">
        <f>IF(TEXT(IF(S.Info!Q122="15세",3,0),"#,##")&lt;&gt;"",TEXT(IF(S.Info!Q122="15세",3,0),"#,##"),"0")</f>
        <v>0</v>
      </c>
      <c r="I122" s="24" t="s">
        <v>354</v>
      </c>
      <c r="J122" s="24" t="s">
        <v>354</v>
      </c>
      <c r="K122" s="24" t="s">
        <v>354</v>
      </c>
      <c r="L122" s="24" t="s">
        <v>354</v>
      </c>
      <c r="M122" s="24" t="s">
        <v>354</v>
      </c>
      <c r="N122" s="24" t="s">
        <v>663</v>
      </c>
    </row>
    <row r="123" spans="1:14" ht="11.25" customHeight="1" x14ac:dyDescent="0.3">
      <c r="A123" s="13" t="s">
        <v>271</v>
      </c>
      <c r="B123" s="23" t="str">
        <f>S.Info!O123&amp;" "&amp;S.Info!P123&amp;"회"</f>
        <v>특집 2026 지방선거_경기도의회 생생중계_상임위 17회</v>
      </c>
      <c r="C123" s="13"/>
      <c r="D123" s="13"/>
      <c r="E123" s="23" t="str">
        <f>TEXT(S.Info!K123,"YYYY-MM-DD HH:MM")</f>
        <v>2025-09-19 01:00</v>
      </c>
      <c r="F123" s="23" t="str">
        <f>TEXT(S.Info!N123,"[MM]")</f>
        <v>60</v>
      </c>
      <c r="G123" s="23">
        <v>0</v>
      </c>
      <c r="H123" s="23" t="str">
        <f>IF(TEXT(IF(S.Info!Q123="15세",3,0),"#,##")&lt;&gt;"",TEXT(IF(S.Info!Q123="15세",3,0),"#,##"),"0")</f>
        <v>0</v>
      </c>
      <c r="I123" s="24" t="s">
        <v>354</v>
      </c>
      <c r="J123" s="24" t="s">
        <v>354</v>
      </c>
      <c r="K123" s="24" t="s">
        <v>354</v>
      </c>
      <c r="L123" s="24" t="s">
        <v>354</v>
      </c>
      <c r="M123" s="24" t="s">
        <v>354</v>
      </c>
      <c r="N123" s="24" t="s">
        <v>662</v>
      </c>
    </row>
    <row r="124" spans="1:14" ht="11.25" customHeight="1" x14ac:dyDescent="0.3">
      <c r="A124" s="13" t="s">
        <v>271</v>
      </c>
      <c r="B124" s="23" t="str">
        <f>S.Info!O124&amp;" "&amp;S.Info!P124&amp;"회"</f>
        <v>휴먼다큐 시장사람들 19회</v>
      </c>
      <c r="C124" s="13"/>
      <c r="D124" s="13"/>
      <c r="E124" s="23" t="str">
        <f>TEXT(S.Info!K124,"YYYY-MM-DD HH:MM")</f>
        <v>2025-09-19 02:00</v>
      </c>
      <c r="F124" s="23" t="str">
        <f>TEXT(S.Info!N124,"[MM]")</f>
        <v>40</v>
      </c>
      <c r="G124" s="23">
        <v>0</v>
      </c>
      <c r="H124" s="23" t="str">
        <f>IF(TEXT(IF(S.Info!Q124="15세",3,0),"#,##")&lt;&gt;"",TEXT(IF(S.Info!Q124="15세",3,0),"#,##"),"0")</f>
        <v>0</v>
      </c>
      <c r="I124" s="24" t="s">
        <v>354</v>
      </c>
      <c r="J124" s="24" t="s">
        <v>354</v>
      </c>
      <c r="K124" s="24" t="s">
        <v>354</v>
      </c>
      <c r="L124" s="24" t="s">
        <v>354</v>
      </c>
      <c r="M124" s="24" t="s">
        <v>354</v>
      </c>
      <c r="N124" s="24" t="s">
        <v>686</v>
      </c>
    </row>
    <row r="125" spans="1:14" ht="11.25" customHeight="1" x14ac:dyDescent="0.3">
      <c r="A125" s="13" t="s">
        <v>271</v>
      </c>
      <c r="B125" s="23" t="str">
        <f>S.Info!O125&amp;" "&amp;S.Info!P125&amp;"회"</f>
        <v>최선규의 이제는 지방시대 시즌2 8회</v>
      </c>
      <c r="C125" s="13"/>
      <c r="D125" s="13"/>
      <c r="E125" s="23" t="str">
        <f>TEXT(S.Info!K125,"YYYY-MM-DD HH:MM")</f>
        <v>2025-09-19 02:40</v>
      </c>
      <c r="F125" s="23" t="str">
        <f>TEXT(S.Info!N125,"[MM]")</f>
        <v>60</v>
      </c>
      <c r="G125" s="23">
        <v>0</v>
      </c>
      <c r="H125" s="23" t="str">
        <f>IF(TEXT(IF(S.Info!Q125="15세",3,0),"#,##")&lt;&gt;"",TEXT(IF(S.Info!Q125="15세",3,0),"#,##"),"0")</f>
        <v>0</v>
      </c>
      <c r="I125" s="24" t="s">
        <v>354</v>
      </c>
      <c r="J125" s="24" t="s">
        <v>354</v>
      </c>
      <c r="K125" s="24" t="s">
        <v>354</v>
      </c>
      <c r="L125" s="24" t="s">
        <v>354</v>
      </c>
      <c r="M125" s="24" t="s">
        <v>354</v>
      </c>
      <c r="N125" s="24" t="s">
        <v>672</v>
      </c>
    </row>
    <row r="126" spans="1:14" ht="11.25" customHeight="1" x14ac:dyDescent="0.3">
      <c r="A126" s="13" t="s">
        <v>271</v>
      </c>
      <c r="B126" s="23" t="str">
        <f>S.Info!O126&amp;" "&amp;S.Info!P126&amp;"회"</f>
        <v>태군노래자랑 12회</v>
      </c>
      <c r="C126" s="13"/>
      <c r="D126" s="13"/>
      <c r="E126" s="23" t="str">
        <f>TEXT(S.Info!K126,"YYYY-MM-DD HH:MM")</f>
        <v>2025-09-19 03:40</v>
      </c>
      <c r="F126" s="23" t="str">
        <f>TEXT(S.Info!N126,"[MM]")</f>
        <v>60</v>
      </c>
      <c r="G126" s="23">
        <v>0</v>
      </c>
      <c r="H126" s="23" t="str">
        <f>IF(TEXT(IF(S.Info!Q126="15세",3,0),"#,##")&lt;&gt;"",TEXT(IF(S.Info!Q126="15세",3,0),"#,##"),"0")</f>
        <v>0</v>
      </c>
      <c r="I126" s="24" t="s">
        <v>354</v>
      </c>
      <c r="J126" s="24" t="s">
        <v>354</v>
      </c>
      <c r="K126" s="24" t="s">
        <v>354</v>
      </c>
      <c r="L126" s="24" t="s">
        <v>354</v>
      </c>
      <c r="M126" s="24" t="s">
        <v>354</v>
      </c>
      <c r="N126" s="24" t="s">
        <v>685</v>
      </c>
    </row>
    <row r="127" spans="1:14" ht="11.25" customHeight="1" x14ac:dyDescent="0.3">
      <c r="A127" s="13" t="s">
        <v>271</v>
      </c>
      <c r="B127" s="23" t="str">
        <f>S.Info!O127&amp;" "&amp;S.Info!P127&amp;"회"</f>
        <v>NEWS4 64회</v>
      </c>
      <c r="C127" s="13"/>
      <c r="D127" s="13"/>
      <c r="E127" s="23" t="str">
        <f>TEXT(S.Info!K127,"YYYY-MM-DD HH:MM")</f>
        <v>2025-09-19 04:40</v>
      </c>
      <c r="F127" s="23" t="str">
        <f>TEXT(S.Info!N127,"[MM]")</f>
        <v>30</v>
      </c>
      <c r="G127" s="23">
        <v>0</v>
      </c>
      <c r="H127" s="23" t="str">
        <f>IF(TEXT(IF(S.Info!Q127="15세",3,0),"#,##")&lt;&gt;"",TEXT(IF(S.Info!Q127="15세",3,0),"#,##"),"0")</f>
        <v>0</v>
      </c>
      <c r="I127" s="24" t="s">
        <v>354</v>
      </c>
      <c r="J127" s="24" t="s">
        <v>354</v>
      </c>
      <c r="K127" s="24" t="s">
        <v>354</v>
      </c>
      <c r="L127" s="24" t="s">
        <v>354</v>
      </c>
      <c r="M127" s="24" t="s">
        <v>354</v>
      </c>
      <c r="N127" s="24" t="s">
        <v>681</v>
      </c>
    </row>
    <row r="128" spans="1:14" ht="11.25" customHeight="1" x14ac:dyDescent="0.3">
      <c r="A128" s="13" t="s">
        <v>271</v>
      </c>
      <c r="B128" s="23" t="str">
        <f>S.Info!O128&amp;" "&amp;S.Info!P128&amp;"회"</f>
        <v>내삶을바꾸는정책 2193회</v>
      </c>
      <c r="C128" s="13"/>
      <c r="D128" s="13"/>
      <c r="E128" s="23" t="str">
        <f>TEXT(S.Info!K128,"YYYY-MM-DD HH:MM")</f>
        <v>2025-09-19 05:10</v>
      </c>
      <c r="F128" s="23" t="str">
        <f>TEXT(S.Info!N128,"[MM]")</f>
        <v>60</v>
      </c>
      <c r="G128" s="23">
        <v>0</v>
      </c>
      <c r="H128" s="23" t="str">
        <f>IF(TEXT(IF(S.Info!Q128="15세",3,0),"#,##")&lt;&gt;"",TEXT(IF(S.Info!Q128="15세",3,0),"#,##"),"0")</f>
        <v>0</v>
      </c>
      <c r="I128" s="24" t="s">
        <v>354</v>
      </c>
      <c r="J128" s="24" t="s">
        <v>354</v>
      </c>
      <c r="K128" s="24" t="s">
        <v>354</v>
      </c>
      <c r="L128" s="24" t="s">
        <v>354</v>
      </c>
      <c r="M128" s="24" t="s">
        <v>354</v>
      </c>
      <c r="N128" s="24" t="s">
        <v>721</v>
      </c>
    </row>
    <row r="129" spans="1:14" ht="11.25" customHeight="1" x14ac:dyDescent="0.3">
      <c r="A129" s="13" t="s">
        <v>271</v>
      </c>
      <c r="B129" s="23" t="str">
        <f>S.Info!O129&amp;" "&amp;S.Info!P129&amp;"회"</f>
        <v>내고향 전파 7회</v>
      </c>
      <c r="C129" s="13"/>
      <c r="D129" s="13"/>
      <c r="E129" s="23" t="str">
        <f>TEXT(S.Info!K129,"YYYY-MM-DD HH:MM")</f>
        <v>2025-09-19 06:10</v>
      </c>
      <c r="F129" s="23" t="str">
        <f>TEXT(S.Info!N129,"[MM]")</f>
        <v>50</v>
      </c>
      <c r="G129" s="23">
        <v>0</v>
      </c>
      <c r="H129" s="23" t="str">
        <f>IF(TEXT(IF(S.Info!Q129="15세",3,0),"#,##")&lt;&gt;"",TEXT(IF(S.Info!Q129="15세",3,0),"#,##"),"0")</f>
        <v>0</v>
      </c>
      <c r="I129" s="24" t="s">
        <v>354</v>
      </c>
      <c r="J129" s="24" t="s">
        <v>354</v>
      </c>
      <c r="K129" s="24" t="s">
        <v>354</v>
      </c>
      <c r="L129" s="24" t="s">
        <v>354</v>
      </c>
      <c r="M129" s="24" t="s">
        <v>354</v>
      </c>
      <c r="N129" s="24" t="s">
        <v>711</v>
      </c>
    </row>
    <row r="130" spans="1:14" ht="11.25" customHeight="1" x14ac:dyDescent="0.3">
      <c r="A130" s="13" t="s">
        <v>271</v>
      </c>
      <c r="B130" s="23" t="str">
        <f>S.Info!O130&amp;" "&amp;S.Info!P130&amp;"회"</f>
        <v>최선규의 이제는 지방시대 2회</v>
      </c>
      <c r="C130" s="13"/>
      <c r="D130" s="13"/>
      <c r="E130" s="23" t="str">
        <f>TEXT(S.Info!K130,"YYYY-MM-DD HH:MM")</f>
        <v>2025-09-19 07:00</v>
      </c>
      <c r="F130" s="23" t="str">
        <f>TEXT(S.Info!N130,"[MM]")</f>
        <v>60</v>
      </c>
      <c r="G130" s="23">
        <v>0</v>
      </c>
      <c r="H130" s="23" t="str">
        <f>IF(TEXT(IF(S.Info!Q130="15세",3,0),"#,##")&lt;&gt;"",TEXT(IF(S.Info!Q130="15세",3,0),"#,##"),"0")</f>
        <v>0</v>
      </c>
      <c r="I130" s="24" t="s">
        <v>354</v>
      </c>
      <c r="J130" s="24" t="s">
        <v>354</v>
      </c>
      <c r="K130" s="24" t="s">
        <v>354</v>
      </c>
      <c r="L130" s="24" t="s">
        <v>354</v>
      </c>
      <c r="M130" s="24" t="s">
        <v>354</v>
      </c>
      <c r="N130" s="24" t="s">
        <v>698</v>
      </c>
    </row>
    <row r="131" spans="1:14" ht="11.25" customHeight="1" x14ac:dyDescent="0.3">
      <c r="A131" s="13" t="s">
        <v>271</v>
      </c>
      <c r="B131" s="23" t="str">
        <f>S.Info!O131&amp;" "&amp;S.Info!P131&amp;"회"</f>
        <v>NEWSPLUS 64회</v>
      </c>
      <c r="C131" s="13"/>
      <c r="D131" s="13"/>
      <c r="E131" s="23" t="str">
        <f>TEXT(S.Info!K131,"YYYY-MM-DD HH:MM")</f>
        <v>2025-09-19 08:00</v>
      </c>
      <c r="F131" s="23" t="str">
        <f>TEXT(S.Info!N131,"[MM]")</f>
        <v>30</v>
      </c>
      <c r="G131" s="23">
        <v>0</v>
      </c>
      <c r="H131" s="23" t="str">
        <f>IF(TEXT(IF(S.Info!Q131="15세",3,0),"#,##")&lt;&gt;"",TEXT(IF(S.Info!Q131="15세",3,0),"#,##"),"0")</f>
        <v>0</v>
      </c>
      <c r="I131" s="24" t="s">
        <v>354</v>
      </c>
      <c r="J131" s="24" t="s">
        <v>354</v>
      </c>
      <c r="K131" s="24" t="s">
        <v>354</v>
      </c>
      <c r="L131" s="24" t="s">
        <v>354</v>
      </c>
      <c r="M131" s="24" t="s">
        <v>354</v>
      </c>
      <c r="N131" s="24" t="s">
        <v>708</v>
      </c>
    </row>
    <row r="132" spans="1:14" ht="11.25" customHeight="1" x14ac:dyDescent="0.3">
      <c r="A132" s="13" t="s">
        <v>271</v>
      </c>
      <c r="B132" s="23" t="str">
        <f>S.Info!O132&amp;" "&amp;S.Info!P132&amp;"회"</f>
        <v>남도스럽게 4회</v>
      </c>
      <c r="C132" s="13"/>
      <c r="D132" s="13"/>
      <c r="E132" s="23" t="str">
        <f>TEXT(S.Info!K132,"YYYY-MM-DD HH:MM")</f>
        <v>2025-09-19 08:30</v>
      </c>
      <c r="F132" s="23" t="str">
        <f>TEXT(S.Info!N132,"[MM]")</f>
        <v>50</v>
      </c>
      <c r="G132" s="23">
        <v>0</v>
      </c>
      <c r="H132" s="23" t="str">
        <f>IF(TEXT(IF(S.Info!Q132="15세",3,0),"#,##")&lt;&gt;"",TEXT(IF(S.Info!Q132="15세",3,0),"#,##"),"0")</f>
        <v>0</v>
      </c>
      <c r="I132" s="24" t="s">
        <v>354</v>
      </c>
      <c r="J132" s="24" t="s">
        <v>354</v>
      </c>
      <c r="K132" s="24" t="s">
        <v>354</v>
      </c>
      <c r="L132" s="24" t="s">
        <v>354</v>
      </c>
      <c r="M132" s="24" t="s">
        <v>354</v>
      </c>
      <c r="N132" s="24" t="s">
        <v>717</v>
      </c>
    </row>
    <row r="133" spans="1:14" ht="11.25" customHeight="1" x14ac:dyDescent="0.3">
      <c r="A133" s="13" t="s">
        <v>271</v>
      </c>
      <c r="B133" s="23" t="str">
        <f>S.Info!O133&amp;" "&amp;S.Info!P133&amp;"회"</f>
        <v>눈에 띄는 그녀들 시즌5 1회</v>
      </c>
      <c r="C133" s="13"/>
      <c r="D133" s="13"/>
      <c r="E133" s="23" t="str">
        <f>TEXT(S.Info!K133,"YYYY-MM-DD HH:MM")</f>
        <v>2025-09-19 09:20</v>
      </c>
      <c r="F133" s="23" t="str">
        <f>TEXT(S.Info!N133,"[MM]")</f>
        <v>40</v>
      </c>
      <c r="G133" s="23">
        <v>0</v>
      </c>
      <c r="H133" s="23" t="str">
        <f>IF(TEXT(IF(S.Info!Q133="15세",3,0),"#,##")&lt;&gt;"",TEXT(IF(S.Info!Q133="15세",3,0),"#,##"),"0")</f>
        <v>0</v>
      </c>
      <c r="I133" s="24" t="s">
        <v>354</v>
      </c>
      <c r="J133" s="24" t="s">
        <v>354</v>
      </c>
      <c r="K133" s="24" t="s">
        <v>354</v>
      </c>
      <c r="L133" s="24" t="s">
        <v>354</v>
      </c>
      <c r="M133" s="24" t="s">
        <v>354</v>
      </c>
      <c r="N133" s="24" t="s">
        <v>714</v>
      </c>
    </row>
    <row r="134" spans="1:14" ht="11.25" customHeight="1" x14ac:dyDescent="0.3">
      <c r="A134" s="13" t="s">
        <v>271</v>
      </c>
      <c r="B134" s="23" t="str">
        <f>S.Info!O134&amp;" "&amp;S.Info!P134&amp;"회"</f>
        <v>특집 2026 지방선거_서울특별시의회 생생중계_본회의 6회</v>
      </c>
      <c r="C134" s="13"/>
      <c r="D134" s="13"/>
      <c r="E134" s="23" t="str">
        <f>TEXT(S.Info!K134,"YYYY-MM-DD HH:MM")</f>
        <v>2025-09-19 10:00</v>
      </c>
      <c r="F134" s="23" t="str">
        <f>TEXT(S.Info!N134,"[MM]")</f>
        <v>60</v>
      </c>
      <c r="G134" s="23">
        <v>0</v>
      </c>
      <c r="H134" s="23" t="str">
        <f>IF(TEXT(IF(S.Info!Q134="15세",3,0),"#,##")&lt;&gt;"",TEXT(IF(S.Info!Q134="15세",3,0),"#,##"),"0")</f>
        <v>0</v>
      </c>
      <c r="I134" s="24" t="s">
        <v>354</v>
      </c>
      <c r="J134" s="24" t="s">
        <v>354</v>
      </c>
      <c r="K134" s="24" t="s">
        <v>354</v>
      </c>
      <c r="L134" s="24" t="s">
        <v>354</v>
      </c>
      <c r="M134" s="24" t="s">
        <v>354</v>
      </c>
      <c r="N134" s="24" t="s">
        <v>679</v>
      </c>
    </row>
    <row r="135" spans="1:14" ht="11.25" customHeight="1" x14ac:dyDescent="0.3">
      <c r="A135" s="13" t="s">
        <v>271</v>
      </c>
      <c r="B135" s="23" t="str">
        <f>S.Info!O135&amp;" "&amp;S.Info!P135&amp;"회"</f>
        <v>특집 2026 지방선거_경기도의회 생생중계_본회의 18회</v>
      </c>
      <c r="C135" s="13"/>
      <c r="D135" s="13"/>
      <c r="E135" s="23" t="str">
        <f>TEXT(S.Info!K135,"YYYY-MM-DD HH:MM")</f>
        <v>2025-09-19 11:00</v>
      </c>
      <c r="F135" s="23" t="str">
        <f>TEXT(S.Info!N135,"[MM]")</f>
        <v>60</v>
      </c>
      <c r="G135" s="23">
        <v>0</v>
      </c>
      <c r="H135" s="23" t="str">
        <f>IF(TEXT(IF(S.Info!Q135="15세",3,0),"#,##")&lt;&gt;"",TEXT(IF(S.Info!Q135="15세",3,0),"#,##"),"0")</f>
        <v>0</v>
      </c>
      <c r="I135" s="24" t="s">
        <v>354</v>
      </c>
      <c r="J135" s="24" t="s">
        <v>354</v>
      </c>
      <c r="K135" s="24" t="s">
        <v>354</v>
      </c>
      <c r="L135" s="24" t="s">
        <v>354</v>
      </c>
      <c r="M135" s="24" t="s">
        <v>354</v>
      </c>
      <c r="N135" s="24" t="s">
        <v>692</v>
      </c>
    </row>
    <row r="136" spans="1:14" ht="11.25" customHeight="1" x14ac:dyDescent="0.3">
      <c r="A136" s="13" t="s">
        <v>271</v>
      </c>
      <c r="B136" s="23" t="str">
        <f>S.Info!O136&amp;" "&amp;S.Info!P136&amp;"회"</f>
        <v>행복무지개 31회</v>
      </c>
      <c r="C136" s="13"/>
      <c r="D136" s="13"/>
      <c r="E136" s="23" t="str">
        <f>TEXT(S.Info!K136,"YYYY-MM-DD HH:MM")</f>
        <v>2025-09-19 12:00</v>
      </c>
      <c r="F136" s="23" t="str">
        <f>TEXT(S.Info!N136,"[MM]")</f>
        <v>60</v>
      </c>
      <c r="G136" s="23">
        <v>0</v>
      </c>
      <c r="H136" s="23" t="str">
        <f>IF(TEXT(IF(S.Info!Q136="15세",3,0),"#,##")&lt;&gt;"",TEXT(IF(S.Info!Q136="15세",3,0),"#,##"),"0")</f>
        <v>0</v>
      </c>
      <c r="I136" s="24" t="s">
        <v>354</v>
      </c>
      <c r="J136" s="24" t="s">
        <v>354</v>
      </c>
      <c r="K136" s="24" t="s">
        <v>354</v>
      </c>
      <c r="L136" s="24" t="s">
        <v>354</v>
      </c>
      <c r="M136" s="24" t="s">
        <v>354</v>
      </c>
      <c r="N136" s="24" t="s">
        <v>703</v>
      </c>
    </row>
    <row r="137" spans="1:14" ht="11.25" customHeight="1" x14ac:dyDescent="0.3">
      <c r="A137" s="13" t="s">
        <v>271</v>
      </c>
      <c r="B137" s="23" t="str">
        <f>S.Info!O137&amp;" "&amp;S.Info!P137&amp;"회"</f>
        <v>NEWSJ 66회</v>
      </c>
      <c r="C137" s="13"/>
      <c r="D137" s="13"/>
      <c r="E137" s="23" t="str">
        <f>TEXT(S.Info!K137,"YYYY-MM-DD HH:MM")</f>
        <v>2025-09-19 13:00</v>
      </c>
      <c r="F137" s="23" t="str">
        <f>TEXT(S.Info!N137,"[MM]")</f>
        <v>30</v>
      </c>
      <c r="G137" s="23">
        <v>0</v>
      </c>
      <c r="H137" s="23" t="str">
        <f>IF(TEXT(IF(S.Info!Q137="15세",3,0),"#,##")&lt;&gt;"",TEXT(IF(S.Info!Q137="15세",3,0),"#,##"),"0")</f>
        <v>0</v>
      </c>
      <c r="I137" s="24" t="s">
        <v>354</v>
      </c>
      <c r="J137" s="24" t="s">
        <v>354</v>
      </c>
      <c r="K137" s="24" t="s">
        <v>354</v>
      </c>
      <c r="L137" s="24" t="s">
        <v>354</v>
      </c>
      <c r="M137" s="24" t="s">
        <v>354</v>
      </c>
      <c r="N137" s="24" t="s">
        <v>710</v>
      </c>
    </row>
    <row r="138" spans="1:14" ht="11.25" customHeight="1" x14ac:dyDescent="0.3">
      <c r="A138" s="13" t="s">
        <v>271</v>
      </c>
      <c r="B138" s="23" t="str">
        <f>S.Info!O138&amp;" "&amp;S.Info!P138&amp;"회"</f>
        <v>더 人터뷰 54회</v>
      </c>
      <c r="C138" s="13"/>
      <c r="D138" s="13"/>
      <c r="E138" s="23" t="str">
        <f>TEXT(S.Info!K138,"YYYY-MM-DD HH:MM")</f>
        <v>2025-09-19 13:30</v>
      </c>
      <c r="F138" s="23" t="str">
        <f>TEXT(S.Info!N138,"[MM]")</f>
        <v>30</v>
      </c>
      <c r="G138" s="23">
        <v>0</v>
      </c>
      <c r="H138" s="23" t="str">
        <f>IF(TEXT(IF(S.Info!Q138="15세",3,0),"#,##")&lt;&gt;"",TEXT(IF(S.Info!Q138="15세",3,0),"#,##"),"0")</f>
        <v>0</v>
      </c>
      <c r="I138" s="24" t="s">
        <v>354</v>
      </c>
      <c r="J138" s="24" t="s">
        <v>354</v>
      </c>
      <c r="K138" s="24" t="s">
        <v>354</v>
      </c>
      <c r="L138" s="24" t="s">
        <v>354</v>
      </c>
      <c r="M138" s="24" t="s">
        <v>354</v>
      </c>
      <c r="N138" s="24" t="s">
        <v>707</v>
      </c>
    </row>
    <row r="139" spans="1:14" ht="11.25" customHeight="1" x14ac:dyDescent="0.3">
      <c r="A139" s="13" t="s">
        <v>271</v>
      </c>
      <c r="B139" s="23" t="str">
        <f>S.Info!O139&amp;" "&amp;S.Info!P139&amp;"회"</f>
        <v>특집 2026 지방선거_서울특별시의회 생생중계_상임위 19회</v>
      </c>
      <c r="C139" s="13"/>
      <c r="D139" s="13"/>
      <c r="E139" s="23" t="str">
        <f>TEXT(S.Info!K139,"YYYY-MM-DD HH:MM")</f>
        <v>2025-09-19 14:00</v>
      </c>
      <c r="F139" s="23" t="str">
        <f>TEXT(S.Info!N139,"[MM]")</f>
        <v>120</v>
      </c>
      <c r="G139" s="23">
        <v>0</v>
      </c>
      <c r="H139" s="23" t="str">
        <f>IF(TEXT(IF(S.Info!Q139="15세",3,0),"#,##")&lt;&gt;"",TEXT(IF(S.Info!Q139="15세",3,0),"#,##"),"0")</f>
        <v>0</v>
      </c>
      <c r="I139" s="24" t="s">
        <v>354</v>
      </c>
      <c r="J139" s="24" t="s">
        <v>354</v>
      </c>
      <c r="K139" s="24" t="s">
        <v>354</v>
      </c>
      <c r="L139" s="24" t="s">
        <v>354</v>
      </c>
      <c r="M139" s="24" t="s">
        <v>354</v>
      </c>
      <c r="N139" s="24" t="s">
        <v>712</v>
      </c>
    </row>
    <row r="140" spans="1:14" ht="11.25" customHeight="1" x14ac:dyDescent="0.3">
      <c r="A140" s="13" t="s">
        <v>271</v>
      </c>
      <c r="B140" s="23" t="str">
        <f>S.Info!O140&amp;" "&amp;S.Info!P140&amp;"회"</f>
        <v>NEWS4 64회</v>
      </c>
      <c r="C140" s="13"/>
      <c r="D140" s="13"/>
      <c r="E140" s="23" t="str">
        <f>TEXT(S.Info!K140,"YYYY-MM-DD HH:MM")</f>
        <v>2025-09-19 16:00</v>
      </c>
      <c r="F140" s="23" t="str">
        <f>TEXT(S.Info!N140,"[MM]")</f>
        <v>30</v>
      </c>
      <c r="G140" s="23">
        <v>0</v>
      </c>
      <c r="H140" s="23" t="str">
        <f>IF(TEXT(IF(S.Info!Q140="15세",3,0),"#,##")&lt;&gt;"",TEXT(IF(S.Info!Q140="15세",3,0),"#,##"),"0")</f>
        <v>0</v>
      </c>
      <c r="I140" s="24" t="s">
        <v>354</v>
      </c>
      <c r="J140" s="24" t="s">
        <v>354</v>
      </c>
      <c r="K140" s="24" t="s">
        <v>354</v>
      </c>
      <c r="L140" s="24" t="s">
        <v>354</v>
      </c>
      <c r="M140" s="24" t="s">
        <v>354</v>
      </c>
      <c r="N140" s="24" t="s">
        <v>699</v>
      </c>
    </row>
    <row r="141" spans="1:14" ht="11.25" customHeight="1" x14ac:dyDescent="0.3">
      <c r="A141" s="13" t="s">
        <v>271</v>
      </c>
      <c r="B141" s="23" t="str">
        <f>S.Info!O141&amp;" "&amp;S.Info!P141&amp;"회"</f>
        <v>호남, 호남人 133회</v>
      </c>
      <c r="C141" s="13"/>
      <c r="D141" s="13"/>
      <c r="E141" s="23" t="str">
        <f>TEXT(S.Info!K141,"YYYY-MM-DD HH:MM")</f>
        <v>2025-09-19 16:30</v>
      </c>
      <c r="F141" s="23" t="str">
        <f>TEXT(S.Info!N141,"[MM]")</f>
        <v>30</v>
      </c>
      <c r="G141" s="23">
        <v>0</v>
      </c>
      <c r="H141" s="23" t="str">
        <f>IF(TEXT(IF(S.Info!Q141="15세",3,0),"#,##")&lt;&gt;"",TEXT(IF(S.Info!Q141="15세",3,0),"#,##"),"0")</f>
        <v>0</v>
      </c>
      <c r="I141" s="24" t="s">
        <v>354</v>
      </c>
      <c r="J141" s="24" t="s">
        <v>354</v>
      </c>
      <c r="K141" s="24" t="s">
        <v>354</v>
      </c>
      <c r="L141" s="24" t="s">
        <v>354</v>
      </c>
      <c r="M141" s="24" t="s">
        <v>354</v>
      </c>
      <c r="N141" s="24" t="s">
        <v>678</v>
      </c>
    </row>
    <row r="142" spans="1:14" ht="11.25" customHeight="1" x14ac:dyDescent="0.3">
      <c r="A142" s="13" t="s">
        <v>271</v>
      </c>
      <c r="B142" s="23" t="str">
        <f>S.Info!O142&amp;" "&amp;S.Info!P142&amp;"회"</f>
        <v>특집 2026 지방선거_경기도의회 생생중계_상임위 18회</v>
      </c>
      <c r="C142" s="13"/>
      <c r="D142" s="13"/>
      <c r="E142" s="23" t="str">
        <f>TEXT(S.Info!K142,"YYYY-MM-DD HH:MM")</f>
        <v>2025-09-19 17:00</v>
      </c>
      <c r="F142" s="23" t="str">
        <f>TEXT(S.Info!N142,"[MM]")</f>
        <v>60</v>
      </c>
      <c r="G142" s="23">
        <v>0</v>
      </c>
      <c r="H142" s="23" t="str">
        <f>IF(TEXT(IF(S.Info!Q142="15세",3,0),"#,##")&lt;&gt;"",TEXT(IF(S.Info!Q142="15세",3,0),"#,##"),"0")</f>
        <v>0</v>
      </c>
      <c r="I142" s="24" t="s">
        <v>354</v>
      </c>
      <c r="J142" s="24" t="s">
        <v>354</v>
      </c>
      <c r="K142" s="24" t="s">
        <v>354</v>
      </c>
      <c r="L142" s="24" t="s">
        <v>354</v>
      </c>
      <c r="M142" s="24" t="s">
        <v>354</v>
      </c>
      <c r="N142" s="24" t="s">
        <v>713</v>
      </c>
    </row>
    <row r="143" spans="1:14" ht="11.25" customHeight="1" x14ac:dyDescent="0.3">
      <c r="A143" s="13" t="s">
        <v>271</v>
      </c>
      <c r="B143" s="23" t="str">
        <f>S.Info!O143&amp;" "&amp;S.Info!P143&amp;"회"</f>
        <v>지방자치단체장 인터뷰 47회</v>
      </c>
      <c r="C143" s="13"/>
      <c r="D143" s="13"/>
      <c r="E143" s="23" t="str">
        <f>TEXT(S.Info!K143,"YYYY-MM-DD HH:MM")</f>
        <v>2025-09-19 18:00</v>
      </c>
      <c r="F143" s="23" t="str">
        <f>TEXT(S.Info!N143,"[MM]")</f>
        <v>30</v>
      </c>
      <c r="G143" s="23">
        <v>0</v>
      </c>
      <c r="H143" s="23" t="str">
        <f>IF(TEXT(IF(S.Info!Q143="15세",3,0),"#,##")&lt;&gt;"",TEXT(IF(S.Info!Q143="15세",3,0),"#,##"),"0")</f>
        <v>0</v>
      </c>
      <c r="I143" s="24" t="s">
        <v>354</v>
      </c>
      <c r="J143" s="24" t="s">
        <v>354</v>
      </c>
      <c r="K143" s="24" t="s">
        <v>354</v>
      </c>
      <c r="L143" s="24" t="s">
        <v>354</v>
      </c>
      <c r="M143" s="24" t="s">
        <v>354</v>
      </c>
      <c r="N143" s="24" t="s">
        <v>723</v>
      </c>
    </row>
    <row r="144" spans="1:14" ht="11.25" customHeight="1" x14ac:dyDescent="0.3">
      <c r="A144" s="13" t="s">
        <v>271</v>
      </c>
      <c r="B144" s="23" t="str">
        <f>S.Info!O144&amp;" "&amp;S.Info!P144&amp;"회"</f>
        <v>더 人터뷰 54회</v>
      </c>
      <c r="C144" s="13"/>
      <c r="D144" s="13"/>
      <c r="E144" s="23" t="str">
        <f>TEXT(S.Info!K144,"YYYY-MM-DD HH:MM")</f>
        <v>2025-09-19 18:30</v>
      </c>
      <c r="F144" s="23" t="str">
        <f>TEXT(S.Info!N144,"[MM]")</f>
        <v>30</v>
      </c>
      <c r="G144" s="23">
        <v>0</v>
      </c>
      <c r="H144" s="23" t="str">
        <f>IF(TEXT(IF(S.Info!Q144="15세",3,0),"#,##")&lt;&gt;"",TEXT(IF(S.Info!Q144="15세",3,0),"#,##"),"0")</f>
        <v>0</v>
      </c>
      <c r="I144" s="24" t="s">
        <v>354</v>
      </c>
      <c r="J144" s="24" t="s">
        <v>354</v>
      </c>
      <c r="K144" s="24" t="s">
        <v>354</v>
      </c>
      <c r="L144" s="24" t="s">
        <v>354</v>
      </c>
      <c r="M144" s="24" t="s">
        <v>354</v>
      </c>
      <c r="N144" s="24" t="s">
        <v>702</v>
      </c>
    </row>
    <row r="145" spans="1:14" ht="11.25" customHeight="1" x14ac:dyDescent="0.3">
      <c r="A145" s="13" t="s">
        <v>271</v>
      </c>
      <c r="B145" s="23" t="str">
        <f>S.Info!O145&amp;" "&amp;S.Info!P145&amp;"회"</f>
        <v>뉴스와이드 436회</v>
      </c>
      <c r="C145" s="13"/>
      <c r="D145" s="13"/>
      <c r="E145" s="23" t="str">
        <f>TEXT(S.Info!K145,"YYYY-MM-DD HH:MM")</f>
        <v>2025-09-19 19:00</v>
      </c>
      <c r="F145" s="23" t="str">
        <f>TEXT(S.Info!N145,"[MM]")</f>
        <v>60</v>
      </c>
      <c r="G145" s="23">
        <v>0</v>
      </c>
      <c r="H145" s="23" t="str">
        <f>IF(TEXT(IF(S.Info!Q145="15세",3,0),"#,##")&lt;&gt;"",TEXT(IF(S.Info!Q145="15세",3,0),"#,##"),"0")</f>
        <v>0</v>
      </c>
      <c r="I145" s="24" t="s">
        <v>354</v>
      </c>
      <c r="J145" s="24" t="s">
        <v>354</v>
      </c>
      <c r="K145" s="24" t="s">
        <v>354</v>
      </c>
      <c r="L145" s="24" t="s">
        <v>354</v>
      </c>
      <c r="M145" s="24" t="s">
        <v>354</v>
      </c>
      <c r="N145" s="24" t="s">
        <v>716</v>
      </c>
    </row>
    <row r="146" spans="1:14" ht="11.25" customHeight="1" x14ac:dyDescent="0.3">
      <c r="A146" s="13" t="s">
        <v>271</v>
      </c>
      <c r="B146" s="23" t="str">
        <f>S.Info!O146&amp;" "&amp;S.Info!P146&amp;"회"</f>
        <v>NEWSON 66회</v>
      </c>
      <c r="C146" s="13"/>
      <c r="D146" s="13"/>
      <c r="E146" s="23" t="str">
        <f>TEXT(S.Info!K146,"YYYY-MM-DD HH:MM")</f>
        <v>2025-09-19 20:00</v>
      </c>
      <c r="F146" s="23" t="str">
        <f>TEXT(S.Info!N146,"[MM]")</f>
        <v>30</v>
      </c>
      <c r="G146" s="23">
        <v>0</v>
      </c>
      <c r="H146" s="23" t="str">
        <f>IF(TEXT(IF(S.Info!Q146="15세",3,0),"#,##")&lt;&gt;"",TEXT(IF(S.Info!Q146="15세",3,0),"#,##"),"0")</f>
        <v>0</v>
      </c>
      <c r="I146" s="24" t="s">
        <v>354</v>
      </c>
      <c r="J146" s="24" t="s">
        <v>354</v>
      </c>
      <c r="K146" s="24" t="s">
        <v>354</v>
      </c>
      <c r="L146" s="24" t="s">
        <v>354</v>
      </c>
      <c r="M146" s="24" t="s">
        <v>354</v>
      </c>
      <c r="N146" s="24" t="s">
        <v>719</v>
      </c>
    </row>
    <row r="147" spans="1:14" ht="11.25" customHeight="1" x14ac:dyDescent="0.3">
      <c r="A147" s="13" t="s">
        <v>271</v>
      </c>
      <c r="B147" s="23" t="str">
        <f>S.Info!O147&amp;" "&amp;S.Info!P147&amp;"회"</f>
        <v>우리동네 너튜브 8회</v>
      </c>
      <c r="C147" s="13"/>
      <c r="D147" s="13"/>
      <c r="E147" s="23" t="str">
        <f>TEXT(S.Info!K147,"YYYY-MM-DD HH:MM")</f>
        <v>2025-09-19 20:30</v>
      </c>
      <c r="F147" s="23" t="str">
        <f>TEXT(S.Info!N147,"[MM]")</f>
        <v>50</v>
      </c>
      <c r="G147" s="23">
        <v>0</v>
      </c>
      <c r="H147" s="23" t="str">
        <f>IF(TEXT(IF(S.Info!Q147="15세",3,0),"#,##")&lt;&gt;"",TEXT(IF(S.Info!Q147="15세",3,0),"#,##"),"0")</f>
        <v>0</v>
      </c>
      <c r="I147" s="24" t="s">
        <v>354</v>
      </c>
      <c r="J147" s="24" t="s">
        <v>354</v>
      </c>
      <c r="K147" s="24" t="s">
        <v>354</v>
      </c>
      <c r="L147" s="24" t="s">
        <v>354</v>
      </c>
      <c r="M147" s="24" t="s">
        <v>354</v>
      </c>
      <c r="N147" s="24" t="s">
        <v>696</v>
      </c>
    </row>
    <row r="148" spans="1:14" ht="11.25" customHeight="1" x14ac:dyDescent="0.3">
      <c r="A148" s="13" t="s">
        <v>271</v>
      </c>
      <c r="B148" s="23" t="str">
        <f>S.Info!O148&amp;" "&amp;S.Info!P148&amp;"회"</f>
        <v>낭만살롱 5회</v>
      </c>
      <c r="C148" s="13"/>
      <c r="D148" s="13"/>
      <c r="E148" s="23" t="str">
        <f>TEXT(S.Info!K148,"YYYY-MM-DD HH:MM")</f>
        <v>2025-09-19 21:20</v>
      </c>
      <c r="F148" s="23" t="str">
        <f>TEXT(S.Info!N148,"[MM]")</f>
        <v>40</v>
      </c>
      <c r="G148" s="23">
        <v>0</v>
      </c>
      <c r="H148" s="23" t="str">
        <f>IF(TEXT(IF(S.Info!Q148="15세",3,0),"#,##")&lt;&gt;"",TEXT(IF(S.Info!Q148="15세",3,0),"#,##"),"0")</f>
        <v>0</v>
      </c>
      <c r="I148" s="24" t="s">
        <v>354</v>
      </c>
      <c r="J148" s="24" t="s">
        <v>354</v>
      </c>
      <c r="K148" s="24" t="s">
        <v>354</v>
      </c>
      <c r="L148" s="24" t="s">
        <v>354</v>
      </c>
      <c r="M148" s="24" t="s">
        <v>354</v>
      </c>
      <c r="N148" s="24" t="s">
        <v>695</v>
      </c>
    </row>
    <row r="149" spans="1:14" ht="11.25" customHeight="1" x14ac:dyDescent="0.3">
      <c r="A149" s="13" t="s">
        <v>271</v>
      </c>
      <c r="B149" s="23" t="str">
        <f>S.Info!O149&amp;" "&amp;S.Info!P149&amp;"회"</f>
        <v>특집 2026 지방선거_서울특별시의회 생생중계_본회의 6회</v>
      </c>
      <c r="C149" s="13"/>
      <c r="D149" s="13"/>
      <c r="E149" s="23" t="str">
        <f>TEXT(S.Info!K149,"YYYY-MM-DD HH:MM")</f>
        <v>2025-09-19 22:00</v>
      </c>
      <c r="F149" s="23" t="str">
        <f>TEXT(S.Info!N149,"[MM]")</f>
        <v>60</v>
      </c>
      <c r="G149" s="23">
        <v>0</v>
      </c>
      <c r="H149" s="23" t="str">
        <f>IF(TEXT(IF(S.Info!Q149="15세",3,0),"#,##")&lt;&gt;"",TEXT(IF(S.Info!Q149="15세",3,0),"#,##"),"0")</f>
        <v>0</v>
      </c>
      <c r="I149" s="24" t="s">
        <v>354</v>
      </c>
      <c r="J149" s="24" t="s">
        <v>354</v>
      </c>
      <c r="K149" s="24" t="s">
        <v>354</v>
      </c>
      <c r="L149" s="24" t="s">
        <v>354</v>
      </c>
      <c r="M149" s="24" t="s">
        <v>354</v>
      </c>
      <c r="N149" s="24" t="s">
        <v>700</v>
      </c>
    </row>
    <row r="150" spans="1:14" ht="11.25" customHeight="1" x14ac:dyDescent="0.3">
      <c r="A150" s="13" t="s">
        <v>271</v>
      </c>
      <c r="B150" s="23" t="str">
        <f>S.Info!O150&amp;" "&amp;S.Info!P150&amp;"회"</f>
        <v>특집 2026 지방선거_서울특별시의회 생생중계_상임위 19회</v>
      </c>
      <c r="C150" s="13"/>
      <c r="D150" s="13"/>
      <c r="E150" s="23" t="str">
        <f>TEXT(S.Info!K150,"YYYY-MM-DD HH:MM")</f>
        <v>2025-09-19 23:00</v>
      </c>
      <c r="F150" s="23" t="str">
        <f>TEXT(S.Info!N150,"[MM]")</f>
        <v>60</v>
      </c>
      <c r="G150" s="23">
        <v>0</v>
      </c>
      <c r="H150" s="23" t="str">
        <f>IF(TEXT(IF(S.Info!Q150="15세",3,0),"#,##")&lt;&gt;"",TEXT(IF(S.Info!Q150="15세",3,0),"#,##"),"0")</f>
        <v>0</v>
      </c>
      <c r="I150" s="24" t="s">
        <v>354</v>
      </c>
      <c r="J150" s="24" t="s">
        <v>354</v>
      </c>
      <c r="K150" s="24" t="s">
        <v>354</v>
      </c>
      <c r="L150" s="24" t="s">
        <v>354</v>
      </c>
      <c r="M150" s="24" t="s">
        <v>354</v>
      </c>
      <c r="N150" s="24" t="s">
        <v>722</v>
      </c>
    </row>
    <row r="151" spans="1:14" ht="11.25" customHeight="1" x14ac:dyDescent="0.3">
      <c r="A151" s="13" t="s">
        <v>271</v>
      </c>
      <c r="B151" s="23" t="str">
        <f>S.Info!O151&amp;" "&amp;S.Info!P151&amp;"회"</f>
        <v>특집 2026 지방선거_경기도의회 생생중계_본회의 18회</v>
      </c>
      <c r="C151" s="13"/>
      <c r="D151" s="13"/>
      <c r="E151" s="23" t="str">
        <f>TEXT(S.Info!K151,"YYYY-MM-DD HH:MM")</f>
        <v>2025-09-20 00:00</v>
      </c>
      <c r="F151" s="23" t="str">
        <f>TEXT(S.Info!N151,"[MM]")</f>
        <v>60</v>
      </c>
      <c r="G151" s="23">
        <v>0</v>
      </c>
      <c r="H151" s="23" t="str">
        <f>IF(TEXT(IF(S.Info!Q151="15세",3,0),"#,##")&lt;&gt;"",TEXT(IF(S.Info!Q151="15세",3,0),"#,##"),"0")</f>
        <v>0</v>
      </c>
      <c r="I151" s="24" t="s">
        <v>354</v>
      </c>
      <c r="J151" s="24" t="s">
        <v>354</v>
      </c>
      <c r="K151" s="24" t="s">
        <v>354</v>
      </c>
      <c r="L151" s="24" t="s">
        <v>354</v>
      </c>
      <c r="M151" s="24" t="s">
        <v>354</v>
      </c>
      <c r="N151" s="24" t="s">
        <v>694</v>
      </c>
    </row>
    <row r="152" spans="1:14" ht="11.25" customHeight="1" x14ac:dyDescent="0.3">
      <c r="A152" s="13" t="s">
        <v>271</v>
      </c>
      <c r="B152" s="23" t="str">
        <f>S.Info!O152&amp;" "&amp;S.Info!P152&amp;"회"</f>
        <v>특집 2026 지방선거_경기도의회 생생중계_상임위 18회</v>
      </c>
      <c r="C152" s="13"/>
      <c r="D152" s="13"/>
      <c r="E152" s="23" t="str">
        <f>TEXT(S.Info!K152,"YYYY-MM-DD HH:MM")</f>
        <v>2025-09-20 01:00</v>
      </c>
      <c r="F152" s="23" t="str">
        <f>TEXT(S.Info!N152,"[MM]")</f>
        <v>60</v>
      </c>
      <c r="G152" s="23">
        <v>0</v>
      </c>
      <c r="H152" s="23" t="str">
        <f>IF(TEXT(IF(S.Info!Q152="15세",3,0),"#,##")&lt;&gt;"",TEXT(IF(S.Info!Q152="15세",3,0),"#,##"),"0")</f>
        <v>0</v>
      </c>
      <c r="I152" s="24" t="s">
        <v>354</v>
      </c>
      <c r="J152" s="24" t="s">
        <v>354</v>
      </c>
      <c r="K152" s="24" t="s">
        <v>354</v>
      </c>
      <c r="L152" s="24" t="s">
        <v>354</v>
      </c>
      <c r="M152" s="24" t="s">
        <v>354</v>
      </c>
      <c r="N152" s="24" t="s">
        <v>720</v>
      </c>
    </row>
    <row r="153" spans="1:14" ht="11.25" customHeight="1" x14ac:dyDescent="0.3">
      <c r="A153" s="13" t="s">
        <v>271</v>
      </c>
      <c r="B153" s="23" t="str">
        <f>S.Info!O153&amp;" "&amp;S.Info!P153&amp;"회"</f>
        <v>행복무지개 32회</v>
      </c>
      <c r="C153" s="13"/>
      <c r="D153" s="13"/>
      <c r="E153" s="23" t="str">
        <f>TEXT(S.Info!K153,"YYYY-MM-DD HH:MM")</f>
        <v>2025-09-20 02:00</v>
      </c>
      <c r="F153" s="23" t="str">
        <f>TEXT(S.Info!N153,"[MM]")</f>
        <v>00</v>
      </c>
      <c r="G153" s="23">
        <v>0</v>
      </c>
      <c r="H153" s="23" t="str">
        <f>IF(TEXT(IF(S.Info!Q153="15세",3,0),"#,##")&lt;&gt;"",TEXT(IF(S.Info!Q153="15세",3,0),"#,##"),"0")</f>
        <v>0</v>
      </c>
      <c r="I153" s="24" t="s">
        <v>354</v>
      </c>
      <c r="J153" s="24" t="s">
        <v>354</v>
      </c>
      <c r="K153" s="24" t="s">
        <v>354</v>
      </c>
      <c r="L153" s="24" t="s">
        <v>354</v>
      </c>
      <c r="M153" s="24" t="s">
        <v>354</v>
      </c>
      <c r="N153" s="24" t="s">
        <v>693</v>
      </c>
    </row>
    <row r="154" spans="1:14" ht="11.25" customHeight="1" x14ac:dyDescent="0.3">
      <c r="A154" s="13" t="s">
        <v>271</v>
      </c>
      <c r="B154" s="23" t="str">
        <f>S.Info!O154&amp;" "&amp;S.Info!P154&amp;"회"</f>
        <v>행복무지개 32회</v>
      </c>
      <c r="C154" s="13"/>
      <c r="D154" s="13"/>
      <c r="E154" s="23" t="str">
        <f>TEXT(S.Info!K154,"YYYY-MM-DD HH:MM")</f>
        <v>2025-09-20 02:00</v>
      </c>
      <c r="F154" s="23" t="str">
        <f>TEXT(S.Info!N154,"[MM]")</f>
        <v>40</v>
      </c>
      <c r="G154" s="23">
        <v>0</v>
      </c>
      <c r="H154" s="23" t="str">
        <f>IF(TEXT(IF(S.Info!Q154="15세",3,0),"#,##")&lt;&gt;"",TEXT(IF(S.Info!Q154="15세",3,0),"#,##"),"0")</f>
        <v>0</v>
      </c>
      <c r="I154" s="24" t="s">
        <v>354</v>
      </c>
      <c r="J154" s="24" t="s">
        <v>354</v>
      </c>
      <c r="K154" s="24" t="s">
        <v>354</v>
      </c>
      <c r="L154" s="24" t="s">
        <v>354</v>
      </c>
      <c r="M154" s="24" t="s">
        <v>354</v>
      </c>
      <c r="N154" s="24" t="s">
        <v>701</v>
      </c>
    </row>
    <row r="155" spans="1:14" ht="11.25" customHeight="1" x14ac:dyDescent="0.3">
      <c r="A155" s="13" t="s">
        <v>271</v>
      </c>
      <c r="B155" s="23" t="str">
        <f>S.Info!O155&amp;" "&amp;S.Info!P155&amp;"회"</f>
        <v>최선규의 이제는 지방시대 시즌2 9회</v>
      </c>
      <c r="C155" s="13"/>
      <c r="D155" s="13"/>
      <c r="E155" s="23" t="str">
        <f>TEXT(S.Info!K155,"YYYY-MM-DD HH:MM")</f>
        <v>2025-09-20 02:40</v>
      </c>
      <c r="F155" s="23" t="str">
        <f>TEXT(S.Info!N155,"[MM]")</f>
        <v>60</v>
      </c>
      <c r="G155" s="23">
        <v>0</v>
      </c>
      <c r="H155" s="23" t="str">
        <f>IF(TEXT(IF(S.Info!Q155="15세",3,0),"#,##")&lt;&gt;"",TEXT(IF(S.Info!Q155="15세",3,0),"#,##"),"0")</f>
        <v>0</v>
      </c>
      <c r="I155" s="24" t="s">
        <v>354</v>
      </c>
      <c r="J155" s="24" t="s">
        <v>354</v>
      </c>
      <c r="K155" s="24" t="s">
        <v>354</v>
      </c>
      <c r="L155" s="24" t="s">
        <v>354</v>
      </c>
      <c r="M155" s="24" t="s">
        <v>354</v>
      </c>
      <c r="N155" s="24" t="s">
        <v>709</v>
      </c>
    </row>
    <row r="156" spans="1:14" ht="11.25" customHeight="1" x14ac:dyDescent="0.3">
      <c r="A156" s="13" t="s">
        <v>271</v>
      </c>
      <c r="B156" s="23" t="str">
        <f>S.Info!O156&amp;" "&amp;S.Info!P156&amp;"회"</f>
        <v>태군노래자랑 13회</v>
      </c>
      <c r="C156" s="13"/>
      <c r="D156" s="13"/>
      <c r="E156" s="23" t="str">
        <f>TEXT(S.Info!K156,"YYYY-MM-DD HH:MM")</f>
        <v>2025-09-20 03:40</v>
      </c>
      <c r="F156" s="23" t="str">
        <f>TEXT(S.Info!N156,"[MM]")</f>
        <v>60</v>
      </c>
      <c r="G156" s="23">
        <v>0</v>
      </c>
      <c r="H156" s="23" t="str">
        <f>IF(TEXT(IF(S.Info!Q156="15세",3,0),"#,##")&lt;&gt;"",TEXT(IF(S.Info!Q156="15세",3,0),"#,##"),"0")</f>
        <v>0</v>
      </c>
      <c r="I156" s="24" t="s">
        <v>354</v>
      </c>
      <c r="J156" s="24" t="s">
        <v>354</v>
      </c>
      <c r="K156" s="24" t="s">
        <v>354</v>
      </c>
      <c r="L156" s="24" t="s">
        <v>354</v>
      </c>
      <c r="M156" s="24" t="s">
        <v>354</v>
      </c>
      <c r="N156" s="24" t="s">
        <v>715</v>
      </c>
    </row>
    <row r="157" spans="1:14" ht="11.25" customHeight="1" x14ac:dyDescent="0.3">
      <c r="A157" s="13" t="s">
        <v>271</v>
      </c>
      <c r="B157" s="23" t="str">
        <f>S.Info!O157&amp;" "&amp;S.Info!P157&amp;"회"</f>
        <v>NEWS4 64회</v>
      </c>
      <c r="C157" s="13"/>
      <c r="D157" s="13"/>
      <c r="E157" s="23" t="str">
        <f>TEXT(S.Info!K157,"YYYY-MM-DD HH:MM")</f>
        <v>2025-09-20 04:40</v>
      </c>
      <c r="F157" s="23" t="str">
        <f>TEXT(S.Info!N157,"[MM]")</f>
        <v>30</v>
      </c>
      <c r="G157" s="23">
        <v>0</v>
      </c>
      <c r="H157" s="23" t="str">
        <f>IF(TEXT(IF(S.Info!Q157="15세",3,0),"#,##")&lt;&gt;"",TEXT(IF(S.Info!Q157="15세",3,0),"#,##"),"0")</f>
        <v>0</v>
      </c>
      <c r="I157" s="24" t="s">
        <v>354</v>
      </c>
      <c r="J157" s="24" t="s">
        <v>354</v>
      </c>
      <c r="K157" s="24" t="s">
        <v>354</v>
      </c>
      <c r="L157" s="24" t="s">
        <v>354</v>
      </c>
      <c r="M157" s="24" t="s">
        <v>354</v>
      </c>
      <c r="N157" s="24" t="s">
        <v>705</v>
      </c>
    </row>
    <row r="158" spans="1:14" ht="11.25" customHeight="1" x14ac:dyDescent="0.3">
      <c r="A158" s="13" t="s">
        <v>271</v>
      </c>
      <c r="B158" s="23" t="str">
        <f>S.Info!O158&amp;" "&amp;S.Info!P158&amp;"회"</f>
        <v>내삶을바꾸는정책 2194회</v>
      </c>
      <c r="C158" s="13"/>
      <c r="D158" s="13"/>
      <c r="E158" s="23" t="str">
        <f>TEXT(S.Info!K158,"YYYY-MM-DD HH:MM")</f>
        <v>2025-09-20 05:10</v>
      </c>
      <c r="F158" s="23" t="str">
        <f>TEXT(S.Info!N158,"[MM]")</f>
        <v>60</v>
      </c>
      <c r="G158" s="23">
        <v>0</v>
      </c>
      <c r="H158" s="23" t="str">
        <f>IF(TEXT(IF(S.Info!Q158="15세",3,0),"#,##")&lt;&gt;"",TEXT(IF(S.Info!Q158="15세",3,0),"#,##"),"0")</f>
        <v>0</v>
      </c>
      <c r="I158" s="24" t="s">
        <v>354</v>
      </c>
      <c r="J158" s="24" t="s">
        <v>354</v>
      </c>
      <c r="K158" s="24" t="s">
        <v>354</v>
      </c>
      <c r="L158" s="24" t="s">
        <v>354</v>
      </c>
      <c r="M158" s="24" t="s">
        <v>354</v>
      </c>
      <c r="N158" s="24" t="s">
        <v>706</v>
      </c>
    </row>
    <row r="159" spans="1:14" ht="11.25" customHeight="1" x14ac:dyDescent="0.3">
      <c r="A159" s="13" t="s">
        <v>271</v>
      </c>
      <c r="B159" s="23" t="str">
        <f>S.Info!O159&amp;" "&amp;S.Info!P159&amp;"회"</f>
        <v>지금은 지방시대 190회</v>
      </c>
      <c r="C159" s="13"/>
      <c r="D159" s="13"/>
      <c r="E159" s="23" t="str">
        <f>TEXT(S.Info!K159,"YYYY-MM-DD HH:MM")</f>
        <v>2025-09-20 06:10</v>
      </c>
      <c r="F159" s="23" t="str">
        <f>TEXT(S.Info!N159,"[MM]")</f>
        <v>50</v>
      </c>
      <c r="G159" s="23">
        <v>0</v>
      </c>
      <c r="H159" s="23" t="str">
        <f>IF(TEXT(IF(S.Info!Q159="15세",3,0),"#,##")&lt;&gt;"",TEXT(IF(S.Info!Q159="15세",3,0),"#,##"),"0")</f>
        <v>0</v>
      </c>
      <c r="I159" s="24" t="s">
        <v>354</v>
      </c>
      <c r="J159" s="24" t="s">
        <v>354</v>
      </c>
      <c r="K159" s="24" t="s">
        <v>354</v>
      </c>
      <c r="L159" s="24" t="s">
        <v>354</v>
      </c>
      <c r="M159" s="24" t="s">
        <v>354</v>
      </c>
      <c r="N159" s="24" t="s">
        <v>718</v>
      </c>
    </row>
    <row r="160" spans="1:14" ht="11.25" customHeight="1" x14ac:dyDescent="0.3">
      <c r="A160" s="13" t="s">
        <v>271</v>
      </c>
      <c r="B160" s="23" t="str">
        <f>S.Info!O160&amp;" "&amp;S.Info!P160&amp;"회"</f>
        <v>최선규의 이제는 지방시대 3회</v>
      </c>
      <c r="C160" s="13"/>
      <c r="D160" s="13"/>
      <c r="E160" s="23" t="str">
        <f>TEXT(S.Info!K160,"YYYY-MM-DD HH:MM")</f>
        <v>2025-09-20 07:00</v>
      </c>
      <c r="F160" s="23" t="str">
        <f>TEXT(S.Info!N160,"[MM]")</f>
        <v>60</v>
      </c>
      <c r="G160" s="23">
        <v>0</v>
      </c>
      <c r="H160" s="23" t="str">
        <f>IF(TEXT(IF(S.Info!Q160="15세",3,0),"#,##")&lt;&gt;"",TEXT(IF(S.Info!Q160="15세",3,0),"#,##"),"0")</f>
        <v>0</v>
      </c>
      <c r="I160" s="24" t="s">
        <v>354</v>
      </c>
      <c r="J160" s="24" t="s">
        <v>354</v>
      </c>
      <c r="K160" s="24" t="s">
        <v>354</v>
      </c>
      <c r="L160" s="24" t="s">
        <v>354</v>
      </c>
      <c r="M160" s="24" t="s">
        <v>354</v>
      </c>
      <c r="N160" s="24" t="s">
        <v>750</v>
      </c>
    </row>
    <row r="161" spans="1:14" ht="11.25" customHeight="1" x14ac:dyDescent="0.3">
      <c r="A161" s="13" t="s">
        <v>271</v>
      </c>
      <c r="B161" s="23" t="str">
        <f>S.Info!O161&amp;" "&amp;S.Info!P161&amp;"회"</f>
        <v>NEWSPLUS 64회</v>
      </c>
      <c r="C161" s="13"/>
      <c r="D161" s="13"/>
      <c r="E161" s="23" t="str">
        <f>TEXT(S.Info!K161,"YYYY-MM-DD HH:MM")</f>
        <v>2025-09-20 08:00</v>
      </c>
      <c r="F161" s="23" t="str">
        <f>TEXT(S.Info!N161,"[MM]")</f>
        <v>30</v>
      </c>
      <c r="G161" s="23">
        <v>0</v>
      </c>
      <c r="H161" s="23" t="str">
        <f>IF(TEXT(IF(S.Info!Q161="15세",3,0),"#,##")&lt;&gt;"",TEXT(IF(S.Info!Q161="15세",3,0),"#,##"),"0")</f>
        <v>0</v>
      </c>
      <c r="I161" s="24" t="s">
        <v>354</v>
      </c>
      <c r="J161" s="24" t="s">
        <v>354</v>
      </c>
      <c r="K161" s="24" t="s">
        <v>354</v>
      </c>
      <c r="L161" s="24" t="s">
        <v>354</v>
      </c>
      <c r="M161" s="24" t="s">
        <v>354</v>
      </c>
      <c r="N161" s="24" t="s">
        <v>746</v>
      </c>
    </row>
    <row r="162" spans="1:14" ht="11.25" customHeight="1" x14ac:dyDescent="0.3">
      <c r="A162" s="13" t="s">
        <v>271</v>
      </c>
      <c r="B162" s="23" t="str">
        <f>S.Info!O162&amp;" "&amp;S.Info!P162&amp;"회"</f>
        <v>남도스럽게 5회</v>
      </c>
      <c r="C162" s="13"/>
      <c r="D162" s="13"/>
      <c r="E162" s="23" t="str">
        <f>TEXT(S.Info!K162,"YYYY-MM-DD HH:MM")</f>
        <v>2025-09-20 08:30</v>
      </c>
      <c r="F162" s="23" t="str">
        <f>TEXT(S.Info!N162,"[MM]")</f>
        <v>50</v>
      </c>
      <c r="G162" s="23">
        <v>0</v>
      </c>
      <c r="H162" s="23" t="str">
        <f>IF(TEXT(IF(S.Info!Q162="15세",3,0),"#,##")&lt;&gt;"",TEXT(IF(S.Info!Q162="15세",3,0),"#,##"),"0")</f>
        <v>0</v>
      </c>
      <c r="I162" s="24" t="s">
        <v>354</v>
      </c>
      <c r="J162" s="24" t="s">
        <v>354</v>
      </c>
      <c r="K162" s="24" t="s">
        <v>354</v>
      </c>
      <c r="L162" s="24" t="s">
        <v>354</v>
      </c>
      <c r="M162" s="24" t="s">
        <v>354</v>
      </c>
      <c r="N162" s="24" t="s">
        <v>755</v>
      </c>
    </row>
    <row r="163" spans="1:14" ht="11.25" customHeight="1" x14ac:dyDescent="0.3">
      <c r="A163" s="13" t="s">
        <v>271</v>
      </c>
      <c r="B163" s="23" t="str">
        <f>S.Info!O163&amp;" "&amp;S.Info!P163&amp;"회"</f>
        <v>눈에 띄는 그녀들 시즌5 2회</v>
      </c>
      <c r="C163" s="13"/>
      <c r="D163" s="13"/>
      <c r="E163" s="23" t="str">
        <f>TEXT(S.Info!K163,"YYYY-MM-DD HH:MM")</f>
        <v>2025-09-20 09:20</v>
      </c>
      <c r="F163" s="23" t="str">
        <f>TEXT(S.Info!N163,"[MM]")</f>
        <v>40</v>
      </c>
      <c r="G163" s="23">
        <v>0</v>
      </c>
      <c r="H163" s="23" t="str">
        <f>IF(TEXT(IF(S.Info!Q163="15세",3,0),"#,##")&lt;&gt;"",TEXT(IF(S.Info!Q163="15세",3,0),"#,##"),"0")</f>
        <v>0</v>
      </c>
      <c r="I163" s="24" t="s">
        <v>354</v>
      </c>
      <c r="J163" s="24" t="s">
        <v>354</v>
      </c>
      <c r="K163" s="24" t="s">
        <v>354</v>
      </c>
      <c r="L163" s="24" t="s">
        <v>354</v>
      </c>
      <c r="M163" s="24" t="s">
        <v>354</v>
      </c>
      <c r="N163" s="24" t="s">
        <v>737</v>
      </c>
    </row>
    <row r="164" spans="1:14" ht="11.25" customHeight="1" x14ac:dyDescent="0.3">
      <c r="A164" s="13" t="s">
        <v>271</v>
      </c>
      <c r="B164" s="23" t="str">
        <f>S.Info!O164&amp;" "&amp;S.Info!P164&amp;"회"</f>
        <v>지방자치TV 스페셜 21회</v>
      </c>
      <c r="C164" s="13"/>
      <c r="D164" s="13"/>
      <c r="E164" s="23" t="str">
        <f>TEXT(S.Info!K164,"YYYY-MM-DD HH:MM")</f>
        <v>2025-09-20 10:00</v>
      </c>
      <c r="F164" s="23" t="str">
        <f>TEXT(S.Info!N164,"[MM]")</f>
        <v>60</v>
      </c>
      <c r="G164" s="23">
        <v>0</v>
      </c>
      <c r="H164" s="23" t="str">
        <f>IF(TEXT(IF(S.Info!Q164="15세",3,0),"#,##")&lt;&gt;"",TEXT(IF(S.Info!Q164="15세",3,0),"#,##"),"0")</f>
        <v>0</v>
      </c>
      <c r="I164" s="24" t="s">
        <v>354</v>
      </c>
      <c r="J164" s="24" t="s">
        <v>354</v>
      </c>
      <c r="K164" s="24" t="s">
        <v>354</v>
      </c>
      <c r="L164" s="24" t="s">
        <v>354</v>
      </c>
      <c r="M164" s="24" t="s">
        <v>354</v>
      </c>
      <c r="N164" s="24" t="s">
        <v>743</v>
      </c>
    </row>
    <row r="165" spans="1:14" ht="11.25" customHeight="1" x14ac:dyDescent="0.3">
      <c r="A165" s="13" t="s">
        <v>271</v>
      </c>
      <c r="B165" s="23" t="str">
        <f>S.Info!O165&amp;" "&amp;S.Info!P165&amp;"회"</f>
        <v>지방자치TV 스페셜 22회</v>
      </c>
      <c r="C165" s="13"/>
      <c r="D165" s="13"/>
      <c r="E165" s="23" t="str">
        <f>TEXT(S.Info!K165,"YYYY-MM-DD HH:MM")</f>
        <v>2025-09-20 11:00</v>
      </c>
      <c r="F165" s="23" t="str">
        <f>TEXT(S.Info!N165,"[MM]")</f>
        <v>60</v>
      </c>
      <c r="G165" s="23">
        <v>0</v>
      </c>
      <c r="H165" s="23" t="str">
        <f>IF(TEXT(IF(S.Info!Q165="15세",3,0),"#,##")&lt;&gt;"",TEXT(IF(S.Info!Q165="15세",3,0),"#,##"),"0")</f>
        <v>0</v>
      </c>
      <c r="I165" s="24" t="s">
        <v>354</v>
      </c>
      <c r="J165" s="24" t="s">
        <v>354</v>
      </c>
      <c r="K165" s="24" t="s">
        <v>354</v>
      </c>
      <c r="L165" s="24" t="s">
        <v>354</v>
      </c>
      <c r="M165" s="24" t="s">
        <v>354</v>
      </c>
      <c r="N165" s="24" t="s">
        <v>749</v>
      </c>
    </row>
    <row r="166" spans="1:14" ht="11.25" customHeight="1" x14ac:dyDescent="0.3">
      <c r="A166" s="13" t="s">
        <v>271</v>
      </c>
      <c r="B166" s="23" t="str">
        <f>S.Info!O166&amp;" "&amp;S.Info!P166&amp;"회"</f>
        <v>행복무지개 32회</v>
      </c>
      <c r="C166" s="13"/>
      <c r="D166" s="13"/>
      <c r="E166" s="23" t="str">
        <f>TEXT(S.Info!K166,"YYYY-MM-DD HH:MM")</f>
        <v>2025-09-20 12:00</v>
      </c>
      <c r="F166" s="23" t="str">
        <f>TEXT(S.Info!N166,"[MM]")</f>
        <v>60</v>
      </c>
      <c r="G166" s="23">
        <v>0</v>
      </c>
      <c r="H166" s="23" t="str">
        <f>IF(TEXT(IF(S.Info!Q166="15세",3,0),"#,##")&lt;&gt;"",TEXT(IF(S.Info!Q166="15세",3,0),"#,##"),"0")</f>
        <v>0</v>
      </c>
      <c r="I166" s="24" t="s">
        <v>354</v>
      </c>
      <c r="J166" s="24" t="s">
        <v>354</v>
      </c>
      <c r="K166" s="24" t="s">
        <v>354</v>
      </c>
      <c r="L166" s="24" t="s">
        <v>354</v>
      </c>
      <c r="M166" s="24" t="s">
        <v>354</v>
      </c>
      <c r="N166" s="24" t="s">
        <v>734</v>
      </c>
    </row>
    <row r="167" spans="1:14" ht="11.25" customHeight="1" x14ac:dyDescent="0.3">
      <c r="A167" s="13" t="s">
        <v>271</v>
      </c>
      <c r="B167" s="23" t="str">
        <f>S.Info!O167&amp;" "&amp;S.Info!P167&amp;"회"</f>
        <v>NEWSJ 67회</v>
      </c>
      <c r="C167" s="13"/>
      <c r="D167" s="13"/>
      <c r="E167" s="23" t="str">
        <f>TEXT(S.Info!K167,"YYYY-MM-DD HH:MM")</f>
        <v>2025-09-20 13:00</v>
      </c>
      <c r="F167" s="23" t="str">
        <f>TEXT(S.Info!N167,"[MM]")</f>
        <v>30</v>
      </c>
      <c r="G167" s="23">
        <v>0</v>
      </c>
      <c r="H167" s="23" t="str">
        <f>IF(TEXT(IF(S.Info!Q167="15세",3,0),"#,##")&lt;&gt;"",TEXT(IF(S.Info!Q167="15세",3,0),"#,##"),"0")</f>
        <v>0</v>
      </c>
      <c r="I167" s="24" t="s">
        <v>354</v>
      </c>
      <c r="J167" s="24" t="s">
        <v>354</v>
      </c>
      <c r="K167" s="24" t="s">
        <v>354</v>
      </c>
      <c r="L167" s="24" t="s">
        <v>354</v>
      </c>
      <c r="M167" s="24" t="s">
        <v>354</v>
      </c>
      <c r="N167" s="24" t="s">
        <v>733</v>
      </c>
    </row>
    <row r="168" spans="1:14" ht="11.25" customHeight="1" x14ac:dyDescent="0.3">
      <c r="A168" s="13" t="s">
        <v>271</v>
      </c>
      <c r="B168" s="23" t="str">
        <f>S.Info!O168&amp;" "&amp;S.Info!P168&amp;"회"</f>
        <v>더 人터뷰 54회</v>
      </c>
      <c r="C168" s="13"/>
      <c r="D168" s="13"/>
      <c r="E168" s="23" t="str">
        <f>TEXT(S.Info!K168,"YYYY-MM-DD HH:MM")</f>
        <v>2025-09-20 13:30</v>
      </c>
      <c r="F168" s="23" t="str">
        <f>TEXT(S.Info!N168,"[MM]")</f>
        <v>30</v>
      </c>
      <c r="G168" s="23">
        <v>0</v>
      </c>
      <c r="H168" s="23" t="str">
        <f>IF(TEXT(IF(S.Info!Q168="15세",3,0),"#,##")&lt;&gt;"",TEXT(IF(S.Info!Q168="15세",3,0),"#,##"),"0")</f>
        <v>0</v>
      </c>
      <c r="I168" s="24" t="s">
        <v>354</v>
      </c>
      <c r="J168" s="24" t="s">
        <v>354</v>
      </c>
      <c r="K168" s="24" t="s">
        <v>354</v>
      </c>
      <c r="L168" s="24" t="s">
        <v>354</v>
      </c>
      <c r="M168" s="24" t="s">
        <v>354</v>
      </c>
      <c r="N168" s="24" t="s">
        <v>747</v>
      </c>
    </row>
    <row r="169" spans="1:14" ht="11.25" customHeight="1" x14ac:dyDescent="0.3">
      <c r="A169" s="13" t="s">
        <v>271</v>
      </c>
      <c r="B169" s="23" t="str">
        <f>S.Info!O169&amp;" "&amp;S.Info!P169&amp;"회"</f>
        <v>지방자치TV 스페셜 23회</v>
      </c>
      <c r="C169" s="13"/>
      <c r="D169" s="13"/>
      <c r="E169" s="23" t="str">
        <f>TEXT(S.Info!K169,"YYYY-MM-DD HH:MM")</f>
        <v>2025-09-20 14:00</v>
      </c>
      <c r="F169" s="23" t="str">
        <f>TEXT(S.Info!N169,"[MM]")</f>
        <v>60</v>
      </c>
      <c r="G169" s="23">
        <v>0</v>
      </c>
      <c r="H169" s="23" t="str">
        <f>IF(TEXT(IF(S.Info!Q169="15세",3,0),"#,##")&lt;&gt;"",TEXT(IF(S.Info!Q169="15세",3,0),"#,##"),"0")</f>
        <v>0</v>
      </c>
      <c r="I169" s="24" t="s">
        <v>354</v>
      </c>
      <c r="J169" s="24" t="s">
        <v>354</v>
      </c>
      <c r="K169" s="24" t="s">
        <v>354</v>
      </c>
      <c r="L169" s="24" t="s">
        <v>354</v>
      </c>
      <c r="M169" s="24" t="s">
        <v>354</v>
      </c>
      <c r="N169" s="24" t="s">
        <v>697</v>
      </c>
    </row>
    <row r="170" spans="1:14" ht="11.25" customHeight="1" x14ac:dyDescent="0.3">
      <c r="A170" s="13" t="s">
        <v>271</v>
      </c>
      <c r="B170" s="23" t="str">
        <f>S.Info!O170&amp;" "&amp;S.Info!P170&amp;"회"</f>
        <v>행복무지개 31회</v>
      </c>
      <c r="C170" s="13"/>
      <c r="D170" s="13"/>
      <c r="E170" s="23" t="str">
        <f>TEXT(S.Info!K170,"YYYY-MM-DD HH:MM")</f>
        <v>2025-09-20 15:00</v>
      </c>
      <c r="F170" s="23" t="str">
        <f>TEXT(S.Info!N170,"[MM]")</f>
        <v>60</v>
      </c>
      <c r="G170" s="23">
        <v>0</v>
      </c>
      <c r="H170" s="23" t="str">
        <f>IF(TEXT(IF(S.Info!Q170="15세",3,0),"#,##")&lt;&gt;"",TEXT(IF(S.Info!Q170="15세",3,0),"#,##"),"0")</f>
        <v>0</v>
      </c>
      <c r="I170" s="24" t="s">
        <v>354</v>
      </c>
      <c r="J170" s="24" t="s">
        <v>354</v>
      </c>
      <c r="K170" s="24" t="s">
        <v>354</v>
      </c>
      <c r="L170" s="24" t="s">
        <v>354</v>
      </c>
      <c r="M170" s="24" t="s">
        <v>354</v>
      </c>
      <c r="N170" s="24" t="s">
        <v>735</v>
      </c>
    </row>
    <row r="171" spans="1:14" ht="11.25" customHeight="1" x14ac:dyDescent="0.3">
      <c r="A171" s="13" t="s">
        <v>271</v>
      </c>
      <c r="B171" s="23" t="str">
        <f>S.Info!O171&amp;" "&amp;S.Info!P171&amp;"회"</f>
        <v>NEWS4 64회</v>
      </c>
      <c r="C171" s="13"/>
      <c r="D171" s="13"/>
      <c r="E171" s="23" t="str">
        <f>TEXT(S.Info!K171,"YYYY-MM-DD HH:MM")</f>
        <v>2025-09-20 16:00</v>
      </c>
      <c r="F171" s="23" t="str">
        <f>TEXT(S.Info!N171,"[MM]")</f>
        <v>30</v>
      </c>
      <c r="G171" s="23">
        <v>0</v>
      </c>
      <c r="H171" s="23" t="str">
        <f>IF(TEXT(IF(S.Info!Q171="15세",3,0),"#,##")&lt;&gt;"",TEXT(IF(S.Info!Q171="15세",3,0),"#,##"),"0")</f>
        <v>0</v>
      </c>
      <c r="I171" s="24" t="s">
        <v>354</v>
      </c>
      <c r="J171" s="24" t="s">
        <v>354</v>
      </c>
      <c r="K171" s="24" t="s">
        <v>354</v>
      </c>
      <c r="L171" s="24" t="s">
        <v>354</v>
      </c>
      <c r="M171" s="24" t="s">
        <v>354</v>
      </c>
      <c r="N171" s="24" t="s">
        <v>742</v>
      </c>
    </row>
    <row r="172" spans="1:14" ht="11.25" customHeight="1" x14ac:dyDescent="0.3">
      <c r="A172" s="13" t="s">
        <v>271</v>
      </c>
      <c r="B172" s="23" t="str">
        <f>S.Info!O172&amp;" "&amp;S.Info!P172&amp;"회"</f>
        <v>지금은 지방시대 강원 18회</v>
      </c>
      <c r="C172" s="13"/>
      <c r="D172" s="13"/>
      <c r="E172" s="23" t="str">
        <f>TEXT(S.Info!K172,"YYYY-MM-DD HH:MM")</f>
        <v>2025-09-20 16:30</v>
      </c>
      <c r="F172" s="23" t="str">
        <f>TEXT(S.Info!N172,"[MM]")</f>
        <v>30</v>
      </c>
      <c r="G172" s="23">
        <v>0</v>
      </c>
      <c r="H172" s="23" t="str">
        <f>IF(TEXT(IF(S.Info!Q172="15세",3,0),"#,##")&lt;&gt;"",TEXT(IF(S.Info!Q172="15세",3,0),"#,##"),"0")</f>
        <v>0</v>
      </c>
      <c r="I172" s="24" t="s">
        <v>354</v>
      </c>
      <c r="J172" s="24" t="s">
        <v>354</v>
      </c>
      <c r="K172" s="24" t="s">
        <v>354</v>
      </c>
      <c r="L172" s="24" t="s">
        <v>354</v>
      </c>
      <c r="M172" s="24" t="s">
        <v>354</v>
      </c>
      <c r="N172" s="24" t="s">
        <v>728</v>
      </c>
    </row>
    <row r="173" spans="1:14" ht="11.25" customHeight="1" x14ac:dyDescent="0.3">
      <c r="A173" s="13" t="s">
        <v>271</v>
      </c>
      <c r="B173" s="23" t="str">
        <f>S.Info!O173&amp;" "&amp;S.Info!P173&amp;"회"</f>
        <v>최선규의 이제는 지방시대 3회</v>
      </c>
      <c r="C173" s="13"/>
      <c r="D173" s="13"/>
      <c r="E173" s="23" t="str">
        <f>TEXT(S.Info!K173,"YYYY-MM-DD HH:MM")</f>
        <v>2025-09-20 17:00</v>
      </c>
      <c r="F173" s="23" t="str">
        <f>TEXT(S.Info!N173,"[MM]")</f>
        <v>60</v>
      </c>
      <c r="G173" s="23">
        <v>0</v>
      </c>
      <c r="H173" s="23" t="str">
        <f>IF(TEXT(IF(S.Info!Q173="15세",3,0),"#,##")&lt;&gt;"",TEXT(IF(S.Info!Q173="15세",3,0),"#,##"),"0")</f>
        <v>0</v>
      </c>
      <c r="I173" s="24" t="s">
        <v>354</v>
      </c>
      <c r="J173" s="24" t="s">
        <v>354</v>
      </c>
      <c r="K173" s="24" t="s">
        <v>354</v>
      </c>
      <c r="L173" s="24" t="s">
        <v>354</v>
      </c>
      <c r="M173" s="24" t="s">
        <v>354</v>
      </c>
      <c r="N173" s="24" t="s">
        <v>741</v>
      </c>
    </row>
    <row r="174" spans="1:14" ht="11.25" customHeight="1" x14ac:dyDescent="0.3">
      <c r="A174" s="13" t="s">
        <v>271</v>
      </c>
      <c r="B174" s="23" t="str">
        <f>S.Info!O174&amp;" "&amp;S.Info!P174&amp;"회"</f>
        <v>지방자치단체장 인터뷰 47회</v>
      </c>
      <c r="C174" s="13"/>
      <c r="D174" s="13"/>
      <c r="E174" s="23" t="str">
        <f>TEXT(S.Info!K174,"YYYY-MM-DD HH:MM")</f>
        <v>2025-09-20 18:00</v>
      </c>
      <c r="F174" s="23" t="str">
        <f>TEXT(S.Info!N174,"[MM]")</f>
        <v>30</v>
      </c>
      <c r="G174" s="23">
        <v>0</v>
      </c>
      <c r="H174" s="23" t="str">
        <f>IF(TEXT(IF(S.Info!Q174="15세",3,0),"#,##")&lt;&gt;"",TEXT(IF(S.Info!Q174="15세",3,0),"#,##"),"0")</f>
        <v>0</v>
      </c>
      <c r="I174" s="24" t="s">
        <v>354</v>
      </c>
      <c r="J174" s="24" t="s">
        <v>354</v>
      </c>
      <c r="K174" s="24" t="s">
        <v>354</v>
      </c>
      <c r="L174" s="24" t="s">
        <v>354</v>
      </c>
      <c r="M174" s="24" t="s">
        <v>354</v>
      </c>
      <c r="N174" s="24" t="s">
        <v>738</v>
      </c>
    </row>
    <row r="175" spans="1:14" ht="11.25" customHeight="1" x14ac:dyDescent="0.3">
      <c r="A175" s="13" t="s">
        <v>271</v>
      </c>
      <c r="B175" s="23" t="str">
        <f>S.Info!O175&amp;" "&amp;S.Info!P175&amp;"회"</f>
        <v>더 人터뷰 54회</v>
      </c>
      <c r="C175" s="13"/>
      <c r="D175" s="13"/>
      <c r="E175" s="23" t="str">
        <f>TEXT(S.Info!K175,"YYYY-MM-DD HH:MM")</f>
        <v>2025-09-20 18:30</v>
      </c>
      <c r="F175" s="23" t="str">
        <f>TEXT(S.Info!N175,"[MM]")</f>
        <v>30</v>
      </c>
      <c r="G175" s="23">
        <v>0</v>
      </c>
      <c r="H175" s="23" t="str">
        <f>IF(TEXT(IF(S.Info!Q175="15세",3,0),"#,##")&lt;&gt;"",TEXT(IF(S.Info!Q175="15세",3,0),"#,##"),"0")</f>
        <v>0</v>
      </c>
      <c r="I175" s="24" t="s">
        <v>354</v>
      </c>
      <c r="J175" s="24" t="s">
        <v>354</v>
      </c>
      <c r="K175" s="24" t="s">
        <v>354</v>
      </c>
      <c r="L175" s="24" t="s">
        <v>354</v>
      </c>
      <c r="M175" s="24" t="s">
        <v>354</v>
      </c>
      <c r="N175" s="24" t="s">
        <v>754</v>
      </c>
    </row>
    <row r="176" spans="1:14" ht="11.25" customHeight="1" x14ac:dyDescent="0.3">
      <c r="A176" s="13" t="s">
        <v>271</v>
      </c>
      <c r="B176" s="23" t="str">
        <f>S.Info!O176&amp;" "&amp;S.Info!P176&amp;"회"</f>
        <v>더 人터뷰 3회</v>
      </c>
      <c r="C176" s="13"/>
      <c r="D176" s="13"/>
      <c r="E176" s="23" t="str">
        <f>TEXT(S.Info!K176,"YYYY-MM-DD HH:MM")</f>
        <v>2025-09-20 19:00</v>
      </c>
      <c r="F176" s="23" t="str">
        <f>TEXT(S.Info!N176,"[MM]")</f>
        <v>60</v>
      </c>
      <c r="G176" s="23">
        <v>0</v>
      </c>
      <c r="H176" s="23" t="str">
        <f>IF(TEXT(IF(S.Info!Q176="15세",3,0),"#,##")&lt;&gt;"",TEXT(IF(S.Info!Q176="15세",3,0),"#,##"),"0")</f>
        <v>0</v>
      </c>
      <c r="I176" s="24" t="s">
        <v>354</v>
      </c>
      <c r="J176" s="24" t="s">
        <v>354</v>
      </c>
      <c r="K176" s="24" t="s">
        <v>354</v>
      </c>
      <c r="L176" s="24" t="s">
        <v>354</v>
      </c>
      <c r="M176" s="24" t="s">
        <v>354</v>
      </c>
      <c r="N176" s="24" t="s">
        <v>736</v>
      </c>
    </row>
    <row r="177" spans="1:14" ht="11.25" customHeight="1" x14ac:dyDescent="0.3">
      <c r="A177" s="13" t="s">
        <v>271</v>
      </c>
      <c r="B177" s="23" t="str">
        <f>S.Info!O177&amp;" "&amp;S.Info!P177&amp;"회"</f>
        <v>NEWSON 67회</v>
      </c>
      <c r="C177" s="13"/>
      <c r="D177" s="13"/>
      <c r="E177" s="23" t="str">
        <f>TEXT(S.Info!K177,"YYYY-MM-DD HH:MM")</f>
        <v>2025-09-20 20:00</v>
      </c>
      <c r="F177" s="23" t="str">
        <f>TEXT(S.Info!N177,"[MM]")</f>
        <v>30</v>
      </c>
      <c r="G177" s="23">
        <v>0</v>
      </c>
      <c r="H177" s="23" t="str">
        <f>IF(TEXT(IF(S.Info!Q177="15세",3,0),"#,##")&lt;&gt;"",TEXT(IF(S.Info!Q177="15세",3,0),"#,##"),"0")</f>
        <v>0</v>
      </c>
      <c r="I177" s="24" t="s">
        <v>354</v>
      </c>
      <c r="J177" s="24" t="s">
        <v>354</v>
      </c>
      <c r="K177" s="24" t="s">
        <v>354</v>
      </c>
      <c r="L177" s="24" t="s">
        <v>354</v>
      </c>
      <c r="M177" s="24" t="s">
        <v>354</v>
      </c>
      <c r="N177" s="24" t="s">
        <v>704</v>
      </c>
    </row>
    <row r="178" spans="1:14" ht="11.25" customHeight="1" x14ac:dyDescent="0.3">
      <c r="A178" s="13" t="s">
        <v>271</v>
      </c>
      <c r="B178" s="23" t="str">
        <f>S.Info!O178&amp;" "&amp;S.Info!P178&amp;"회"</f>
        <v>우리동네 너튜브 9회</v>
      </c>
      <c r="C178" s="13"/>
      <c r="D178" s="13"/>
      <c r="E178" s="23" t="str">
        <f>TEXT(S.Info!K178,"YYYY-MM-DD HH:MM")</f>
        <v>2025-09-20 20:30</v>
      </c>
      <c r="F178" s="23" t="str">
        <f>TEXT(S.Info!N178,"[MM]")</f>
        <v>50</v>
      </c>
      <c r="G178" s="23">
        <v>0</v>
      </c>
      <c r="H178" s="23" t="str">
        <f>IF(TEXT(IF(S.Info!Q178="15세",3,0),"#,##")&lt;&gt;"",TEXT(IF(S.Info!Q178="15세",3,0),"#,##"),"0")</f>
        <v>0</v>
      </c>
      <c r="I178" s="24" t="s">
        <v>354</v>
      </c>
      <c r="J178" s="24" t="s">
        <v>354</v>
      </c>
      <c r="K178" s="24" t="s">
        <v>354</v>
      </c>
      <c r="L178" s="24" t="s">
        <v>354</v>
      </c>
      <c r="M178" s="24" t="s">
        <v>354</v>
      </c>
      <c r="N178" s="24" t="s">
        <v>740</v>
      </c>
    </row>
    <row r="179" spans="1:14" ht="11.25" customHeight="1" x14ac:dyDescent="0.3">
      <c r="A179" s="13" t="s">
        <v>271</v>
      </c>
      <c r="B179" s="23" t="str">
        <f>S.Info!O179&amp;" "&amp;S.Info!P179&amp;"회"</f>
        <v>낭만살롱 6회</v>
      </c>
      <c r="C179" s="13"/>
      <c r="D179" s="13"/>
      <c r="E179" s="23" t="str">
        <f>TEXT(S.Info!K179,"YYYY-MM-DD HH:MM")</f>
        <v>2025-09-20 21:20</v>
      </c>
      <c r="F179" s="23" t="str">
        <f>TEXT(S.Info!N179,"[MM]")</f>
        <v>40</v>
      </c>
      <c r="G179" s="23">
        <v>0</v>
      </c>
      <c r="H179" s="23" t="str">
        <f>IF(TEXT(IF(S.Info!Q179="15세",3,0),"#,##")&lt;&gt;"",TEXT(IF(S.Info!Q179="15세",3,0),"#,##"),"0")</f>
        <v>0</v>
      </c>
      <c r="I179" s="24" t="s">
        <v>354</v>
      </c>
      <c r="J179" s="24" t="s">
        <v>354</v>
      </c>
      <c r="K179" s="24" t="s">
        <v>354</v>
      </c>
      <c r="L179" s="24" t="s">
        <v>354</v>
      </c>
      <c r="M179" s="24" t="s">
        <v>354</v>
      </c>
      <c r="N179" s="24" t="s">
        <v>753</v>
      </c>
    </row>
    <row r="180" spans="1:14" ht="11.25" customHeight="1" x14ac:dyDescent="0.3">
      <c r="A180" s="13" t="s">
        <v>271</v>
      </c>
      <c r="B180" s="23" t="str">
        <f>S.Info!O180&amp;" "&amp;S.Info!P180&amp;"회"</f>
        <v>지방차치TV 하이라이트 13회</v>
      </c>
      <c r="C180" s="13"/>
      <c r="D180" s="13"/>
      <c r="E180" s="23" t="str">
        <f>TEXT(S.Info!K180,"YYYY-MM-DD HH:MM")</f>
        <v>2025-09-20 22:00</v>
      </c>
      <c r="F180" s="23" t="str">
        <f>TEXT(S.Info!N180,"[MM]")</f>
        <v>35</v>
      </c>
      <c r="G180" s="23">
        <v>0</v>
      </c>
      <c r="H180" s="23" t="str">
        <f>IF(TEXT(IF(S.Info!Q180="15세",3,0),"#,##")&lt;&gt;"",TEXT(IF(S.Info!Q180="15세",3,0),"#,##"),"0")</f>
        <v>0</v>
      </c>
      <c r="I180" s="24" t="s">
        <v>354</v>
      </c>
      <c r="J180" s="24" t="s">
        <v>354</v>
      </c>
      <c r="K180" s="24" t="s">
        <v>354</v>
      </c>
      <c r="L180" s="24" t="s">
        <v>354</v>
      </c>
      <c r="M180" s="24" t="s">
        <v>354</v>
      </c>
      <c r="N180" s="24" t="s">
        <v>748</v>
      </c>
    </row>
    <row r="181" spans="1:14" ht="11.25" customHeight="1" x14ac:dyDescent="0.3">
      <c r="A181" s="13" t="s">
        <v>271</v>
      </c>
      <c r="B181" s="23" t="str">
        <f>S.Info!O181&amp;" "&amp;S.Info!P181&amp;"회"</f>
        <v>지방자치TV 스페셜 24회</v>
      </c>
      <c r="C181" s="13"/>
      <c r="D181" s="13"/>
      <c r="E181" s="23" t="str">
        <f>TEXT(S.Info!K181,"YYYY-MM-DD HH:MM")</f>
        <v>2025-09-20 22:35</v>
      </c>
      <c r="F181" s="23" t="str">
        <f>TEXT(S.Info!N181,"[MM]")</f>
        <v>85</v>
      </c>
      <c r="G181" s="23">
        <v>0</v>
      </c>
      <c r="H181" s="23" t="str">
        <f>IF(TEXT(IF(S.Info!Q181="15세",3,0),"#,##")&lt;&gt;"",TEXT(IF(S.Info!Q181="15세",3,0),"#,##"),"0")</f>
        <v>0</v>
      </c>
      <c r="I181" s="24" t="s">
        <v>354</v>
      </c>
      <c r="J181" s="24" t="s">
        <v>354</v>
      </c>
      <c r="K181" s="24" t="s">
        <v>354</v>
      </c>
      <c r="L181" s="24" t="s">
        <v>354</v>
      </c>
      <c r="M181" s="24" t="s">
        <v>354</v>
      </c>
      <c r="N181" s="24" t="s">
        <v>724</v>
      </c>
    </row>
    <row r="182" spans="1:14" ht="11.25" customHeight="1" x14ac:dyDescent="0.3">
      <c r="A182" s="13" t="s">
        <v>271</v>
      </c>
      <c r="B182" s="23" t="str">
        <f>S.Info!O182&amp;" "&amp;S.Info!P182&amp;"회"</f>
        <v>특집 2026 지방선거_경기도의회 생생중계_본회의 4회</v>
      </c>
      <c r="C182" s="13"/>
      <c r="D182" s="13"/>
      <c r="E182" s="23" t="str">
        <f>TEXT(S.Info!K182,"YYYY-MM-DD HH:MM")</f>
        <v>2025-09-21 00:00</v>
      </c>
      <c r="F182" s="23" t="str">
        <f>TEXT(S.Info!N182,"[MM]")</f>
        <v>60</v>
      </c>
      <c r="G182" s="23">
        <v>0</v>
      </c>
      <c r="H182" s="23" t="str">
        <f>IF(TEXT(IF(S.Info!Q182="15세",3,0),"#,##")&lt;&gt;"",TEXT(IF(S.Info!Q182="15세",3,0),"#,##"),"0")</f>
        <v>0</v>
      </c>
      <c r="I182" s="24" t="s">
        <v>354</v>
      </c>
      <c r="J182" s="24" t="s">
        <v>354</v>
      </c>
      <c r="K182" s="24" t="s">
        <v>354</v>
      </c>
      <c r="L182" s="24" t="s">
        <v>354</v>
      </c>
      <c r="M182" s="24" t="s">
        <v>354</v>
      </c>
      <c r="N182" s="24" t="s">
        <v>727</v>
      </c>
    </row>
    <row r="183" spans="1:14" ht="11.25" customHeight="1" x14ac:dyDescent="0.3">
      <c r="A183" s="13" t="s">
        <v>271</v>
      </c>
      <c r="B183" s="23" t="str">
        <f>S.Info!O183&amp;" "&amp;S.Info!P183&amp;"회"</f>
        <v>특집 2026 지방선거_경기도의회 생생중계_상임위 4회</v>
      </c>
      <c r="C183" s="13"/>
      <c r="D183" s="13"/>
      <c r="E183" s="23" t="str">
        <f>TEXT(S.Info!K183,"YYYY-MM-DD HH:MM")</f>
        <v>2025-09-21 01:00</v>
      </c>
      <c r="F183" s="23" t="str">
        <f>TEXT(S.Info!N183,"[MM]")</f>
        <v>60</v>
      </c>
      <c r="G183" s="23">
        <v>0</v>
      </c>
      <c r="H183" s="23" t="str">
        <f>IF(TEXT(IF(S.Info!Q183="15세",3,0),"#,##")&lt;&gt;"",TEXT(IF(S.Info!Q183="15세",3,0),"#,##"),"0")</f>
        <v>0</v>
      </c>
      <c r="I183" s="24" t="s">
        <v>354</v>
      </c>
      <c r="J183" s="24" t="s">
        <v>354</v>
      </c>
      <c r="K183" s="24" t="s">
        <v>354</v>
      </c>
      <c r="L183" s="24" t="s">
        <v>354</v>
      </c>
      <c r="M183" s="24" t="s">
        <v>354</v>
      </c>
      <c r="N183" s="24" t="s">
        <v>739</v>
      </c>
    </row>
    <row r="184" spans="1:14" ht="11.25" customHeight="1" x14ac:dyDescent="0.3">
      <c r="A184" s="13" t="s">
        <v>271</v>
      </c>
      <c r="B184" s="23" t="str">
        <f>S.Info!O184&amp;" "&amp;S.Info!P184&amp;"회"</f>
        <v>휴먼다큐 시장사람들 21회</v>
      </c>
      <c r="C184" s="13"/>
      <c r="D184" s="13"/>
      <c r="E184" s="23" t="str">
        <f>TEXT(S.Info!K184,"YYYY-MM-DD HH:MM")</f>
        <v>2025-09-21 02:00</v>
      </c>
      <c r="F184" s="23" t="str">
        <f>TEXT(S.Info!N184,"[MM]")</f>
        <v>40</v>
      </c>
      <c r="G184" s="23">
        <v>0</v>
      </c>
      <c r="H184" s="23" t="str">
        <f>IF(TEXT(IF(S.Info!Q184="15세",3,0),"#,##")&lt;&gt;"",TEXT(IF(S.Info!Q184="15세",3,0),"#,##"),"0")</f>
        <v>0</v>
      </c>
      <c r="I184" s="24" t="s">
        <v>354</v>
      </c>
      <c r="J184" s="24" t="s">
        <v>354</v>
      </c>
      <c r="K184" s="24" t="s">
        <v>354</v>
      </c>
      <c r="L184" s="24" t="s">
        <v>354</v>
      </c>
      <c r="M184" s="24" t="s">
        <v>354</v>
      </c>
      <c r="N184" s="24" t="s">
        <v>744</v>
      </c>
    </row>
    <row r="185" spans="1:14" ht="11.25" customHeight="1" x14ac:dyDescent="0.3">
      <c r="A185" s="13" t="s">
        <v>271</v>
      </c>
      <c r="B185" s="23" t="str">
        <f>S.Info!O185&amp;" "&amp;S.Info!P185&amp;"회"</f>
        <v>최선규의 이제는 지방시대 시즌2 10회</v>
      </c>
      <c r="C185" s="13"/>
      <c r="D185" s="13"/>
      <c r="E185" s="23" t="str">
        <f>TEXT(S.Info!K185,"YYYY-MM-DD HH:MM")</f>
        <v>2025-09-21 02:40</v>
      </c>
      <c r="F185" s="23" t="str">
        <f>TEXT(S.Info!N185,"[MM]")</f>
        <v>60</v>
      </c>
      <c r="G185" s="23">
        <v>0</v>
      </c>
      <c r="H185" s="23" t="str">
        <f>IF(TEXT(IF(S.Info!Q185="15세",3,0),"#,##")&lt;&gt;"",TEXT(IF(S.Info!Q185="15세",3,0),"#,##"),"0")</f>
        <v>0</v>
      </c>
      <c r="I185" s="24" t="s">
        <v>354</v>
      </c>
      <c r="J185" s="24" t="s">
        <v>354</v>
      </c>
      <c r="K185" s="24" t="s">
        <v>354</v>
      </c>
      <c r="L185" s="24" t="s">
        <v>354</v>
      </c>
      <c r="M185" s="24" t="s">
        <v>354</v>
      </c>
      <c r="N185" s="24" t="s">
        <v>729</v>
      </c>
    </row>
    <row r="186" spans="1:14" ht="11.25" customHeight="1" x14ac:dyDescent="0.3">
      <c r="A186" s="13" t="s">
        <v>271</v>
      </c>
      <c r="B186" s="23" t="str">
        <f>S.Info!O186&amp;" "&amp;S.Info!P186&amp;"회"</f>
        <v>태군노래자랑 14회</v>
      </c>
      <c r="C186" s="13"/>
      <c r="D186" s="13"/>
      <c r="E186" s="23" t="str">
        <f>TEXT(S.Info!K186,"YYYY-MM-DD HH:MM")</f>
        <v>2025-09-21 03:40</v>
      </c>
      <c r="F186" s="23" t="str">
        <f>TEXT(S.Info!N186,"[MM]")</f>
        <v>60</v>
      </c>
      <c r="G186" s="23">
        <v>0</v>
      </c>
      <c r="H186" s="23" t="str">
        <f>IF(TEXT(IF(S.Info!Q186="15세",3,0),"#,##")&lt;&gt;"",TEXT(IF(S.Info!Q186="15세",3,0),"#,##"),"0")</f>
        <v>0</v>
      </c>
      <c r="I186" s="24" t="s">
        <v>354</v>
      </c>
      <c r="J186" s="24" t="s">
        <v>354</v>
      </c>
      <c r="K186" s="24" t="s">
        <v>354</v>
      </c>
      <c r="L186" s="24" t="s">
        <v>354</v>
      </c>
      <c r="M186" s="24" t="s">
        <v>354</v>
      </c>
      <c r="N186" s="24" t="s">
        <v>730</v>
      </c>
    </row>
    <row r="187" spans="1:14" ht="11.25" customHeight="1" x14ac:dyDescent="0.3">
      <c r="A187" s="13" t="s">
        <v>271</v>
      </c>
      <c r="B187" s="23" t="str">
        <f>S.Info!O187&amp;" "&amp;S.Info!P187&amp;"회"</f>
        <v>NEWS4 64회</v>
      </c>
      <c r="C187" s="13"/>
      <c r="D187" s="13"/>
      <c r="E187" s="23" t="str">
        <f>TEXT(S.Info!K187,"YYYY-MM-DD HH:MM")</f>
        <v>2025-09-21 04:40</v>
      </c>
      <c r="F187" s="23" t="str">
        <f>TEXT(S.Info!N187,"[MM]")</f>
        <v>30</v>
      </c>
      <c r="G187" s="23">
        <v>0</v>
      </c>
      <c r="H187" s="23" t="str">
        <f>IF(TEXT(IF(S.Info!Q187="15세",3,0),"#,##")&lt;&gt;"",TEXT(IF(S.Info!Q187="15세",3,0),"#,##"),"0")</f>
        <v>0</v>
      </c>
      <c r="I187" s="24" t="s">
        <v>354</v>
      </c>
      <c r="J187" s="24" t="s">
        <v>354</v>
      </c>
      <c r="K187" s="24" t="s">
        <v>354</v>
      </c>
      <c r="L187" s="24" t="s">
        <v>354</v>
      </c>
      <c r="M187" s="24" t="s">
        <v>354</v>
      </c>
      <c r="N187" s="24" t="s">
        <v>725</v>
      </c>
    </row>
    <row r="188" spans="1:14" ht="11.25" customHeight="1" x14ac:dyDescent="0.3">
      <c r="A188" s="13" t="s">
        <v>271</v>
      </c>
      <c r="B188" s="23" t="str">
        <f>S.Info!O188&amp;" "&amp;S.Info!P188&amp;"회"</f>
        <v>내삶을바꾸는정책 2195회</v>
      </c>
      <c r="C188" s="13"/>
      <c r="D188" s="13"/>
      <c r="E188" s="23" t="str">
        <f>TEXT(S.Info!K188,"YYYY-MM-DD HH:MM")</f>
        <v>2025-09-21 05:10</v>
      </c>
      <c r="F188" s="23" t="str">
        <f>TEXT(S.Info!N188,"[MM]")</f>
        <v>60</v>
      </c>
      <c r="G188" s="23">
        <v>0</v>
      </c>
      <c r="H188" s="23" t="str">
        <f>IF(TEXT(IF(S.Info!Q188="15세",3,0),"#,##")&lt;&gt;"",TEXT(IF(S.Info!Q188="15세",3,0),"#,##"),"0")</f>
        <v>0</v>
      </c>
      <c r="I188" s="24" t="s">
        <v>354</v>
      </c>
      <c r="J188" s="24" t="s">
        <v>354</v>
      </c>
      <c r="K188" s="24" t="s">
        <v>354</v>
      </c>
      <c r="L188" s="24" t="s">
        <v>354</v>
      </c>
      <c r="M188" s="24" t="s">
        <v>354</v>
      </c>
      <c r="N188" s="24" t="s">
        <v>745</v>
      </c>
    </row>
    <row r="189" spans="1:14" ht="11.25" customHeight="1" x14ac:dyDescent="0.3">
      <c r="A189" s="13" t="s">
        <v>271</v>
      </c>
      <c r="B189" s="23" t="str">
        <f>S.Info!O189&amp;" "&amp;S.Info!P189&amp;"회"</f>
        <v>지금은 지방시대 190회</v>
      </c>
      <c r="C189" s="13"/>
      <c r="D189" s="13"/>
      <c r="E189" s="23" t="str">
        <f>TEXT(S.Info!K189,"YYYY-MM-DD HH:MM")</f>
        <v>2025-09-21 06:10</v>
      </c>
      <c r="F189" s="23" t="str">
        <f>TEXT(S.Info!N189,"[MM]")</f>
        <v>50</v>
      </c>
      <c r="G189" s="23">
        <v>0</v>
      </c>
      <c r="H189" s="23" t="str">
        <f>IF(TEXT(IF(S.Info!Q189="15세",3,0),"#,##")&lt;&gt;"",TEXT(IF(S.Info!Q189="15세",3,0),"#,##"),"0")</f>
        <v>0</v>
      </c>
      <c r="I189" s="24" t="s">
        <v>354</v>
      </c>
      <c r="J189" s="24" t="s">
        <v>354</v>
      </c>
      <c r="K189" s="24" t="s">
        <v>354</v>
      </c>
      <c r="L189" s="24" t="s">
        <v>354</v>
      </c>
      <c r="M189" s="24" t="s">
        <v>354</v>
      </c>
      <c r="N189" s="24" t="s">
        <v>726</v>
      </c>
    </row>
    <row r="190" spans="1:14" ht="11.25" customHeight="1" x14ac:dyDescent="0.3">
      <c r="A190" s="13" t="s">
        <v>271</v>
      </c>
      <c r="B190" s="23" t="str">
        <f>S.Info!O190&amp;" "&amp;S.Info!P190&amp;"회"</f>
        <v>최선규의 이제는 지방시대 4회</v>
      </c>
      <c r="C190" s="13"/>
      <c r="D190" s="13"/>
      <c r="E190" s="23" t="str">
        <f>TEXT(S.Info!K190,"YYYY-MM-DD HH:MM")</f>
        <v>2025-09-21 07:00</v>
      </c>
      <c r="F190" s="23" t="str">
        <f>TEXT(S.Info!N190,"[MM]")</f>
        <v>60</v>
      </c>
      <c r="G190" s="23">
        <v>0</v>
      </c>
      <c r="H190" s="23" t="str">
        <f>IF(TEXT(IF(S.Info!Q190="15세",3,0),"#,##")&lt;&gt;"",TEXT(IF(S.Info!Q190="15세",3,0),"#,##"),"0")</f>
        <v>0</v>
      </c>
      <c r="I190" s="24" t="s">
        <v>354</v>
      </c>
      <c r="J190" s="24" t="s">
        <v>354</v>
      </c>
      <c r="K190" s="24" t="s">
        <v>354</v>
      </c>
      <c r="L190" s="24" t="s">
        <v>354</v>
      </c>
      <c r="M190" s="24" t="s">
        <v>354</v>
      </c>
      <c r="N190" s="24" t="s">
        <v>732</v>
      </c>
    </row>
    <row r="191" spans="1:14" ht="11.25" customHeight="1" x14ac:dyDescent="0.3">
      <c r="A191" s="13" t="s">
        <v>271</v>
      </c>
      <c r="B191" s="23" t="str">
        <f>S.Info!O191&amp;" "&amp;S.Info!P191&amp;"회"</f>
        <v>NEWSPLUS 64회</v>
      </c>
      <c r="C191" s="13"/>
      <c r="D191" s="13"/>
      <c r="E191" s="23" t="str">
        <f>TEXT(S.Info!K191,"YYYY-MM-DD HH:MM")</f>
        <v>2025-09-21 08:00</v>
      </c>
      <c r="F191" s="23" t="str">
        <f>TEXT(S.Info!N191,"[MM]")</f>
        <v>30</v>
      </c>
      <c r="G191" s="23">
        <v>0</v>
      </c>
      <c r="H191" s="23" t="str">
        <f>IF(TEXT(IF(S.Info!Q191="15세",3,0),"#,##")&lt;&gt;"",TEXT(IF(S.Info!Q191="15세",3,0),"#,##"),"0")</f>
        <v>0</v>
      </c>
      <c r="I191" s="24" t="s">
        <v>354</v>
      </c>
      <c r="J191" s="24" t="s">
        <v>354</v>
      </c>
      <c r="K191" s="24" t="s">
        <v>354</v>
      </c>
      <c r="L191" s="24" t="s">
        <v>354</v>
      </c>
      <c r="M191" s="24" t="s">
        <v>354</v>
      </c>
      <c r="N191" s="24" t="s">
        <v>731</v>
      </c>
    </row>
    <row r="192" spans="1:14" ht="11.25" customHeight="1" x14ac:dyDescent="0.3">
      <c r="A192" s="13" t="s">
        <v>271</v>
      </c>
      <c r="B192" s="23" t="str">
        <f>S.Info!O192&amp;" "&amp;S.Info!P192&amp;"회"</f>
        <v>남도스럽게 3회</v>
      </c>
      <c r="C192" s="13"/>
      <c r="D192" s="13"/>
      <c r="E192" s="23" t="str">
        <f>TEXT(S.Info!K192,"YYYY-MM-DD HH:MM")</f>
        <v>2025-09-21 08:30</v>
      </c>
      <c r="F192" s="23" t="str">
        <f>TEXT(S.Info!N192,"[MM]")</f>
        <v>50</v>
      </c>
      <c r="G192" s="23">
        <v>0</v>
      </c>
      <c r="H192" s="23" t="str">
        <f>IF(TEXT(IF(S.Info!Q192="15세",3,0),"#,##")&lt;&gt;"",TEXT(IF(S.Info!Q192="15세",3,0),"#,##"),"0")</f>
        <v>0</v>
      </c>
      <c r="I192" s="24" t="s">
        <v>354</v>
      </c>
      <c r="J192" s="24" t="s">
        <v>354</v>
      </c>
      <c r="K192" s="24" t="s">
        <v>354</v>
      </c>
      <c r="L192" s="24" t="s">
        <v>354</v>
      </c>
      <c r="M192" s="24" t="s">
        <v>354</v>
      </c>
      <c r="N192" s="24" t="s">
        <v>751</v>
      </c>
    </row>
    <row r="193" spans="1:14" ht="11.25" customHeight="1" x14ac:dyDescent="0.3">
      <c r="A193" s="13" t="s">
        <v>271</v>
      </c>
      <c r="B193" s="23" t="str">
        <f>S.Info!O193&amp;" "&amp;S.Info!P193&amp;"회"</f>
        <v>눈에 띄는 그녀들 시즌5 3회</v>
      </c>
      <c r="C193" s="13"/>
      <c r="D193" s="13"/>
      <c r="E193" s="23" t="str">
        <f>TEXT(S.Info!K193,"YYYY-MM-DD HH:MM")</f>
        <v>2025-09-21 09:20</v>
      </c>
      <c r="F193" s="23" t="str">
        <f>TEXT(S.Info!N193,"[MM]")</f>
        <v>40</v>
      </c>
      <c r="G193" s="23">
        <v>0</v>
      </c>
      <c r="H193" s="23" t="str">
        <f>IF(TEXT(IF(S.Info!Q193="15세",3,0),"#,##")&lt;&gt;"",TEXT(IF(S.Info!Q193="15세",3,0),"#,##"),"0")</f>
        <v>0</v>
      </c>
      <c r="I193" s="24" t="s">
        <v>354</v>
      </c>
      <c r="J193" s="24" t="s">
        <v>354</v>
      </c>
      <c r="K193" s="24" t="s">
        <v>354</v>
      </c>
      <c r="L193" s="24" t="s">
        <v>354</v>
      </c>
      <c r="M193" s="24" t="s">
        <v>354</v>
      </c>
      <c r="N193" s="24" t="s">
        <v>770</v>
      </c>
    </row>
    <row r="194" spans="1:14" ht="11.25" customHeight="1" x14ac:dyDescent="0.3">
      <c r="A194" s="13" t="s">
        <v>271</v>
      </c>
      <c r="B194" s="23" t="str">
        <f>S.Info!O194&amp;" "&amp;S.Info!P194&amp;"회"</f>
        <v>지방자치TV 스페셜 21회</v>
      </c>
      <c r="C194" s="13"/>
      <c r="D194" s="13"/>
      <c r="E194" s="23" t="str">
        <f>TEXT(S.Info!K194,"YYYY-MM-DD HH:MM")</f>
        <v>2025-09-21 10:00</v>
      </c>
      <c r="F194" s="23" t="str">
        <f>TEXT(S.Info!N194,"[MM]")</f>
        <v>60</v>
      </c>
      <c r="G194" s="23">
        <v>0</v>
      </c>
      <c r="H194" s="23" t="str">
        <f>IF(TEXT(IF(S.Info!Q194="15세",3,0),"#,##")&lt;&gt;"",TEXT(IF(S.Info!Q194="15세",3,0),"#,##"),"0")</f>
        <v>0</v>
      </c>
      <c r="I194" s="24" t="s">
        <v>354</v>
      </c>
      <c r="J194" s="24" t="s">
        <v>354</v>
      </c>
      <c r="K194" s="24" t="s">
        <v>354</v>
      </c>
      <c r="L194" s="24" t="s">
        <v>354</v>
      </c>
      <c r="M194" s="24" t="s">
        <v>354</v>
      </c>
      <c r="N194" s="24" t="s">
        <v>760</v>
      </c>
    </row>
    <row r="195" spans="1:14" ht="11.25" customHeight="1" x14ac:dyDescent="0.3">
      <c r="A195" s="13" t="s">
        <v>271</v>
      </c>
      <c r="B195" s="23" t="str">
        <f>S.Info!O195&amp;" "&amp;S.Info!P195&amp;"회"</f>
        <v>지방자치TV 스페셜 22회</v>
      </c>
      <c r="C195" s="13"/>
      <c r="D195" s="13"/>
      <c r="E195" s="23" t="str">
        <f>TEXT(S.Info!K195,"YYYY-MM-DD HH:MM")</f>
        <v>2025-09-21 11:00</v>
      </c>
      <c r="F195" s="23" t="str">
        <f>TEXT(S.Info!N195,"[MM]")</f>
        <v>60</v>
      </c>
      <c r="G195" s="23">
        <v>0</v>
      </c>
      <c r="H195" s="23" t="str">
        <f>IF(TEXT(IF(S.Info!Q195="15세",3,0),"#,##")&lt;&gt;"",TEXT(IF(S.Info!Q195="15세",3,0),"#,##"),"0")</f>
        <v>0</v>
      </c>
      <c r="I195" s="24" t="s">
        <v>354</v>
      </c>
      <c r="J195" s="24" t="s">
        <v>354</v>
      </c>
      <c r="K195" s="24" t="s">
        <v>354</v>
      </c>
      <c r="L195" s="24" t="s">
        <v>354</v>
      </c>
      <c r="M195" s="24" t="s">
        <v>354</v>
      </c>
      <c r="N195" s="24" t="s">
        <v>767</v>
      </c>
    </row>
    <row r="196" spans="1:14" ht="11.25" customHeight="1" x14ac:dyDescent="0.3">
      <c r="A196" s="13" t="s">
        <v>271</v>
      </c>
      <c r="B196" s="23" t="str">
        <f>S.Info!O196&amp;" "&amp;S.Info!P196&amp;"회"</f>
        <v>행복무지개 31회</v>
      </c>
      <c r="C196" s="13"/>
      <c r="D196" s="13"/>
      <c r="E196" s="23" t="str">
        <f>TEXT(S.Info!K196,"YYYY-MM-DD HH:MM")</f>
        <v>2025-09-21 12:00</v>
      </c>
      <c r="F196" s="23" t="str">
        <f>TEXT(S.Info!N196,"[MM]")</f>
        <v>60</v>
      </c>
      <c r="G196" s="23">
        <v>0</v>
      </c>
      <c r="H196" s="23" t="str">
        <f>IF(TEXT(IF(S.Info!Q196="15세",3,0),"#,##")&lt;&gt;"",TEXT(IF(S.Info!Q196="15세",3,0),"#,##"),"0")</f>
        <v>0</v>
      </c>
      <c r="I196" s="24" t="s">
        <v>354</v>
      </c>
      <c r="J196" s="24" t="s">
        <v>354</v>
      </c>
      <c r="K196" s="24" t="s">
        <v>354</v>
      </c>
      <c r="L196" s="24" t="s">
        <v>354</v>
      </c>
      <c r="M196" s="24" t="s">
        <v>354</v>
      </c>
      <c r="N196" s="24" t="s">
        <v>752</v>
      </c>
    </row>
    <row r="197" spans="1:14" ht="11.25" customHeight="1" x14ac:dyDescent="0.3">
      <c r="A197" s="13" t="s">
        <v>271</v>
      </c>
      <c r="B197" s="23" t="str">
        <f>S.Info!O197&amp;" "&amp;S.Info!P197&amp;"회"</f>
        <v>NEWSJ 67회</v>
      </c>
      <c r="C197" s="13"/>
      <c r="D197" s="13"/>
      <c r="E197" s="23" t="str">
        <f>TEXT(S.Info!K197,"YYYY-MM-DD HH:MM")</f>
        <v>2025-09-21 13:00</v>
      </c>
      <c r="F197" s="23" t="str">
        <f>TEXT(S.Info!N197,"[MM]")</f>
        <v>30</v>
      </c>
      <c r="G197" s="23">
        <v>0</v>
      </c>
      <c r="H197" s="23" t="str">
        <f>IF(TEXT(IF(S.Info!Q197="15세",3,0),"#,##")&lt;&gt;"",TEXT(IF(S.Info!Q197="15세",3,0),"#,##"),"0")</f>
        <v>0</v>
      </c>
      <c r="I197" s="24" t="s">
        <v>354</v>
      </c>
      <c r="J197" s="24" t="s">
        <v>354</v>
      </c>
      <c r="K197" s="24" t="s">
        <v>354</v>
      </c>
      <c r="L197" s="24" t="s">
        <v>354</v>
      </c>
      <c r="M197" s="24" t="s">
        <v>354</v>
      </c>
      <c r="N197" s="24" t="s">
        <v>756</v>
      </c>
    </row>
    <row r="198" spans="1:14" ht="11.25" customHeight="1" x14ac:dyDescent="0.3">
      <c r="A198" s="13" t="s">
        <v>271</v>
      </c>
      <c r="B198" s="23" t="str">
        <f>S.Info!O198&amp;" "&amp;S.Info!P198&amp;"회"</f>
        <v>더 人터뷰 54회</v>
      </c>
      <c r="C198" s="13"/>
      <c r="D198" s="13"/>
      <c r="E198" s="23" t="str">
        <f>TEXT(S.Info!K198,"YYYY-MM-DD HH:MM")</f>
        <v>2025-09-21 13:30</v>
      </c>
      <c r="F198" s="23" t="str">
        <f>TEXT(S.Info!N198,"[MM]")</f>
        <v>30</v>
      </c>
      <c r="G198" s="23">
        <v>0</v>
      </c>
      <c r="H198" s="23" t="str">
        <f>IF(TEXT(IF(S.Info!Q198="15세",3,0),"#,##")&lt;&gt;"",TEXT(IF(S.Info!Q198="15세",3,0),"#,##"),"0")</f>
        <v>0</v>
      </c>
      <c r="I198" s="24" t="s">
        <v>354</v>
      </c>
      <c r="J198" s="24" t="s">
        <v>354</v>
      </c>
      <c r="K198" s="24" t="s">
        <v>354</v>
      </c>
      <c r="L198" s="24" t="s">
        <v>354</v>
      </c>
      <c r="M198" s="24" t="s">
        <v>354</v>
      </c>
      <c r="N198" s="24" t="s">
        <v>764</v>
      </c>
    </row>
    <row r="199" spans="1:14" ht="11.25" customHeight="1" x14ac:dyDescent="0.3">
      <c r="A199" s="13" t="s">
        <v>271</v>
      </c>
      <c r="B199" s="23" t="str">
        <f>S.Info!O199&amp;" "&amp;S.Info!P199&amp;"회"</f>
        <v>지방자치TV 스페셜 23회</v>
      </c>
      <c r="C199" s="13"/>
      <c r="D199" s="13"/>
      <c r="E199" s="23" t="str">
        <f>TEXT(S.Info!K199,"YYYY-MM-DD HH:MM")</f>
        <v>2025-09-21 14:00</v>
      </c>
      <c r="F199" s="23" t="str">
        <f>TEXT(S.Info!N199,"[MM]")</f>
        <v>60</v>
      </c>
      <c r="G199" s="23">
        <v>0</v>
      </c>
      <c r="H199" s="23" t="str">
        <f>IF(TEXT(IF(S.Info!Q199="15세",3,0),"#,##")&lt;&gt;"",TEXT(IF(S.Info!Q199="15세",3,0),"#,##"),"0")</f>
        <v>0</v>
      </c>
      <c r="I199" s="24" t="s">
        <v>354</v>
      </c>
      <c r="J199" s="24" t="s">
        <v>354</v>
      </c>
      <c r="K199" s="24" t="s">
        <v>354</v>
      </c>
      <c r="L199" s="24" t="s">
        <v>354</v>
      </c>
      <c r="M199" s="24" t="s">
        <v>354</v>
      </c>
      <c r="N199" s="24" t="s">
        <v>762</v>
      </c>
    </row>
    <row r="200" spans="1:14" ht="11.25" customHeight="1" x14ac:dyDescent="0.3">
      <c r="A200" s="13" t="s">
        <v>271</v>
      </c>
      <c r="B200" s="23" t="str">
        <f>S.Info!O200&amp;" "&amp;S.Info!P200&amp;"회"</f>
        <v>행복무지개 32회</v>
      </c>
      <c r="C200" s="13"/>
      <c r="D200" s="13"/>
      <c r="E200" s="23" t="str">
        <f>TEXT(S.Info!K200,"YYYY-MM-DD HH:MM")</f>
        <v>2025-09-21 15:00</v>
      </c>
      <c r="F200" s="23" t="str">
        <f>TEXT(S.Info!N200,"[MM]")</f>
        <v>60</v>
      </c>
      <c r="G200" s="23">
        <v>0</v>
      </c>
      <c r="H200" s="23" t="str">
        <f>IF(TEXT(IF(S.Info!Q200="15세",3,0),"#,##")&lt;&gt;"",TEXT(IF(S.Info!Q200="15세",3,0),"#,##"),"0")</f>
        <v>0</v>
      </c>
      <c r="I200" s="24" t="s">
        <v>354</v>
      </c>
      <c r="J200" s="24" t="s">
        <v>354</v>
      </c>
      <c r="K200" s="24" t="s">
        <v>354</v>
      </c>
      <c r="L200" s="24" t="s">
        <v>354</v>
      </c>
      <c r="M200" s="24" t="s">
        <v>354</v>
      </c>
      <c r="N200" s="24" t="s">
        <v>765</v>
      </c>
    </row>
    <row r="201" spans="1:14" ht="11.25" customHeight="1" x14ac:dyDescent="0.3">
      <c r="A201" s="13" t="s">
        <v>271</v>
      </c>
      <c r="B201" s="23" t="str">
        <f>S.Info!O201&amp;" "&amp;S.Info!P201&amp;"회"</f>
        <v>NEWS4 64회</v>
      </c>
      <c r="C201" s="13"/>
      <c r="D201" s="13"/>
      <c r="E201" s="23" t="str">
        <f>TEXT(S.Info!K201,"YYYY-MM-DD HH:MM")</f>
        <v>2025-09-21 16:00</v>
      </c>
      <c r="F201" s="23" t="str">
        <f>TEXT(S.Info!N201,"[MM]")</f>
        <v>30</v>
      </c>
      <c r="G201" s="23">
        <v>0</v>
      </c>
      <c r="H201" s="23" t="str">
        <f>IF(TEXT(IF(S.Info!Q201="15세",3,0),"#,##")&lt;&gt;"",TEXT(IF(S.Info!Q201="15세",3,0),"#,##"),"0")</f>
        <v>0</v>
      </c>
      <c r="I201" s="24" t="s">
        <v>354</v>
      </c>
      <c r="J201" s="24" t="s">
        <v>354</v>
      </c>
      <c r="K201" s="24" t="s">
        <v>354</v>
      </c>
      <c r="L201" s="24" t="s">
        <v>354</v>
      </c>
      <c r="M201" s="24" t="s">
        <v>354</v>
      </c>
      <c r="N201" s="24" t="s">
        <v>766</v>
      </c>
    </row>
    <row r="202" spans="1:14" ht="11.25" customHeight="1" x14ac:dyDescent="0.3">
      <c r="A202" s="13" t="s">
        <v>271</v>
      </c>
      <c r="B202" s="23" t="str">
        <f>S.Info!O202&amp;" "&amp;S.Info!P202&amp;"회"</f>
        <v>지금은 지방시대 강원 18회</v>
      </c>
      <c r="C202" s="13"/>
      <c r="D202" s="13"/>
      <c r="E202" s="23" t="str">
        <f>TEXT(S.Info!K202,"YYYY-MM-DD HH:MM")</f>
        <v>2025-09-21 16:30</v>
      </c>
      <c r="F202" s="23" t="str">
        <f>TEXT(S.Info!N202,"[MM]")</f>
        <v>30</v>
      </c>
      <c r="G202" s="23">
        <v>0</v>
      </c>
      <c r="H202" s="23" t="str">
        <f>IF(TEXT(IF(S.Info!Q202="15세",3,0),"#,##")&lt;&gt;"",TEXT(IF(S.Info!Q202="15세",3,0),"#,##"),"0")</f>
        <v>0</v>
      </c>
      <c r="I202" s="24" t="s">
        <v>354</v>
      </c>
      <c r="J202" s="24" t="s">
        <v>354</v>
      </c>
      <c r="K202" s="24" t="s">
        <v>354</v>
      </c>
      <c r="L202" s="24" t="s">
        <v>354</v>
      </c>
      <c r="M202" s="24" t="s">
        <v>354</v>
      </c>
      <c r="N202" s="24" t="s">
        <v>768</v>
      </c>
    </row>
    <row r="203" spans="1:14" ht="11.25" customHeight="1" x14ac:dyDescent="0.3">
      <c r="A203" s="13" t="s">
        <v>271</v>
      </c>
      <c r="B203" s="23" t="str">
        <f>S.Info!O203&amp;" "&amp;S.Info!P203&amp;"회"</f>
        <v>최선규의 이제는 지방시대 4회</v>
      </c>
      <c r="C203" s="13"/>
      <c r="D203" s="13"/>
      <c r="E203" s="23" t="str">
        <f>TEXT(S.Info!K203,"YYYY-MM-DD HH:MM")</f>
        <v>2025-09-21 17:00</v>
      </c>
      <c r="F203" s="23" t="str">
        <f>TEXT(S.Info!N203,"[MM]")</f>
        <v>60</v>
      </c>
      <c r="G203" s="23">
        <v>0</v>
      </c>
      <c r="H203" s="23" t="str">
        <f>IF(TEXT(IF(S.Info!Q203="15세",3,0),"#,##")&lt;&gt;"",TEXT(IF(S.Info!Q203="15세",3,0),"#,##"),"0")</f>
        <v>0</v>
      </c>
      <c r="I203" s="24" t="s">
        <v>354</v>
      </c>
      <c r="J203" s="24" t="s">
        <v>354</v>
      </c>
      <c r="K203" s="24" t="s">
        <v>354</v>
      </c>
      <c r="L203" s="24" t="s">
        <v>354</v>
      </c>
      <c r="M203" s="24" t="s">
        <v>354</v>
      </c>
      <c r="N203" s="24" t="s">
        <v>759</v>
      </c>
    </row>
    <row r="204" spans="1:14" ht="11.25" customHeight="1" x14ac:dyDescent="0.3">
      <c r="A204" s="13" t="s">
        <v>271</v>
      </c>
      <c r="B204" s="23" t="str">
        <f>S.Info!O204&amp;" "&amp;S.Info!P204&amp;"회"</f>
        <v>지방자치단체장 인터뷰 47회</v>
      </c>
      <c r="C204" s="13"/>
      <c r="D204" s="13"/>
      <c r="E204" s="23" t="str">
        <f>TEXT(S.Info!K204,"YYYY-MM-DD HH:MM")</f>
        <v>2025-09-21 18:00</v>
      </c>
      <c r="F204" s="23" t="str">
        <f>TEXT(S.Info!N204,"[MM]")</f>
        <v>30</v>
      </c>
      <c r="G204" s="23">
        <v>0</v>
      </c>
      <c r="H204" s="23" t="str">
        <f>IF(TEXT(IF(S.Info!Q204="15세",3,0),"#,##")&lt;&gt;"",TEXT(IF(S.Info!Q204="15세",3,0),"#,##"),"0")</f>
        <v>0</v>
      </c>
      <c r="I204" s="24" t="s">
        <v>354</v>
      </c>
      <c r="J204" s="24" t="s">
        <v>354</v>
      </c>
      <c r="K204" s="24" t="s">
        <v>354</v>
      </c>
      <c r="L204" s="24" t="s">
        <v>354</v>
      </c>
      <c r="M204" s="24" t="s">
        <v>354</v>
      </c>
      <c r="N204" s="24" t="s">
        <v>769</v>
      </c>
    </row>
    <row r="205" spans="1:14" ht="11.25" customHeight="1" x14ac:dyDescent="0.3">
      <c r="E205" s="9"/>
    </row>
    <row r="206" spans="1:14" ht="11.25" customHeight="1" x14ac:dyDescent="0.3">
      <c r="B206" s="25"/>
    </row>
    <row r="207" spans="1:14" ht="11.25" customHeight="1" x14ac:dyDescent="0.3">
      <c r="B207" s="25"/>
    </row>
    <row r="208" spans="1:14" ht="11.25" customHeight="1" x14ac:dyDescent="0.3">
      <c r="B208" s="25"/>
    </row>
    <row r="209" spans="2:2" ht="11.25" customHeight="1" x14ac:dyDescent="0.3">
      <c r="B209" s="25"/>
    </row>
    <row r="210" spans="2:2" ht="11.25" customHeight="1" x14ac:dyDescent="0.3">
      <c r="B210" s="25"/>
    </row>
    <row r="211" spans="2:2" ht="11.25" customHeight="1" x14ac:dyDescent="0.3">
      <c r="B211" s="25"/>
    </row>
    <row r="212" spans="2:2" ht="11.25" customHeight="1" x14ac:dyDescent="0.3">
      <c r="B212" s="25"/>
    </row>
    <row r="213" spans="2:2" ht="11.25" customHeight="1" x14ac:dyDescent="0.3">
      <c r="B213" s="25"/>
    </row>
    <row r="214" spans="2:2" ht="11.25" customHeight="1" x14ac:dyDescent="0.3">
      <c r="B214" s="25"/>
    </row>
    <row r="215" spans="2:2" ht="11.25" customHeight="1" x14ac:dyDescent="0.3">
      <c r="B215" s="25"/>
    </row>
    <row r="216" spans="2:2" ht="11.25" customHeight="1" x14ac:dyDescent="0.3">
      <c r="B216" s="25"/>
    </row>
    <row r="217" spans="2:2" ht="11.25" customHeight="1" x14ac:dyDescent="0.3">
      <c r="B217" s="25"/>
    </row>
  </sheetData>
  <phoneticPr fontId="15" type="noConversion"/>
  <pageMargins left="0.69986110925674438" right="0.69986110925674438" top="0.75" bottom="0.75" header="0.30000001192092896" footer="0.30000001192092896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L232"/>
  <sheetViews>
    <sheetView topLeftCell="A22" zoomScale="130" zoomScaleNormal="130" zoomScaleSheetLayoutView="75" workbookViewId="0">
      <selection activeCell="G178" sqref="G178:G189"/>
    </sheetView>
  </sheetViews>
  <sheetFormatPr defaultColWidth="13.875" defaultRowHeight="11.25" customHeight="1" x14ac:dyDescent="0.3"/>
  <cols>
    <col min="1" max="1" width="13.875" style="45"/>
    <col min="2" max="2" width="4.375" style="49" bestFit="1" customWidth="1"/>
    <col min="3" max="3" width="13.875" style="45"/>
    <col min="4" max="4" width="5.25" style="45" customWidth="1"/>
    <col min="5" max="5" width="13.875" style="45"/>
    <col min="6" max="6" width="4.375" style="45" bestFit="1" customWidth="1"/>
    <col min="7" max="7" width="13.875" style="45"/>
    <col min="8" max="8" width="4.375" style="45" customWidth="1"/>
    <col min="9" max="9" width="18.875" style="45" bestFit="1" customWidth="1"/>
    <col min="10" max="10" width="4.375" style="45" bestFit="1" customWidth="1"/>
    <col min="11" max="11" width="13.875" style="45"/>
    <col min="12" max="12" width="3.625" style="45" customWidth="1"/>
    <col min="13" max="13" width="19.25" style="45" customWidth="1"/>
    <col min="14" max="14" width="4.375" style="45" bestFit="1" customWidth="1"/>
    <col min="15" max="15" width="13.875" style="45"/>
    <col min="16" max="16" width="3.625" style="45" customWidth="1"/>
    <col min="17" max="17" width="9.625" style="45" bestFit="1" customWidth="1"/>
    <col min="18" max="18" width="4.375" style="45" bestFit="1" customWidth="1"/>
    <col min="19" max="19" width="13.875" style="45"/>
    <col min="20" max="20" width="4.375" style="45" customWidth="1"/>
    <col min="21" max="21" width="13.875" style="45"/>
    <col min="22" max="22" width="4.375" style="45" bestFit="1" customWidth="1"/>
    <col min="23" max="23" width="13.875" style="45"/>
    <col min="24" max="24" width="2.75" style="45" customWidth="1"/>
    <col min="25" max="25" width="13.875" style="45"/>
    <col min="26" max="27" width="4.375" style="45" bestFit="1" customWidth="1"/>
    <col min="28" max="28" width="2.75" style="45" customWidth="1"/>
    <col min="29" max="29" width="18.625" style="45" customWidth="1"/>
    <col min="30" max="30" width="4.375" style="45" bestFit="1" customWidth="1"/>
    <col min="31" max="31" width="13.875" style="45"/>
    <col min="32" max="32" width="4.25" style="45" customWidth="1"/>
    <col min="33" max="33" width="18.125" style="45" customWidth="1"/>
    <col min="34" max="34" width="3.625" style="45" bestFit="1" customWidth="1"/>
    <col min="35" max="16384" width="13.875" style="45"/>
  </cols>
  <sheetData>
    <row r="2" spans="1:38" ht="11.25" customHeight="1" x14ac:dyDescent="0.3">
      <c r="A2" s="42" t="s">
        <v>157</v>
      </c>
      <c r="B2" s="43">
        <v>1</v>
      </c>
      <c r="C2" s="44" t="s">
        <v>600</v>
      </c>
      <c r="E2" s="42" t="s">
        <v>302</v>
      </c>
      <c r="F2" s="43">
        <v>1</v>
      </c>
      <c r="G2" s="46" t="s">
        <v>293</v>
      </c>
      <c r="H2" s="42"/>
      <c r="I2" s="42" t="s">
        <v>497</v>
      </c>
      <c r="J2" s="43">
        <v>1</v>
      </c>
      <c r="K2" s="46" t="s">
        <v>491</v>
      </c>
      <c r="M2" s="42" t="s">
        <v>517</v>
      </c>
      <c r="N2" s="43">
        <v>1</v>
      </c>
      <c r="O2" s="46" t="s">
        <v>761</v>
      </c>
      <c r="Q2" s="42" t="s">
        <v>273</v>
      </c>
      <c r="R2" s="43">
        <v>1</v>
      </c>
      <c r="S2" s="46" t="s">
        <v>378</v>
      </c>
      <c r="U2" s="42" t="s">
        <v>489</v>
      </c>
      <c r="V2" s="43">
        <v>1</v>
      </c>
      <c r="W2" s="46" t="s">
        <v>368</v>
      </c>
      <c r="Y2" s="42" t="s">
        <v>238</v>
      </c>
      <c r="Z2" s="43">
        <v>1</v>
      </c>
      <c r="AA2" s="46" t="s">
        <v>400</v>
      </c>
      <c r="AC2" s="42" t="s">
        <v>514</v>
      </c>
      <c r="AD2" s="43">
        <v>1</v>
      </c>
      <c r="AE2" s="46" t="s">
        <v>197</v>
      </c>
      <c r="AG2" s="42" t="s">
        <v>524</v>
      </c>
      <c r="AH2" s="43">
        <v>1</v>
      </c>
      <c r="AI2" s="46" t="s">
        <v>170</v>
      </c>
      <c r="AL2" s="45" t="s">
        <v>202</v>
      </c>
    </row>
    <row r="3" spans="1:38" ht="11.25" customHeight="1" x14ac:dyDescent="0.3">
      <c r="A3" s="42" t="s">
        <v>157</v>
      </c>
      <c r="B3" s="43">
        <v>2</v>
      </c>
      <c r="C3" s="44" t="s">
        <v>594</v>
      </c>
      <c r="E3" s="42" t="s">
        <v>302</v>
      </c>
      <c r="F3" s="43">
        <v>2</v>
      </c>
      <c r="G3" s="46" t="s">
        <v>295</v>
      </c>
      <c r="H3" s="42"/>
      <c r="I3" s="42" t="s">
        <v>497</v>
      </c>
      <c r="J3" s="43">
        <v>2</v>
      </c>
      <c r="K3" s="46" t="s">
        <v>758</v>
      </c>
      <c r="M3" s="42" t="s">
        <v>517</v>
      </c>
      <c r="N3" s="43">
        <v>2</v>
      </c>
      <c r="O3" s="46" t="s">
        <v>757</v>
      </c>
      <c r="Q3" s="42" t="s">
        <v>273</v>
      </c>
      <c r="R3" s="43">
        <v>2</v>
      </c>
      <c r="S3" s="46" t="s">
        <v>367</v>
      </c>
      <c r="U3" s="42" t="s">
        <v>489</v>
      </c>
      <c r="V3" s="43">
        <v>2</v>
      </c>
      <c r="W3" s="46" t="s">
        <v>347</v>
      </c>
      <c r="Y3" s="42" t="s">
        <v>238</v>
      </c>
      <c r="Z3" s="43">
        <v>2</v>
      </c>
      <c r="AA3" s="46" t="s">
        <v>398</v>
      </c>
      <c r="AC3" s="42" t="s">
        <v>514</v>
      </c>
      <c r="AD3" s="43">
        <v>2</v>
      </c>
      <c r="AE3" s="46" t="s">
        <v>201</v>
      </c>
      <c r="AG3" s="42" t="s">
        <v>524</v>
      </c>
      <c r="AH3" s="43">
        <v>2</v>
      </c>
      <c r="AI3" s="46" t="s">
        <v>151</v>
      </c>
      <c r="AL3" s="45" t="s">
        <v>127</v>
      </c>
    </row>
    <row r="4" spans="1:38" ht="11.25" customHeight="1" x14ac:dyDescent="0.3">
      <c r="A4" s="42" t="s">
        <v>157</v>
      </c>
      <c r="B4" s="43">
        <v>3</v>
      </c>
      <c r="C4" s="44" t="s">
        <v>599</v>
      </c>
      <c r="E4" s="42" t="s">
        <v>302</v>
      </c>
      <c r="F4" s="43">
        <v>3</v>
      </c>
      <c r="G4" s="46" t="s">
        <v>267</v>
      </c>
      <c r="H4" s="42"/>
      <c r="I4" s="42" t="s">
        <v>497</v>
      </c>
      <c r="J4" s="43">
        <v>3</v>
      </c>
      <c r="K4" s="46" t="s">
        <v>763</v>
      </c>
      <c r="M4" s="42" t="s">
        <v>517</v>
      </c>
      <c r="N4" s="43">
        <v>3</v>
      </c>
      <c r="O4" s="46" t="s">
        <v>511</v>
      </c>
      <c r="Q4" s="42" t="s">
        <v>273</v>
      </c>
      <c r="R4" s="43">
        <v>3</v>
      </c>
      <c r="S4" s="46" t="s">
        <v>373</v>
      </c>
      <c r="U4" s="42" t="s">
        <v>489</v>
      </c>
      <c r="V4" s="43">
        <v>3</v>
      </c>
      <c r="W4" s="46" t="s">
        <v>358</v>
      </c>
      <c r="Y4" s="42" t="s">
        <v>238</v>
      </c>
      <c r="Z4" s="43">
        <v>3</v>
      </c>
      <c r="AA4" s="46"/>
      <c r="AC4" s="42" t="s">
        <v>514</v>
      </c>
      <c r="AD4" s="43">
        <v>3</v>
      </c>
      <c r="AE4" s="46" t="s">
        <v>191</v>
      </c>
      <c r="AG4" s="42" t="s">
        <v>524</v>
      </c>
      <c r="AH4" s="43">
        <v>3</v>
      </c>
      <c r="AI4" s="46" t="s">
        <v>200</v>
      </c>
      <c r="AL4" s="45" t="s">
        <v>156</v>
      </c>
    </row>
    <row r="5" spans="1:38" ht="11.25" customHeight="1" x14ac:dyDescent="0.3">
      <c r="A5" s="42" t="s">
        <v>157</v>
      </c>
      <c r="B5" s="43">
        <v>4</v>
      </c>
      <c r="C5" s="46" t="s">
        <v>591</v>
      </c>
      <c r="E5" s="42" t="s">
        <v>302</v>
      </c>
      <c r="F5" s="43">
        <v>4</v>
      </c>
      <c r="G5" s="46" t="s">
        <v>290</v>
      </c>
      <c r="H5" s="42"/>
      <c r="I5" s="42" t="s">
        <v>497</v>
      </c>
      <c r="J5" s="43">
        <v>4</v>
      </c>
      <c r="K5" s="46" t="s">
        <v>83</v>
      </c>
      <c r="M5" s="42" t="s">
        <v>517</v>
      </c>
      <c r="N5" s="43">
        <v>4</v>
      </c>
      <c r="O5" s="46" t="s">
        <v>506</v>
      </c>
      <c r="Q5" s="42" t="s">
        <v>273</v>
      </c>
      <c r="R5" s="43">
        <v>4</v>
      </c>
      <c r="S5" s="46" t="s">
        <v>129</v>
      </c>
      <c r="U5" s="42" t="s">
        <v>489</v>
      </c>
      <c r="V5" s="43">
        <v>4</v>
      </c>
      <c r="W5" s="46" t="s">
        <v>363</v>
      </c>
      <c r="Y5" s="42" t="s">
        <v>238</v>
      </c>
      <c r="Z5" s="43">
        <v>4</v>
      </c>
      <c r="AA5" s="46"/>
      <c r="AC5" s="42" t="s">
        <v>514</v>
      </c>
      <c r="AD5" s="43">
        <v>4</v>
      </c>
      <c r="AE5" s="46" t="s">
        <v>196</v>
      </c>
      <c r="AG5" s="42" t="s">
        <v>524</v>
      </c>
      <c r="AH5" s="43">
        <v>4</v>
      </c>
      <c r="AI5" s="46" t="s">
        <v>204</v>
      </c>
      <c r="AL5" s="45" t="s">
        <v>128</v>
      </c>
    </row>
    <row r="6" spans="1:38" ht="11.25" customHeight="1" x14ac:dyDescent="0.3">
      <c r="A6" s="42" t="s">
        <v>157</v>
      </c>
      <c r="B6" s="43">
        <v>5</v>
      </c>
      <c r="C6" s="46" t="s">
        <v>592</v>
      </c>
      <c r="E6" s="42" t="s">
        <v>302</v>
      </c>
      <c r="F6" s="43">
        <v>5</v>
      </c>
      <c r="G6" s="46" t="s">
        <v>296</v>
      </c>
      <c r="H6" s="42"/>
      <c r="I6" s="42" t="s">
        <v>497</v>
      </c>
      <c r="J6" s="43">
        <v>5</v>
      </c>
      <c r="K6" s="46" t="s">
        <v>498</v>
      </c>
      <c r="M6" s="42" t="s">
        <v>517</v>
      </c>
      <c r="N6" s="43">
        <v>5</v>
      </c>
      <c r="O6" s="46" t="s">
        <v>498</v>
      </c>
      <c r="Q6" s="42" t="s">
        <v>273</v>
      </c>
      <c r="R6" s="43">
        <v>5</v>
      </c>
      <c r="S6" s="46" t="s">
        <v>474</v>
      </c>
      <c r="U6" s="42" t="s">
        <v>489</v>
      </c>
      <c r="V6" s="43">
        <v>5</v>
      </c>
      <c r="W6" s="46"/>
      <c r="Y6" s="42" t="s">
        <v>238</v>
      </c>
      <c r="Z6" s="43">
        <v>5</v>
      </c>
      <c r="AA6" s="46"/>
      <c r="AC6" s="42" t="s">
        <v>514</v>
      </c>
      <c r="AD6" s="43">
        <v>5</v>
      </c>
      <c r="AE6" s="46" t="s">
        <v>192</v>
      </c>
      <c r="AG6" s="42" t="s">
        <v>524</v>
      </c>
      <c r="AH6" s="43">
        <v>5</v>
      </c>
      <c r="AI6" s="46" t="s">
        <v>193</v>
      </c>
      <c r="AL6" s="45" t="s">
        <v>159</v>
      </c>
    </row>
    <row r="7" spans="1:38" ht="11.25" customHeight="1" x14ac:dyDescent="0.3">
      <c r="A7" s="42" t="s">
        <v>157</v>
      </c>
      <c r="B7" s="43">
        <v>6</v>
      </c>
      <c r="C7" s="46" t="s">
        <v>601</v>
      </c>
      <c r="E7" s="42" t="s">
        <v>302</v>
      </c>
      <c r="F7" s="43">
        <v>6</v>
      </c>
      <c r="G7" s="46" t="s">
        <v>292</v>
      </c>
      <c r="H7" s="42"/>
      <c r="I7" s="42" t="s">
        <v>497</v>
      </c>
      <c r="J7" s="43">
        <v>6</v>
      </c>
      <c r="K7" s="46" t="s">
        <v>536</v>
      </c>
      <c r="M7" s="42" t="s">
        <v>517</v>
      </c>
      <c r="N7" s="43">
        <v>6</v>
      </c>
      <c r="O7" s="47" t="s">
        <v>519</v>
      </c>
      <c r="Q7" s="42" t="s">
        <v>273</v>
      </c>
      <c r="R7" s="43">
        <v>6</v>
      </c>
      <c r="S7" s="46"/>
      <c r="U7" s="42" t="s">
        <v>489</v>
      </c>
      <c r="V7" s="43">
        <v>6</v>
      </c>
      <c r="W7" s="46"/>
      <c r="Y7" s="42" t="s">
        <v>238</v>
      </c>
      <c r="Z7" s="43">
        <v>6</v>
      </c>
      <c r="AA7" s="46"/>
      <c r="AC7" s="42" t="s">
        <v>514</v>
      </c>
      <c r="AD7" s="43">
        <v>6</v>
      </c>
      <c r="AE7" s="46" t="s">
        <v>199</v>
      </c>
      <c r="AG7" s="42" t="s">
        <v>524</v>
      </c>
      <c r="AH7" s="43">
        <v>6</v>
      </c>
      <c r="AI7" s="46" t="s">
        <v>218</v>
      </c>
    </row>
    <row r="8" spans="1:38" ht="11.25" customHeight="1" x14ac:dyDescent="0.3">
      <c r="A8" s="42" t="s">
        <v>157</v>
      </c>
      <c r="B8" s="43">
        <v>7</v>
      </c>
      <c r="C8" s="46" t="s">
        <v>593</v>
      </c>
      <c r="E8" s="42" t="s">
        <v>302</v>
      </c>
      <c r="F8" s="43">
        <v>7</v>
      </c>
      <c r="G8" s="46" t="s">
        <v>313</v>
      </c>
      <c r="H8" s="42"/>
      <c r="I8" s="42" t="s">
        <v>497</v>
      </c>
      <c r="J8" s="43">
        <v>7</v>
      </c>
      <c r="K8" s="46" t="s">
        <v>531</v>
      </c>
      <c r="M8" s="42" t="s">
        <v>517</v>
      </c>
      <c r="N8" s="43">
        <v>7</v>
      </c>
      <c r="O8" s="47" t="s">
        <v>512</v>
      </c>
      <c r="Q8" s="42" t="s">
        <v>273</v>
      </c>
      <c r="R8" s="43">
        <v>7</v>
      </c>
      <c r="S8" s="46"/>
      <c r="U8" s="42" t="s">
        <v>489</v>
      </c>
      <c r="V8" s="43">
        <v>7</v>
      </c>
      <c r="W8" s="46"/>
      <c r="Y8" s="42" t="s">
        <v>238</v>
      </c>
      <c r="Z8" s="43">
        <v>7</v>
      </c>
      <c r="AA8" s="46"/>
      <c r="AC8" s="42" t="s">
        <v>514</v>
      </c>
      <c r="AD8" s="43">
        <v>7</v>
      </c>
      <c r="AE8" s="46" t="s">
        <v>518</v>
      </c>
    </row>
    <row r="9" spans="1:38" ht="11.25" customHeight="1" x14ac:dyDescent="0.3">
      <c r="A9" s="42" t="s">
        <v>157</v>
      </c>
      <c r="B9" s="43">
        <v>8</v>
      </c>
      <c r="C9" s="46" t="s">
        <v>595</v>
      </c>
      <c r="E9" s="42" t="s">
        <v>302</v>
      </c>
      <c r="F9" s="43">
        <v>8</v>
      </c>
      <c r="G9" s="46" t="s">
        <v>419</v>
      </c>
      <c r="H9" s="42"/>
      <c r="I9" s="42" t="s">
        <v>497</v>
      </c>
      <c r="J9" s="43">
        <v>8</v>
      </c>
      <c r="K9" s="46" t="s">
        <v>534</v>
      </c>
      <c r="M9" s="42" t="s">
        <v>517</v>
      </c>
      <c r="N9" s="43">
        <v>8</v>
      </c>
      <c r="O9" s="47"/>
      <c r="Q9" s="42" t="s">
        <v>273</v>
      </c>
      <c r="R9" s="43">
        <v>8</v>
      </c>
      <c r="S9" s="46"/>
      <c r="U9" s="42" t="s">
        <v>489</v>
      </c>
      <c r="V9" s="43">
        <v>8</v>
      </c>
      <c r="W9" s="46"/>
      <c r="Y9" s="42" t="s">
        <v>238</v>
      </c>
      <c r="Z9" s="43">
        <v>8</v>
      </c>
      <c r="AA9" s="46"/>
      <c r="AC9" s="42" t="s">
        <v>514</v>
      </c>
      <c r="AD9" s="43">
        <v>8</v>
      </c>
      <c r="AE9" s="46" t="s">
        <v>522</v>
      </c>
    </row>
    <row r="10" spans="1:38" ht="11.25" customHeight="1" x14ac:dyDescent="0.3">
      <c r="A10" s="42" t="s">
        <v>157</v>
      </c>
      <c r="B10" s="43">
        <v>9</v>
      </c>
      <c r="C10" s="46" t="s">
        <v>499</v>
      </c>
      <c r="E10" s="42" t="s">
        <v>302</v>
      </c>
      <c r="F10" s="43">
        <v>9</v>
      </c>
      <c r="G10" s="46" t="s">
        <v>298</v>
      </c>
      <c r="H10" s="42"/>
      <c r="I10" s="42" t="s">
        <v>497</v>
      </c>
      <c r="J10" s="43">
        <v>9</v>
      </c>
      <c r="K10" s="46" t="s">
        <v>532</v>
      </c>
      <c r="M10" s="42" t="s">
        <v>517</v>
      </c>
      <c r="N10" s="43">
        <v>9</v>
      </c>
      <c r="O10" s="47"/>
      <c r="Q10" s="42" t="s">
        <v>273</v>
      </c>
      <c r="R10" s="43">
        <v>9</v>
      </c>
      <c r="S10" s="46"/>
      <c r="U10" s="42" t="s">
        <v>489</v>
      </c>
      <c r="V10" s="43">
        <v>9</v>
      </c>
      <c r="W10" s="46"/>
      <c r="Y10" s="42" t="s">
        <v>238</v>
      </c>
      <c r="Z10" s="43">
        <v>9</v>
      </c>
      <c r="AA10" s="46"/>
      <c r="AC10" s="42" t="s">
        <v>514</v>
      </c>
      <c r="AD10" s="43">
        <v>9</v>
      </c>
      <c r="AE10" s="46" t="s">
        <v>527</v>
      </c>
    </row>
    <row r="11" spans="1:38" ht="11.25" customHeight="1" x14ac:dyDescent="0.3">
      <c r="A11" s="42" t="s">
        <v>157</v>
      </c>
      <c r="B11" s="43">
        <v>10</v>
      </c>
      <c r="C11" s="46" t="s">
        <v>598</v>
      </c>
      <c r="E11" s="42" t="s">
        <v>302</v>
      </c>
      <c r="F11" s="43">
        <v>10</v>
      </c>
      <c r="G11" s="46" t="s">
        <v>287</v>
      </c>
      <c r="H11" s="42"/>
      <c r="I11" s="48" t="s">
        <v>497</v>
      </c>
      <c r="J11" s="43">
        <v>10</v>
      </c>
      <c r="K11" s="46" t="s">
        <v>535</v>
      </c>
      <c r="M11" s="42" t="s">
        <v>517</v>
      </c>
      <c r="N11" s="43">
        <v>10</v>
      </c>
      <c r="O11" s="47"/>
      <c r="Q11" s="42" t="s">
        <v>273</v>
      </c>
      <c r="R11" s="43">
        <v>10</v>
      </c>
      <c r="S11" s="46"/>
      <c r="U11" s="42" t="s">
        <v>489</v>
      </c>
      <c r="V11" s="43">
        <v>10</v>
      </c>
      <c r="W11" s="46" t="s">
        <v>355</v>
      </c>
      <c r="Y11" s="42" t="s">
        <v>238</v>
      </c>
      <c r="Z11" s="43">
        <v>10</v>
      </c>
      <c r="AA11" s="46"/>
      <c r="AC11" s="42" t="s">
        <v>514</v>
      </c>
      <c r="AD11" s="43">
        <v>10</v>
      </c>
      <c r="AE11" s="46" t="s">
        <v>526</v>
      </c>
    </row>
    <row r="12" spans="1:38" ht="11.25" customHeight="1" x14ac:dyDescent="0.3">
      <c r="A12" s="42" t="s">
        <v>157</v>
      </c>
      <c r="B12" s="43">
        <v>11</v>
      </c>
      <c r="C12" s="46" t="s">
        <v>576</v>
      </c>
      <c r="E12" s="42" t="s">
        <v>302</v>
      </c>
      <c r="F12" s="43">
        <v>11</v>
      </c>
      <c r="G12" s="46" t="s">
        <v>301</v>
      </c>
      <c r="H12" s="42"/>
      <c r="I12" s="42" t="s">
        <v>497</v>
      </c>
      <c r="J12" s="43">
        <v>11</v>
      </c>
      <c r="K12" s="46" t="s">
        <v>537</v>
      </c>
      <c r="U12" s="42" t="s">
        <v>489</v>
      </c>
      <c r="V12" s="43">
        <v>11</v>
      </c>
      <c r="W12" s="46" t="s">
        <v>357</v>
      </c>
      <c r="Y12" s="42" t="s">
        <v>238</v>
      </c>
      <c r="Z12" s="43">
        <v>11</v>
      </c>
      <c r="AA12" s="46"/>
      <c r="AC12" s="42" t="s">
        <v>514</v>
      </c>
      <c r="AD12" s="43">
        <v>11</v>
      </c>
      <c r="AE12" s="46" t="s">
        <v>523</v>
      </c>
    </row>
    <row r="13" spans="1:38" ht="11.25" customHeight="1" x14ac:dyDescent="0.3">
      <c r="A13" s="42" t="s">
        <v>157</v>
      </c>
      <c r="B13" s="43">
        <v>12</v>
      </c>
      <c r="C13" s="46" t="s">
        <v>597</v>
      </c>
      <c r="E13" s="42" t="s">
        <v>302</v>
      </c>
      <c r="F13" s="43">
        <v>12</v>
      </c>
      <c r="G13" s="46" t="s">
        <v>429</v>
      </c>
      <c r="H13" s="42"/>
      <c r="I13" s="42" t="s">
        <v>497</v>
      </c>
      <c r="J13" s="43">
        <v>12</v>
      </c>
      <c r="K13" s="46" t="s">
        <v>530</v>
      </c>
      <c r="U13" s="42" t="s">
        <v>489</v>
      </c>
      <c r="V13" s="43">
        <v>12</v>
      </c>
      <c r="W13" s="46" t="s">
        <v>375</v>
      </c>
      <c r="Y13" s="42" t="s">
        <v>238</v>
      </c>
      <c r="Z13" s="43">
        <v>12</v>
      </c>
      <c r="AA13" s="46"/>
      <c r="AC13" s="42" t="s">
        <v>514</v>
      </c>
      <c r="AD13" s="43">
        <v>12</v>
      </c>
      <c r="AE13" s="46" t="s">
        <v>525</v>
      </c>
    </row>
    <row r="14" spans="1:38" ht="11.25" customHeight="1" x14ac:dyDescent="0.3">
      <c r="A14" s="42" t="s">
        <v>157</v>
      </c>
      <c r="B14" s="43">
        <v>13</v>
      </c>
      <c r="C14" s="46" t="s">
        <v>596</v>
      </c>
      <c r="E14" s="42" t="s">
        <v>302</v>
      </c>
      <c r="F14" s="43">
        <v>13</v>
      </c>
      <c r="G14" s="46" t="s">
        <v>580</v>
      </c>
      <c r="H14" s="42"/>
      <c r="I14" s="42" t="s">
        <v>497</v>
      </c>
      <c r="J14" s="43">
        <v>13</v>
      </c>
      <c r="K14" s="46" t="s">
        <v>528</v>
      </c>
      <c r="U14" s="42" t="s">
        <v>489</v>
      </c>
      <c r="V14" s="43">
        <v>13</v>
      </c>
      <c r="W14" s="46" t="s">
        <v>401</v>
      </c>
    </row>
    <row r="15" spans="1:38" ht="11.25" customHeight="1" x14ac:dyDescent="0.3">
      <c r="A15" s="42" t="s">
        <v>157</v>
      </c>
      <c r="B15" s="43">
        <v>14</v>
      </c>
      <c r="C15" s="46" t="s">
        <v>577</v>
      </c>
      <c r="E15" s="42" t="s">
        <v>302</v>
      </c>
      <c r="F15" s="43">
        <v>14</v>
      </c>
      <c r="G15" s="46" t="s">
        <v>424</v>
      </c>
      <c r="H15" s="42"/>
      <c r="I15" s="48" t="s">
        <v>497</v>
      </c>
      <c r="J15" s="43">
        <v>14</v>
      </c>
      <c r="K15" s="46" t="s">
        <v>539</v>
      </c>
      <c r="U15" s="42" t="s">
        <v>489</v>
      </c>
      <c r="V15" s="43">
        <v>14</v>
      </c>
      <c r="W15" s="46" t="s">
        <v>380</v>
      </c>
    </row>
    <row r="16" spans="1:38" ht="11.25" customHeight="1" x14ac:dyDescent="0.3">
      <c r="A16" s="42" t="s">
        <v>157</v>
      </c>
      <c r="B16" s="43">
        <v>15</v>
      </c>
      <c r="C16" s="46" t="s">
        <v>574</v>
      </c>
      <c r="E16" s="42" t="s">
        <v>302</v>
      </c>
      <c r="F16" s="43">
        <v>15</v>
      </c>
      <c r="G16" s="46" t="s">
        <v>543</v>
      </c>
      <c r="H16" s="42"/>
      <c r="I16" s="42" t="s">
        <v>497</v>
      </c>
      <c r="J16" s="43">
        <v>15</v>
      </c>
      <c r="K16" s="46" t="s">
        <v>492</v>
      </c>
      <c r="U16" s="42" t="s">
        <v>489</v>
      </c>
      <c r="V16" s="43">
        <v>15</v>
      </c>
      <c r="W16" s="46" t="s">
        <v>394</v>
      </c>
    </row>
    <row r="17" spans="1:23" ht="11.25" customHeight="1" x14ac:dyDescent="0.3">
      <c r="A17" s="42" t="s">
        <v>157</v>
      </c>
      <c r="B17" s="43">
        <v>16</v>
      </c>
      <c r="C17" s="46" t="s">
        <v>578</v>
      </c>
      <c r="E17" s="42" t="s">
        <v>302</v>
      </c>
      <c r="F17" s="43">
        <v>16</v>
      </c>
      <c r="G17" s="46" t="s">
        <v>588</v>
      </c>
      <c r="H17" s="42"/>
      <c r="I17" s="42" t="s">
        <v>497</v>
      </c>
      <c r="J17" s="43">
        <v>16</v>
      </c>
      <c r="K17" s="46" t="s">
        <v>219</v>
      </c>
      <c r="U17" s="42" t="s">
        <v>489</v>
      </c>
      <c r="V17" s="43">
        <v>16</v>
      </c>
      <c r="W17" s="46" t="s">
        <v>383</v>
      </c>
    </row>
    <row r="18" spans="1:23" ht="11.25" customHeight="1" x14ac:dyDescent="0.3">
      <c r="A18" s="42" t="s">
        <v>157</v>
      </c>
      <c r="B18" s="43">
        <v>17</v>
      </c>
      <c r="C18" s="46" t="s">
        <v>208</v>
      </c>
      <c r="D18" s="42"/>
      <c r="E18" s="42" t="s">
        <v>302</v>
      </c>
      <c r="F18" s="43">
        <v>17</v>
      </c>
      <c r="G18" s="46" t="s">
        <v>423</v>
      </c>
      <c r="H18" s="42"/>
      <c r="I18" s="42" t="s">
        <v>497</v>
      </c>
      <c r="J18" s="43">
        <v>17</v>
      </c>
      <c r="K18" s="46" t="s">
        <v>541</v>
      </c>
      <c r="U18" s="42" t="s">
        <v>489</v>
      </c>
      <c r="V18" s="43">
        <v>17</v>
      </c>
      <c r="W18" s="46" t="s">
        <v>389</v>
      </c>
    </row>
    <row r="19" spans="1:23" ht="11.25" customHeight="1" x14ac:dyDescent="0.3">
      <c r="A19" s="42" t="s">
        <v>157</v>
      </c>
      <c r="B19" s="43">
        <v>18</v>
      </c>
      <c r="C19" s="46" t="s">
        <v>622</v>
      </c>
      <c r="E19" s="42" t="s">
        <v>302</v>
      </c>
      <c r="F19" s="43">
        <v>18</v>
      </c>
      <c r="G19" s="46" t="s">
        <v>417</v>
      </c>
      <c r="H19" s="42"/>
      <c r="I19" s="42" t="s">
        <v>497</v>
      </c>
      <c r="J19" s="43">
        <v>18</v>
      </c>
      <c r="K19" s="46" t="s">
        <v>529</v>
      </c>
      <c r="U19" s="42" t="s">
        <v>489</v>
      </c>
      <c r="V19" s="43">
        <v>18</v>
      </c>
      <c r="W19" s="46" t="s">
        <v>383</v>
      </c>
    </row>
    <row r="20" spans="1:23" ht="11.25" customHeight="1" x14ac:dyDescent="0.3">
      <c r="A20" s="42" t="s">
        <v>157</v>
      </c>
      <c r="B20" s="43">
        <v>19</v>
      </c>
      <c r="C20" s="46" t="s">
        <v>631</v>
      </c>
      <c r="E20" s="42" t="s">
        <v>302</v>
      </c>
      <c r="F20" s="43">
        <v>19</v>
      </c>
      <c r="G20" s="46" t="s">
        <v>441</v>
      </c>
      <c r="H20" s="42"/>
      <c r="I20" s="42" t="s">
        <v>497</v>
      </c>
      <c r="J20" s="43">
        <v>19</v>
      </c>
      <c r="K20" s="46" t="s">
        <v>0</v>
      </c>
    </row>
    <row r="21" spans="1:23" ht="11.25" customHeight="1" x14ac:dyDescent="0.3">
      <c r="A21" s="42" t="s">
        <v>157</v>
      </c>
      <c r="B21" s="43">
        <v>20</v>
      </c>
      <c r="C21" s="46" t="s">
        <v>235</v>
      </c>
      <c r="E21" s="42" t="s">
        <v>302</v>
      </c>
      <c r="F21" s="43">
        <v>20</v>
      </c>
      <c r="G21" s="46" t="s">
        <v>447</v>
      </c>
      <c r="H21" s="42"/>
      <c r="I21" s="42" t="s">
        <v>497</v>
      </c>
      <c r="J21" s="43">
        <v>20</v>
      </c>
      <c r="K21" s="46" t="s">
        <v>636</v>
      </c>
    </row>
    <row r="22" spans="1:23" ht="11.25" customHeight="1" x14ac:dyDescent="0.3">
      <c r="A22" s="42" t="s">
        <v>157</v>
      </c>
      <c r="B22" s="43">
        <v>21</v>
      </c>
      <c r="C22" s="46" t="s">
        <v>226</v>
      </c>
      <c r="E22" s="42" t="s">
        <v>302</v>
      </c>
      <c r="F22" s="43">
        <v>21</v>
      </c>
      <c r="G22" s="46" t="s">
        <v>317</v>
      </c>
      <c r="H22" s="42"/>
      <c r="I22" s="42" t="s">
        <v>497</v>
      </c>
      <c r="J22" s="43">
        <v>21</v>
      </c>
      <c r="K22" s="46" t="s">
        <v>634</v>
      </c>
    </row>
    <row r="23" spans="1:23" ht="11.25" customHeight="1" x14ac:dyDescent="0.3">
      <c r="A23" s="42" t="s">
        <v>157</v>
      </c>
      <c r="B23" s="43">
        <v>22</v>
      </c>
      <c r="C23" s="46" t="s">
        <v>233</v>
      </c>
      <c r="E23" s="42" t="s">
        <v>302</v>
      </c>
      <c r="F23" s="43">
        <v>22</v>
      </c>
      <c r="G23" s="46" t="s">
        <v>307</v>
      </c>
      <c r="H23" s="42"/>
      <c r="I23" s="42" t="s">
        <v>497</v>
      </c>
      <c r="J23" s="43">
        <v>22</v>
      </c>
      <c r="K23" s="46" t="s">
        <v>635</v>
      </c>
    </row>
    <row r="24" spans="1:23" ht="11.25" customHeight="1" x14ac:dyDescent="0.3">
      <c r="A24" s="42" t="s">
        <v>157</v>
      </c>
      <c r="B24" s="43">
        <v>23</v>
      </c>
      <c r="C24" s="46" t="s">
        <v>231</v>
      </c>
      <c r="E24" s="42" t="s">
        <v>302</v>
      </c>
      <c r="F24" s="43">
        <v>23</v>
      </c>
      <c r="G24" s="46" t="s">
        <v>299</v>
      </c>
      <c r="H24" s="42"/>
      <c r="I24" s="42" t="s">
        <v>497</v>
      </c>
      <c r="J24" s="43">
        <v>23</v>
      </c>
      <c r="K24" s="46" t="s">
        <v>638</v>
      </c>
    </row>
    <row r="25" spans="1:23" ht="11.25" customHeight="1" x14ac:dyDescent="0.3">
      <c r="A25" s="42" t="s">
        <v>157</v>
      </c>
      <c r="B25" s="43">
        <v>24</v>
      </c>
      <c r="C25" s="46" t="s">
        <v>234</v>
      </c>
      <c r="E25" s="42" t="s">
        <v>302</v>
      </c>
      <c r="F25" s="43">
        <v>24</v>
      </c>
      <c r="G25" s="46" t="s">
        <v>420</v>
      </c>
      <c r="H25" s="42"/>
      <c r="I25" s="42" t="s">
        <v>497</v>
      </c>
      <c r="J25" s="43">
        <v>24</v>
      </c>
      <c r="K25" s="46" t="s">
        <v>633</v>
      </c>
    </row>
    <row r="26" spans="1:23" ht="11.25" customHeight="1" x14ac:dyDescent="0.3">
      <c r="A26" s="42" t="s">
        <v>157</v>
      </c>
      <c r="B26" s="43">
        <v>25</v>
      </c>
      <c r="C26" s="46" t="s">
        <v>243</v>
      </c>
      <c r="E26" s="42" t="s">
        <v>302</v>
      </c>
      <c r="F26" s="43">
        <v>25</v>
      </c>
      <c r="G26" s="46" t="s">
        <v>427</v>
      </c>
      <c r="H26" s="42"/>
    </row>
    <row r="27" spans="1:23" ht="11.25" customHeight="1" x14ac:dyDescent="0.3">
      <c r="A27" s="42" t="s">
        <v>157</v>
      </c>
      <c r="B27" s="43">
        <v>26</v>
      </c>
      <c r="C27" s="46" t="s">
        <v>244</v>
      </c>
      <c r="E27" s="42" t="s">
        <v>302</v>
      </c>
      <c r="F27" s="43">
        <v>26</v>
      </c>
      <c r="G27" s="46" t="s">
        <v>628</v>
      </c>
      <c r="H27" s="42"/>
    </row>
    <row r="28" spans="1:23" ht="11.25" customHeight="1" x14ac:dyDescent="0.3">
      <c r="A28" s="42" t="s">
        <v>157</v>
      </c>
      <c r="B28" s="43">
        <v>27</v>
      </c>
      <c r="C28" s="46" t="s">
        <v>240</v>
      </c>
      <c r="E28" s="42" t="s">
        <v>302</v>
      </c>
      <c r="F28" s="43">
        <v>27</v>
      </c>
      <c r="G28" s="46" t="s">
        <v>303</v>
      </c>
    </row>
    <row r="29" spans="1:23" ht="11.25" customHeight="1" x14ac:dyDescent="0.3">
      <c r="A29" s="42" t="s">
        <v>157</v>
      </c>
      <c r="B29" s="43">
        <v>28</v>
      </c>
      <c r="C29" s="46" t="s">
        <v>236</v>
      </c>
      <c r="E29" s="42" t="s">
        <v>302</v>
      </c>
      <c r="F29" s="43">
        <v>28</v>
      </c>
      <c r="G29" s="46" t="s">
        <v>300</v>
      </c>
    </row>
    <row r="30" spans="1:23" ht="11.25" customHeight="1" x14ac:dyDescent="0.3">
      <c r="A30" s="42" t="s">
        <v>157</v>
      </c>
      <c r="B30" s="43">
        <v>29</v>
      </c>
      <c r="C30" s="46" t="s">
        <v>247</v>
      </c>
      <c r="E30" s="42" t="s">
        <v>302</v>
      </c>
      <c r="F30" s="43">
        <v>29</v>
      </c>
      <c r="G30" s="46" t="s">
        <v>418</v>
      </c>
    </row>
    <row r="31" spans="1:23" ht="11.25" customHeight="1" x14ac:dyDescent="0.3">
      <c r="A31" s="42" t="s">
        <v>157</v>
      </c>
      <c r="B31" s="43">
        <v>30</v>
      </c>
      <c r="C31" s="46" t="s">
        <v>189</v>
      </c>
      <c r="E31" s="42" t="s">
        <v>302</v>
      </c>
      <c r="F31" s="43">
        <v>30</v>
      </c>
      <c r="G31" s="46" t="s">
        <v>425</v>
      </c>
    </row>
    <row r="32" spans="1:23" ht="11.25" customHeight="1" x14ac:dyDescent="0.3">
      <c r="A32" s="42" t="s">
        <v>157</v>
      </c>
      <c r="B32" s="43">
        <v>31</v>
      </c>
      <c r="C32" s="46" t="s">
        <v>510</v>
      </c>
      <c r="E32" s="42" t="s">
        <v>302</v>
      </c>
      <c r="F32" s="43">
        <v>31</v>
      </c>
      <c r="G32" s="46" t="s">
        <v>314</v>
      </c>
    </row>
    <row r="33" spans="1:7" ht="11.25" customHeight="1" x14ac:dyDescent="0.3">
      <c r="A33" s="42" t="s">
        <v>157</v>
      </c>
      <c r="B33" s="43">
        <v>32</v>
      </c>
      <c r="C33" s="46" t="s">
        <v>182</v>
      </c>
      <c r="E33" s="42" t="s">
        <v>302</v>
      </c>
      <c r="F33" s="43">
        <v>32</v>
      </c>
      <c r="G33" s="46" t="s">
        <v>289</v>
      </c>
    </row>
    <row r="34" spans="1:7" ht="11.25" customHeight="1" x14ac:dyDescent="0.3">
      <c r="A34" s="42" t="s">
        <v>157</v>
      </c>
      <c r="B34" s="43">
        <v>33</v>
      </c>
      <c r="C34" s="46" t="s">
        <v>186</v>
      </c>
      <c r="E34" s="42" t="s">
        <v>302</v>
      </c>
      <c r="F34" s="43">
        <v>33</v>
      </c>
      <c r="G34" s="46" t="s">
        <v>316</v>
      </c>
    </row>
    <row r="35" spans="1:7" ht="11.25" customHeight="1" x14ac:dyDescent="0.3">
      <c r="A35" s="42" t="s">
        <v>157</v>
      </c>
      <c r="B35" s="43">
        <v>34</v>
      </c>
      <c r="C35" s="46"/>
      <c r="E35" s="42" t="s">
        <v>302</v>
      </c>
      <c r="F35" s="43">
        <v>34</v>
      </c>
      <c r="G35" s="46" t="s">
        <v>590</v>
      </c>
    </row>
    <row r="36" spans="1:7" ht="11.25" customHeight="1" x14ac:dyDescent="0.3">
      <c r="A36" s="42" t="s">
        <v>157</v>
      </c>
      <c r="B36" s="43">
        <v>35</v>
      </c>
      <c r="C36" s="46"/>
      <c r="E36" s="42" t="s">
        <v>302</v>
      </c>
      <c r="F36" s="43">
        <v>35</v>
      </c>
      <c r="G36" s="46" t="s">
        <v>304</v>
      </c>
    </row>
    <row r="37" spans="1:7" ht="11.25" customHeight="1" x14ac:dyDescent="0.3">
      <c r="A37" s="42" t="s">
        <v>157</v>
      </c>
      <c r="B37" s="43">
        <v>36</v>
      </c>
      <c r="C37" s="46"/>
      <c r="E37" s="42" t="s">
        <v>302</v>
      </c>
      <c r="F37" s="43">
        <v>36</v>
      </c>
      <c r="G37" s="46" t="s">
        <v>318</v>
      </c>
    </row>
    <row r="38" spans="1:7" ht="11.25" customHeight="1" x14ac:dyDescent="0.3">
      <c r="A38" s="42" t="s">
        <v>157</v>
      </c>
      <c r="B38" s="43">
        <v>37</v>
      </c>
      <c r="C38" s="46"/>
      <c r="E38" s="42" t="s">
        <v>302</v>
      </c>
      <c r="F38" s="43">
        <v>37</v>
      </c>
      <c r="G38" s="46" t="s">
        <v>308</v>
      </c>
    </row>
    <row r="39" spans="1:7" ht="11.25" customHeight="1" x14ac:dyDescent="0.3">
      <c r="A39" s="42" t="s">
        <v>157</v>
      </c>
      <c r="B39" s="43">
        <v>38</v>
      </c>
      <c r="C39" s="46"/>
      <c r="E39" s="42" t="s">
        <v>302</v>
      </c>
      <c r="F39" s="43">
        <v>38</v>
      </c>
      <c r="G39" s="46" t="s">
        <v>426</v>
      </c>
    </row>
    <row r="40" spans="1:7" ht="11.25" customHeight="1" x14ac:dyDescent="0.3">
      <c r="A40" s="42" t="s">
        <v>157</v>
      </c>
      <c r="B40" s="43">
        <v>39</v>
      </c>
      <c r="C40" s="46"/>
      <c r="E40" s="42" t="s">
        <v>302</v>
      </c>
      <c r="F40" s="43">
        <v>39</v>
      </c>
      <c r="G40" s="46" t="s">
        <v>310</v>
      </c>
    </row>
    <row r="41" spans="1:7" ht="11.25" customHeight="1" x14ac:dyDescent="0.3">
      <c r="A41" s="42" t="s">
        <v>157</v>
      </c>
      <c r="B41" s="43">
        <v>40</v>
      </c>
      <c r="C41" s="46"/>
      <c r="E41" s="42" t="s">
        <v>302</v>
      </c>
      <c r="F41" s="43">
        <v>40</v>
      </c>
      <c r="G41" s="46" t="s">
        <v>490</v>
      </c>
    </row>
    <row r="42" spans="1:7" ht="11.25" customHeight="1" x14ac:dyDescent="0.3">
      <c r="A42" s="42" t="s">
        <v>157</v>
      </c>
      <c r="B42" s="43">
        <v>41</v>
      </c>
      <c r="C42" s="46"/>
      <c r="E42" s="42" t="s">
        <v>302</v>
      </c>
      <c r="F42" s="43">
        <v>41</v>
      </c>
      <c r="G42" s="46" t="s">
        <v>311</v>
      </c>
    </row>
    <row r="43" spans="1:7" ht="11.25" customHeight="1" x14ac:dyDescent="0.3">
      <c r="A43" s="42" t="s">
        <v>157</v>
      </c>
      <c r="B43" s="43">
        <v>42</v>
      </c>
      <c r="C43" s="46"/>
      <c r="E43" s="42" t="s">
        <v>302</v>
      </c>
      <c r="F43" s="43">
        <v>42</v>
      </c>
      <c r="G43" s="46" t="s">
        <v>502</v>
      </c>
    </row>
    <row r="44" spans="1:7" ht="11.25" customHeight="1" x14ac:dyDescent="0.3">
      <c r="E44" s="42" t="s">
        <v>302</v>
      </c>
      <c r="F44" s="43">
        <v>43</v>
      </c>
      <c r="G44" s="46" t="s">
        <v>542</v>
      </c>
    </row>
    <row r="45" spans="1:7" ht="11.25" customHeight="1" x14ac:dyDescent="0.3">
      <c r="E45" s="42" t="s">
        <v>302</v>
      </c>
      <c r="F45" s="43">
        <v>44</v>
      </c>
      <c r="G45" s="46" t="s">
        <v>288</v>
      </c>
    </row>
    <row r="46" spans="1:7" ht="11.25" customHeight="1" x14ac:dyDescent="0.3">
      <c r="E46" s="42" t="s">
        <v>302</v>
      </c>
      <c r="F46" s="43">
        <v>45</v>
      </c>
      <c r="G46" s="46" t="s">
        <v>430</v>
      </c>
    </row>
    <row r="47" spans="1:7" ht="11.25" customHeight="1" x14ac:dyDescent="0.3">
      <c r="E47" s="42" t="s">
        <v>302</v>
      </c>
      <c r="F47" s="43">
        <v>46</v>
      </c>
      <c r="G47" s="46" t="s">
        <v>632</v>
      </c>
    </row>
    <row r="48" spans="1:7" ht="11.25" customHeight="1" x14ac:dyDescent="0.3">
      <c r="E48" s="42" t="s">
        <v>302</v>
      </c>
      <c r="F48" s="43">
        <v>47</v>
      </c>
      <c r="G48" s="46" t="s">
        <v>428</v>
      </c>
    </row>
    <row r="49" spans="5:7" ht="11.25" customHeight="1" x14ac:dyDescent="0.3">
      <c r="E49" s="42" t="s">
        <v>302</v>
      </c>
      <c r="F49" s="43">
        <v>48</v>
      </c>
      <c r="G49" s="46" t="s">
        <v>504</v>
      </c>
    </row>
    <row r="50" spans="5:7" ht="11.25" customHeight="1" x14ac:dyDescent="0.3">
      <c r="E50" s="42" t="s">
        <v>302</v>
      </c>
      <c r="F50" s="43">
        <v>49</v>
      </c>
      <c r="G50" s="46" t="s">
        <v>455</v>
      </c>
    </row>
    <row r="51" spans="5:7" ht="11.25" customHeight="1" x14ac:dyDescent="0.3">
      <c r="E51" s="42" t="s">
        <v>302</v>
      </c>
      <c r="F51" s="43">
        <v>50</v>
      </c>
      <c r="G51" s="46" t="s">
        <v>119</v>
      </c>
    </row>
    <row r="52" spans="5:7" ht="11.25" customHeight="1" x14ac:dyDescent="0.3">
      <c r="E52" s="42" t="s">
        <v>302</v>
      </c>
      <c r="F52" s="43">
        <v>51</v>
      </c>
      <c r="G52" s="46" t="s">
        <v>618</v>
      </c>
    </row>
    <row r="53" spans="5:7" ht="11.25" customHeight="1" x14ac:dyDescent="0.3">
      <c r="E53" s="42" t="s">
        <v>302</v>
      </c>
      <c r="F53" s="43">
        <v>52</v>
      </c>
      <c r="G53" s="46" t="s">
        <v>78</v>
      </c>
    </row>
    <row r="54" spans="5:7" ht="11.25" customHeight="1" x14ac:dyDescent="0.3">
      <c r="E54" s="42" t="s">
        <v>302</v>
      </c>
      <c r="F54" s="43">
        <v>53</v>
      </c>
      <c r="G54" s="46" t="s">
        <v>488</v>
      </c>
    </row>
    <row r="55" spans="5:7" ht="11.25" customHeight="1" x14ac:dyDescent="0.3">
      <c r="E55" s="42" t="s">
        <v>302</v>
      </c>
      <c r="F55" s="43">
        <v>54</v>
      </c>
      <c r="G55" s="46" t="s">
        <v>503</v>
      </c>
    </row>
    <row r="56" spans="5:7" ht="11.25" customHeight="1" x14ac:dyDescent="0.3">
      <c r="E56" s="42" t="s">
        <v>302</v>
      </c>
      <c r="F56" s="43">
        <v>55</v>
      </c>
      <c r="G56" s="46" t="s">
        <v>475</v>
      </c>
    </row>
    <row r="57" spans="5:7" ht="11.25" customHeight="1" x14ac:dyDescent="0.3">
      <c r="E57" s="42" t="s">
        <v>302</v>
      </c>
      <c r="F57" s="43">
        <v>56</v>
      </c>
      <c r="G57" s="46" t="s">
        <v>124</v>
      </c>
    </row>
    <row r="58" spans="5:7" ht="11.25" customHeight="1" x14ac:dyDescent="0.3">
      <c r="E58" s="42" t="s">
        <v>302</v>
      </c>
      <c r="F58" s="43">
        <v>57</v>
      </c>
      <c r="G58" s="46" t="s">
        <v>436</v>
      </c>
    </row>
    <row r="59" spans="5:7" ht="11.25" customHeight="1" x14ac:dyDescent="0.3">
      <c r="E59" s="42" t="s">
        <v>302</v>
      </c>
      <c r="F59" s="43">
        <v>58</v>
      </c>
      <c r="G59" s="46" t="s">
        <v>209</v>
      </c>
    </row>
    <row r="60" spans="5:7" ht="11.25" customHeight="1" x14ac:dyDescent="0.3">
      <c r="E60" s="42" t="s">
        <v>302</v>
      </c>
      <c r="F60" s="43">
        <v>59</v>
      </c>
      <c r="G60" s="46" t="s">
        <v>443</v>
      </c>
    </row>
    <row r="61" spans="5:7" ht="11.25" customHeight="1" x14ac:dyDescent="0.3">
      <c r="E61" s="42" t="s">
        <v>302</v>
      </c>
      <c r="F61" s="43">
        <v>60</v>
      </c>
      <c r="G61" s="46" t="s">
        <v>213</v>
      </c>
    </row>
    <row r="62" spans="5:7" ht="11.25" customHeight="1" x14ac:dyDescent="0.3">
      <c r="E62" s="42" t="s">
        <v>302</v>
      </c>
      <c r="F62" s="43">
        <v>61</v>
      </c>
      <c r="G62" s="46" t="s">
        <v>215</v>
      </c>
    </row>
    <row r="63" spans="5:7" ht="11.25" customHeight="1" x14ac:dyDescent="0.3">
      <c r="E63" s="42" t="s">
        <v>302</v>
      </c>
      <c r="F63" s="43">
        <v>62</v>
      </c>
      <c r="G63" s="46" t="s">
        <v>221</v>
      </c>
    </row>
    <row r="64" spans="5:7" ht="11.25" customHeight="1" x14ac:dyDescent="0.3">
      <c r="E64" s="42" t="s">
        <v>302</v>
      </c>
      <c r="F64" s="43">
        <v>63</v>
      </c>
      <c r="G64" s="46" t="s">
        <v>211</v>
      </c>
    </row>
    <row r="65" spans="5:7" ht="11.25" customHeight="1" x14ac:dyDescent="0.3">
      <c r="E65" s="42" t="s">
        <v>302</v>
      </c>
      <c r="F65" s="43">
        <v>64</v>
      </c>
      <c r="G65" s="46" t="s">
        <v>479</v>
      </c>
    </row>
    <row r="66" spans="5:7" ht="11.25" customHeight="1" x14ac:dyDescent="0.3">
      <c r="E66" s="42" t="s">
        <v>302</v>
      </c>
      <c r="F66" s="43">
        <v>65</v>
      </c>
      <c r="G66" s="46" t="s">
        <v>232</v>
      </c>
    </row>
    <row r="67" spans="5:7" ht="11.25" customHeight="1" x14ac:dyDescent="0.3">
      <c r="E67" s="42" t="s">
        <v>302</v>
      </c>
      <c r="F67" s="43">
        <v>66</v>
      </c>
      <c r="G67" s="46" t="s">
        <v>148</v>
      </c>
    </row>
    <row r="68" spans="5:7" ht="11.25" customHeight="1" x14ac:dyDescent="0.3">
      <c r="E68" s="42" t="s">
        <v>302</v>
      </c>
      <c r="F68" s="43">
        <v>67</v>
      </c>
      <c r="G68" s="46" t="s">
        <v>130</v>
      </c>
    </row>
    <row r="69" spans="5:7" ht="11.25" customHeight="1" x14ac:dyDescent="0.3">
      <c r="E69" s="42" t="s">
        <v>302</v>
      </c>
      <c r="F69" s="43">
        <v>68</v>
      </c>
      <c r="G69" s="46" t="s">
        <v>495</v>
      </c>
    </row>
    <row r="70" spans="5:7" ht="11.25" customHeight="1" x14ac:dyDescent="0.3">
      <c r="E70" s="42" t="s">
        <v>302</v>
      </c>
      <c r="F70" s="43">
        <v>69</v>
      </c>
      <c r="G70" s="46" t="s">
        <v>70</v>
      </c>
    </row>
    <row r="71" spans="5:7" ht="11.25" customHeight="1" x14ac:dyDescent="0.3">
      <c r="E71" s="42" t="s">
        <v>302</v>
      </c>
      <c r="F71" s="43">
        <v>70</v>
      </c>
      <c r="G71" s="46" t="s">
        <v>73</v>
      </c>
    </row>
    <row r="72" spans="5:7" ht="11.25" customHeight="1" x14ac:dyDescent="0.3">
      <c r="E72" s="42" t="s">
        <v>302</v>
      </c>
      <c r="F72" s="43">
        <v>71</v>
      </c>
      <c r="G72" s="46" t="s">
        <v>520</v>
      </c>
    </row>
    <row r="73" spans="5:7" ht="11.25" customHeight="1" x14ac:dyDescent="0.3">
      <c r="E73" s="42" t="s">
        <v>302</v>
      </c>
      <c r="F73" s="43">
        <v>72</v>
      </c>
      <c r="G73" s="46" t="s">
        <v>89</v>
      </c>
    </row>
    <row r="74" spans="5:7" ht="11.25" customHeight="1" x14ac:dyDescent="0.3">
      <c r="E74" s="42" t="s">
        <v>302</v>
      </c>
      <c r="F74" s="43">
        <v>73</v>
      </c>
      <c r="G74" s="46" t="s">
        <v>245</v>
      </c>
    </row>
    <row r="75" spans="5:7" ht="11.25" customHeight="1" x14ac:dyDescent="0.3">
      <c r="E75" s="42" t="s">
        <v>302</v>
      </c>
      <c r="F75" s="43">
        <v>74</v>
      </c>
      <c r="G75" s="46" t="s">
        <v>507</v>
      </c>
    </row>
    <row r="76" spans="5:7" ht="11.25" customHeight="1" x14ac:dyDescent="0.3">
      <c r="E76" s="42" t="s">
        <v>302</v>
      </c>
      <c r="F76" s="43">
        <v>75</v>
      </c>
      <c r="G76" s="45" t="s">
        <v>513</v>
      </c>
    </row>
    <row r="77" spans="5:7" ht="11.25" customHeight="1" x14ac:dyDescent="0.3">
      <c r="E77" s="42" t="s">
        <v>302</v>
      </c>
      <c r="F77" s="43">
        <v>76</v>
      </c>
      <c r="G77" s="45" t="s">
        <v>131</v>
      </c>
    </row>
    <row r="78" spans="5:7" ht="11.25" customHeight="1" x14ac:dyDescent="0.3">
      <c r="E78" s="42" t="s">
        <v>302</v>
      </c>
      <c r="F78" s="43">
        <v>77</v>
      </c>
    </row>
    <row r="79" spans="5:7" ht="11.25" customHeight="1" x14ac:dyDescent="0.3">
      <c r="E79" s="42" t="s">
        <v>302</v>
      </c>
      <c r="F79" s="43">
        <v>78</v>
      </c>
      <c r="G79" s="45" t="s">
        <v>640</v>
      </c>
    </row>
    <row r="80" spans="5:7" ht="11.25" customHeight="1" x14ac:dyDescent="0.3">
      <c r="E80" s="42" t="s">
        <v>302</v>
      </c>
      <c r="F80" s="43">
        <v>79</v>
      </c>
      <c r="G80" s="45" t="s">
        <v>538</v>
      </c>
    </row>
    <row r="81" spans="5:7" ht="11.25" customHeight="1" x14ac:dyDescent="0.3">
      <c r="E81" s="42" t="s">
        <v>302</v>
      </c>
      <c r="F81" s="43">
        <v>80</v>
      </c>
      <c r="G81" s="45" t="s">
        <v>540</v>
      </c>
    </row>
    <row r="82" spans="5:7" ht="11.25" customHeight="1" x14ac:dyDescent="0.3">
      <c r="E82" s="42" t="s">
        <v>302</v>
      </c>
      <c r="F82" s="43">
        <v>81</v>
      </c>
      <c r="G82" s="45" t="s">
        <v>392</v>
      </c>
    </row>
    <row r="83" spans="5:7" ht="11.25" customHeight="1" x14ac:dyDescent="0.3">
      <c r="E83" s="42" t="s">
        <v>302</v>
      </c>
      <c r="F83" s="43">
        <v>82</v>
      </c>
      <c r="G83" s="45" t="s">
        <v>641</v>
      </c>
    </row>
    <row r="84" spans="5:7" ht="11.25" customHeight="1" x14ac:dyDescent="0.3">
      <c r="E84" s="42" t="s">
        <v>302</v>
      </c>
      <c r="F84" s="43">
        <v>83</v>
      </c>
      <c r="G84" s="46" t="s">
        <v>639</v>
      </c>
    </row>
    <row r="85" spans="5:7" ht="11.25" customHeight="1" x14ac:dyDescent="0.3">
      <c r="E85" s="42" t="s">
        <v>302</v>
      </c>
      <c r="F85" s="43">
        <v>84</v>
      </c>
      <c r="G85" s="46" t="s">
        <v>198</v>
      </c>
    </row>
    <row r="86" spans="5:7" ht="11.25" customHeight="1" x14ac:dyDescent="0.3">
      <c r="E86" s="42" t="s">
        <v>302</v>
      </c>
      <c r="F86" s="43">
        <v>85</v>
      </c>
      <c r="G86" s="46" t="s">
        <v>516</v>
      </c>
    </row>
    <row r="87" spans="5:7" ht="11.25" customHeight="1" x14ac:dyDescent="0.3">
      <c r="E87" s="42" t="s">
        <v>302</v>
      </c>
      <c r="F87" s="43">
        <v>86</v>
      </c>
      <c r="G87" s="46" t="s">
        <v>190</v>
      </c>
    </row>
    <row r="88" spans="5:7" ht="11.25" customHeight="1" x14ac:dyDescent="0.3">
      <c r="E88" s="42" t="s">
        <v>302</v>
      </c>
      <c r="F88" s="43">
        <v>87</v>
      </c>
      <c r="G88" s="46" t="s">
        <v>515</v>
      </c>
    </row>
    <row r="89" spans="5:7" ht="11.25" customHeight="1" x14ac:dyDescent="0.3">
      <c r="E89" s="42" t="s">
        <v>302</v>
      </c>
      <c r="F89" s="43">
        <v>88</v>
      </c>
      <c r="G89" s="46"/>
    </row>
    <row r="90" spans="5:7" ht="11.25" customHeight="1" x14ac:dyDescent="0.3">
      <c r="E90" s="42" t="s">
        <v>302</v>
      </c>
      <c r="F90" s="43">
        <v>89</v>
      </c>
      <c r="G90" s="46"/>
    </row>
    <row r="91" spans="5:7" ht="11.25" customHeight="1" x14ac:dyDescent="0.3">
      <c r="E91" s="42" t="s">
        <v>302</v>
      </c>
      <c r="F91" s="43">
        <v>90</v>
      </c>
      <c r="G91" s="46"/>
    </row>
    <row r="92" spans="5:7" ht="11.25" customHeight="1" x14ac:dyDescent="0.3">
      <c r="E92" s="42" t="s">
        <v>302</v>
      </c>
      <c r="F92" s="43">
        <v>91</v>
      </c>
      <c r="G92" s="46"/>
    </row>
    <row r="93" spans="5:7" ht="11.25" customHeight="1" x14ac:dyDescent="0.3">
      <c r="E93" s="42" t="s">
        <v>302</v>
      </c>
      <c r="F93" s="43">
        <v>92</v>
      </c>
      <c r="G93" s="46"/>
    </row>
    <row r="231" spans="1:3" ht="11.25" customHeight="1" x14ac:dyDescent="0.3">
      <c r="A231" s="42"/>
      <c r="B231" s="43"/>
      <c r="C231" s="46"/>
    </row>
    <row r="232" spans="1:3" ht="11.25" customHeight="1" x14ac:dyDescent="0.3">
      <c r="A232" s="42"/>
      <c r="B232" s="43"/>
      <c r="C232" s="46"/>
    </row>
  </sheetData>
  <phoneticPr fontId="15" type="noConversion"/>
  <pageMargins left="0.69986110925674438" right="0.69986110925674438" top="0.75" bottom="0.75" header="0.30000001192092896" footer="0.30000001192092896"/>
  <pageSetup paperSize="9" fitToWidth="0" fitToHeight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7"/>
  <sheetViews>
    <sheetView zoomScaleNormal="100" zoomScaleSheetLayoutView="75" workbookViewId="0">
      <selection activeCell="A18" sqref="A18"/>
    </sheetView>
  </sheetViews>
  <sheetFormatPr defaultColWidth="9" defaultRowHeight="16.5" x14ac:dyDescent="0.3"/>
  <cols>
    <col min="1" max="1" width="16.125" bestFit="1" customWidth="1"/>
  </cols>
  <sheetData>
    <row r="1" spans="1:2" x14ac:dyDescent="0.3">
      <c r="A1" t="s">
        <v>266</v>
      </c>
      <c r="B1">
        <v>10</v>
      </c>
    </row>
    <row r="2" spans="1:2" x14ac:dyDescent="0.3">
      <c r="A2" t="s">
        <v>154</v>
      </c>
      <c r="B2">
        <v>20</v>
      </c>
    </row>
    <row r="3" spans="1:2" x14ac:dyDescent="0.3">
      <c r="A3" t="s">
        <v>272</v>
      </c>
      <c r="B3">
        <v>18</v>
      </c>
    </row>
    <row r="4" spans="1:2" x14ac:dyDescent="0.3">
      <c r="A4" t="s">
        <v>291</v>
      </c>
      <c r="B4">
        <v>12</v>
      </c>
    </row>
    <row r="5" spans="1:2" x14ac:dyDescent="0.3">
      <c r="A5" t="s">
        <v>327</v>
      </c>
      <c r="B5">
        <v>17</v>
      </c>
    </row>
    <row r="7" spans="1:2" x14ac:dyDescent="0.3">
      <c r="A7" t="s">
        <v>390</v>
      </c>
      <c r="B7">
        <v>20</v>
      </c>
    </row>
    <row r="8" spans="1:2" x14ac:dyDescent="0.3">
      <c r="A8" t="s">
        <v>397</v>
      </c>
      <c r="B8">
        <v>48</v>
      </c>
    </row>
    <row r="9" spans="1:2" x14ac:dyDescent="0.3">
      <c r="A9" t="s">
        <v>386</v>
      </c>
      <c r="B9">
        <v>11</v>
      </c>
    </row>
    <row r="10" spans="1:2" x14ac:dyDescent="0.3">
      <c r="A10" t="s">
        <v>165</v>
      </c>
      <c r="B10">
        <v>33</v>
      </c>
    </row>
    <row r="12" spans="1:2" x14ac:dyDescent="0.3">
      <c r="A12" t="s">
        <v>164</v>
      </c>
      <c r="B12">
        <v>89</v>
      </c>
    </row>
    <row r="13" spans="1:2" x14ac:dyDescent="0.3">
      <c r="A13" t="s">
        <v>166</v>
      </c>
      <c r="B13">
        <v>24</v>
      </c>
    </row>
    <row r="14" spans="1:2" x14ac:dyDescent="0.3">
      <c r="A14" t="s">
        <v>139</v>
      </c>
      <c r="B14">
        <v>42</v>
      </c>
    </row>
    <row r="15" spans="1:2" x14ac:dyDescent="0.3">
      <c r="A15" t="s">
        <v>160</v>
      </c>
      <c r="B15">
        <v>48</v>
      </c>
    </row>
    <row r="16" spans="1:2" x14ac:dyDescent="0.3">
      <c r="A16" t="s">
        <v>168</v>
      </c>
      <c r="B16">
        <v>32</v>
      </c>
    </row>
    <row r="17" spans="1:2" x14ac:dyDescent="0.3">
      <c r="A17" s="51" t="s">
        <v>790</v>
      </c>
      <c r="B17">
        <v>22</v>
      </c>
    </row>
  </sheetData>
  <phoneticPr fontId="15" type="noConversion"/>
  <pageMargins left="0.69986110925674438" right="0.69986110925674438" top="0.75" bottom="0.75" header="0.30000001192092896" footer="0.30000001192092896"/>
  <pageSetup paperSize="9" fitToWidth="0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282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Weekly</vt:lpstr>
      <vt:lpstr>P.Info</vt:lpstr>
      <vt:lpstr>S.Info</vt:lpstr>
      <vt:lpstr>HomePage</vt:lpstr>
      <vt:lpstr>SubTitle</vt:lpstr>
      <vt:lpstr>etc</vt:lpstr>
      <vt:lpstr>Weekly!Print_Area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kne luu</dc:creator>
  <cp:lastModifiedBy>kne luu</cp:lastModifiedBy>
  <cp:revision>2</cp:revision>
  <cp:lastPrinted>2025-09-19T07:42:52Z</cp:lastPrinted>
  <dcterms:created xsi:type="dcterms:W3CDTF">2022-04-28T05:26:58Z</dcterms:created>
  <dcterms:modified xsi:type="dcterms:W3CDTF">2025-09-19T07:44:07Z</dcterms:modified>
  <cp:version>1100.0100.01</cp:version>
</cp:coreProperties>
</file>